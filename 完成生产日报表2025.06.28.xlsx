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3.Personal\34.mineral-processing\材料\"/>
    </mc:Choice>
  </mc:AlternateContent>
  <xr:revisionPtr revIDLastSave="0" documentId="13_ncr:1_{751C15D9-F72B-4EC8-BED5-F084B926A481}" xr6:coauthVersionLast="47" xr6:coauthVersionMax="47" xr10:uidLastSave="{00000000-0000-0000-0000-000000000000}"/>
  <workbookProtection lockStructure="1"/>
  <bookViews>
    <workbookView xWindow="-108" yWindow="-108" windowWidth="23256" windowHeight="12456" tabRatio="898" xr2:uid="{00000000-000D-0000-FFFF-FFFF00000000}"/>
  </bookViews>
  <sheets>
    <sheet name="基础数据" sheetId="1" r:id="rId1"/>
    <sheet name="1车间表1" sheetId="7" r:id="rId2"/>
    <sheet name="1车间表2" sheetId="9" r:id="rId3"/>
    <sheet name="1车间表3" sheetId="8" r:id="rId4"/>
    <sheet name="1系统周表" sheetId="50" state="hidden" r:id="rId5"/>
    <sheet name="2车间表1" sheetId="4" state="hidden" r:id="rId6"/>
    <sheet name="2车间表2" sheetId="5" state="hidden" r:id="rId7"/>
    <sheet name="2车间表3" sheetId="6" state="hidden" r:id="rId8"/>
    <sheet name="2系统周表" sheetId="51" state="hidden" r:id="rId9"/>
    <sheet name="周排名" sheetId="56" state="hidden" r:id="rId10"/>
    <sheet name="班组统计台账（3%）日累" sheetId="10" r:id="rId11"/>
    <sheet name="3%-7.25%" sheetId="22" state="hidden" r:id="rId12"/>
    <sheet name="日报表" sheetId="23" state="hidden" r:id="rId13"/>
    <sheet name="生产简报" sheetId="24" state="hidden" r:id="rId14"/>
    <sheet name="公司周一-周日 周累 " sheetId="76" state="hidden" r:id="rId15"/>
    <sheet name="日报表 (3%)" sheetId="41" r:id="rId16"/>
    <sheet name="生产简报 (3%)" sheetId="42" state="hidden" r:id="rId17"/>
    <sheet name="精矿盘点表（本月）" sheetId="14" state="hidden" r:id="rId18"/>
    <sheet name="回收率分布" sheetId="15" state="hidden" r:id="rId19"/>
    <sheet name="Sheet2" sheetId="16" state="hidden" r:id="rId20"/>
    <sheet name="精矿盘点表（全年）" sheetId="13" state="hidden" r:id="rId21"/>
    <sheet name="精矿盘点表（月度）" sheetId="33" state="hidden" r:id="rId22"/>
    <sheet name="出厂铅精" sheetId="19" r:id="rId23"/>
    <sheet name="出厂铅精-公司发" sheetId="80" state="hidden" r:id="rId24"/>
    <sheet name="出厂锌精" sheetId="20" state="hidden" r:id="rId25"/>
    <sheet name="磨浮作业区周表" sheetId="70" state="hidden" r:id="rId26"/>
    <sheet name="磨浮作业区月表" sheetId="71" state="hidden" r:id="rId27"/>
    <sheet name="磨浮作业区年表" sheetId="72" state="hidden" r:id="rId28"/>
    <sheet name="日指标" sheetId="77" state="hidden" r:id="rId29"/>
    <sheet name="月报公式" sheetId="79" state="hidden" r:id="rId30"/>
  </sheets>
  <definedNames>
    <definedName name="_xlnm.Print_Area" localSheetId="1">'1车间表1'!$B$2:$O$29</definedName>
    <definedName name="_xlnm.Print_Area" localSheetId="2">'1车间表2'!$B$2:$L$25</definedName>
    <definedName name="_xlnm.Print_Area" localSheetId="3">'1车间表3'!$B$2:$L$25</definedName>
    <definedName name="_xlnm.Print_Area" localSheetId="4">'1系统周表'!$B$2:$L$25</definedName>
    <definedName name="_xlnm.Print_Area" localSheetId="5">'2车间表1'!$B$2:$O$29</definedName>
    <definedName name="_xlnm.Print_Area" localSheetId="6">'2车间表2'!$B$2:$L$25</definedName>
    <definedName name="_xlnm.Print_Area" localSheetId="7">'2车间表3'!$B$2:$L$25</definedName>
    <definedName name="_xlnm.Print_Area" localSheetId="8">'2系统周表'!$B$2:$L$25</definedName>
    <definedName name="_xlnm.Print_Area" localSheetId="10">'班组统计台账（3%）日累'!$A$1:$AJ$16</definedName>
    <definedName name="_xlnm.Print_Area" localSheetId="14">'公司周一-周日 周累 '!$A$1:$AJ$16</definedName>
    <definedName name="_xlnm.Print_Area" localSheetId="27">磨浮作业区年表!$B$2:$N$29</definedName>
    <definedName name="_xlnm.Print_Area" localSheetId="26">磨浮作业区月表!$B$2:$N$29</definedName>
    <definedName name="_xlnm.Print_Area" localSheetId="25">磨浮作业区周表!$B$2:$N$29</definedName>
    <definedName name="_xlnm.Print_Area" localSheetId="15">'日报表 (3%)'!$A$1:$I$48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1" l="1"/>
  <c r="O27" i="79" l="1"/>
  <c r="N27" i="79"/>
  <c r="M27" i="79"/>
  <c r="L27" i="79"/>
  <c r="K27" i="79"/>
  <c r="J27" i="79"/>
  <c r="I27" i="79"/>
  <c r="H27" i="79"/>
  <c r="G27" i="79"/>
  <c r="O26" i="79"/>
  <c r="N26" i="79"/>
  <c r="M26" i="79"/>
  <c r="L26" i="79"/>
  <c r="K26" i="79"/>
  <c r="J26" i="79"/>
  <c r="I26" i="79"/>
  <c r="H26" i="79"/>
  <c r="G26" i="79"/>
  <c r="K23" i="77"/>
  <c r="J23" i="77"/>
  <c r="H23" i="77"/>
  <c r="G23" i="77"/>
  <c r="E23" i="77"/>
  <c r="D23" i="77"/>
  <c r="K22" i="77"/>
  <c r="J22" i="77"/>
  <c r="H22" i="77"/>
  <c r="G22" i="77"/>
  <c r="E22" i="77"/>
  <c r="D22" i="77"/>
  <c r="K21" i="77"/>
  <c r="J21" i="77"/>
  <c r="H21" i="77"/>
  <c r="G21" i="77"/>
  <c r="E21" i="77"/>
  <c r="D21" i="77"/>
  <c r="K20" i="77"/>
  <c r="J20" i="77"/>
  <c r="H20" i="77"/>
  <c r="G20" i="77"/>
  <c r="E20" i="77"/>
  <c r="D20" i="77"/>
  <c r="K19" i="77"/>
  <c r="J19" i="77"/>
  <c r="H19" i="77"/>
  <c r="G19" i="77"/>
  <c r="E19" i="77"/>
  <c r="D19" i="77"/>
  <c r="K18" i="77"/>
  <c r="J18" i="77"/>
  <c r="H18" i="77"/>
  <c r="G18" i="77"/>
  <c r="E18" i="77"/>
  <c r="D18" i="77"/>
  <c r="K16" i="77"/>
  <c r="J16" i="77"/>
  <c r="H16" i="77"/>
  <c r="G16" i="77"/>
  <c r="E16" i="77"/>
  <c r="D16" i="77"/>
  <c r="K15" i="77"/>
  <c r="J15" i="77"/>
  <c r="H15" i="77"/>
  <c r="G15" i="77"/>
  <c r="E15" i="77"/>
  <c r="D15" i="77"/>
  <c r="K14" i="77"/>
  <c r="J14" i="77"/>
  <c r="H14" i="77"/>
  <c r="G14" i="77"/>
  <c r="E14" i="77"/>
  <c r="D14" i="77"/>
  <c r="K13" i="77"/>
  <c r="J13" i="77"/>
  <c r="H13" i="77"/>
  <c r="G13" i="77"/>
  <c r="E13" i="77"/>
  <c r="D13" i="77"/>
  <c r="K12" i="77"/>
  <c r="J12" i="77"/>
  <c r="H12" i="77"/>
  <c r="G12" i="77"/>
  <c r="E12" i="77"/>
  <c r="D12" i="77"/>
  <c r="K11" i="77"/>
  <c r="J11" i="77"/>
  <c r="H11" i="77"/>
  <c r="G11" i="77"/>
  <c r="E11" i="77"/>
  <c r="D11" i="77"/>
  <c r="K9" i="77"/>
  <c r="J9" i="77"/>
  <c r="H9" i="77"/>
  <c r="G9" i="77"/>
  <c r="E9" i="77"/>
  <c r="D9" i="77"/>
  <c r="K8" i="77"/>
  <c r="J8" i="77"/>
  <c r="H8" i="77"/>
  <c r="G8" i="77"/>
  <c r="E8" i="77"/>
  <c r="D8" i="77"/>
  <c r="K7" i="77"/>
  <c r="J7" i="77"/>
  <c r="H7" i="77"/>
  <c r="G7" i="77"/>
  <c r="E7" i="77"/>
  <c r="D7" i="77"/>
  <c r="K6" i="77"/>
  <c r="J6" i="77"/>
  <c r="H6" i="77"/>
  <c r="G6" i="77"/>
  <c r="E6" i="77"/>
  <c r="D6" i="77"/>
  <c r="K5" i="77"/>
  <c r="J5" i="77"/>
  <c r="H5" i="77"/>
  <c r="G5" i="77"/>
  <c r="E5" i="77"/>
  <c r="D5" i="77"/>
  <c r="K4" i="77"/>
  <c r="J4" i="77"/>
  <c r="H4" i="77"/>
  <c r="G4" i="77"/>
  <c r="E4" i="77"/>
  <c r="D4" i="77"/>
  <c r="J2" i="77"/>
  <c r="V28" i="72"/>
  <c r="U28" i="72"/>
  <c r="R28" i="72"/>
  <c r="P28" i="72"/>
  <c r="M28" i="72"/>
  <c r="M27" i="72"/>
  <c r="M26" i="72"/>
  <c r="M25" i="72"/>
  <c r="N24" i="72"/>
  <c r="M24" i="72"/>
  <c r="L24" i="72"/>
  <c r="J24" i="72"/>
  <c r="I24" i="72"/>
  <c r="H24" i="72"/>
  <c r="F24" i="72"/>
  <c r="D24" i="72"/>
  <c r="N23" i="72"/>
  <c r="M23" i="72"/>
  <c r="L23" i="72"/>
  <c r="J23" i="72"/>
  <c r="I23" i="72"/>
  <c r="H23" i="72"/>
  <c r="F23" i="72"/>
  <c r="D23" i="72"/>
  <c r="N22" i="72"/>
  <c r="M22" i="72"/>
  <c r="L22" i="72"/>
  <c r="J22" i="72"/>
  <c r="I22" i="72"/>
  <c r="H22" i="72"/>
  <c r="F22" i="72"/>
  <c r="D22" i="72"/>
  <c r="N21" i="72"/>
  <c r="M21" i="72"/>
  <c r="L21" i="72"/>
  <c r="J21" i="72"/>
  <c r="I21" i="72"/>
  <c r="H21" i="72"/>
  <c r="F21" i="72"/>
  <c r="D21" i="72"/>
  <c r="M20" i="72"/>
  <c r="M19" i="72"/>
  <c r="M18" i="72"/>
  <c r="Y17" i="72"/>
  <c r="X17" i="72"/>
  <c r="W17" i="72"/>
  <c r="V17" i="72"/>
  <c r="U17" i="72"/>
  <c r="R17" i="72"/>
  <c r="P17" i="72"/>
  <c r="M17" i="72"/>
  <c r="AK16" i="72"/>
  <c r="AJ16" i="72"/>
  <c r="AI16" i="72"/>
  <c r="AH16" i="72"/>
  <c r="AG16" i="72"/>
  <c r="AF16" i="72"/>
  <c r="AE16" i="72"/>
  <c r="AD16" i="72"/>
  <c r="AC16" i="72"/>
  <c r="AB16" i="72"/>
  <c r="AA16" i="72"/>
  <c r="Z16" i="72"/>
  <c r="V16" i="72"/>
  <c r="U16" i="72"/>
  <c r="R16" i="72"/>
  <c r="P16" i="72"/>
  <c r="AN15" i="72"/>
  <c r="AM15" i="72"/>
  <c r="AL15" i="72"/>
  <c r="AK15" i="72"/>
  <c r="AJ15" i="72"/>
  <c r="AI15" i="72"/>
  <c r="AH15" i="72"/>
  <c r="AG15" i="72"/>
  <c r="AF15" i="72"/>
  <c r="AE15" i="72"/>
  <c r="AD15" i="72"/>
  <c r="AC15" i="72"/>
  <c r="AB15" i="72"/>
  <c r="AA15" i="72"/>
  <c r="Z15" i="72"/>
  <c r="X15" i="72"/>
  <c r="V15" i="72"/>
  <c r="U15" i="72"/>
  <c r="R15" i="72"/>
  <c r="P15" i="72"/>
  <c r="AN14" i="72"/>
  <c r="AM14" i="72"/>
  <c r="AL14" i="72"/>
  <c r="AK14" i="72"/>
  <c r="AJ14" i="72"/>
  <c r="AI14" i="72"/>
  <c r="AH14" i="72"/>
  <c r="AG14" i="72"/>
  <c r="AF14" i="72"/>
  <c r="AE14" i="72"/>
  <c r="AD14" i="72"/>
  <c r="AC14" i="72"/>
  <c r="AB14" i="72"/>
  <c r="AA14" i="72"/>
  <c r="Z14" i="72"/>
  <c r="X14" i="72"/>
  <c r="V14" i="72"/>
  <c r="U14" i="72"/>
  <c r="R14" i="72"/>
  <c r="P14" i="72"/>
  <c r="AN13" i="72"/>
  <c r="AM13" i="72"/>
  <c r="AL13" i="72"/>
  <c r="AK13" i="72"/>
  <c r="AJ13" i="72"/>
  <c r="AI13" i="72"/>
  <c r="AH13" i="72"/>
  <c r="AG13" i="72"/>
  <c r="AF13" i="72"/>
  <c r="AE13" i="72"/>
  <c r="AD13" i="72"/>
  <c r="AC13" i="72"/>
  <c r="AB13" i="72"/>
  <c r="AA13" i="72"/>
  <c r="Z13" i="72"/>
  <c r="X13" i="72"/>
  <c r="V13" i="72"/>
  <c r="R13" i="72"/>
  <c r="P13" i="72"/>
  <c r="AN10" i="72"/>
  <c r="AL10" i="72"/>
  <c r="AH10" i="72"/>
  <c r="AG10" i="72"/>
  <c r="AF10" i="72"/>
  <c r="AE10" i="72"/>
  <c r="AD10" i="72"/>
  <c r="Z10" i="72"/>
  <c r="Y10" i="72"/>
  <c r="X10" i="72"/>
  <c r="W10" i="72"/>
  <c r="V10" i="72"/>
  <c r="R10" i="72"/>
  <c r="M10" i="72"/>
  <c r="AN9" i="72"/>
  <c r="AL9" i="72"/>
  <c r="AH9" i="72"/>
  <c r="AG9" i="72"/>
  <c r="AF9" i="72"/>
  <c r="AE9" i="72"/>
  <c r="AD9" i="72"/>
  <c r="Z9" i="72"/>
  <c r="Y9" i="72"/>
  <c r="X9" i="72"/>
  <c r="W9" i="72"/>
  <c r="V9" i="72"/>
  <c r="R9" i="72"/>
  <c r="M9" i="72"/>
  <c r="AN8" i="72"/>
  <c r="AL8" i="72"/>
  <c r="AH8" i="72"/>
  <c r="AG8" i="72"/>
  <c r="AF8" i="72"/>
  <c r="AE8" i="72"/>
  <c r="AD8" i="72"/>
  <c r="Z8" i="72"/>
  <c r="Y8" i="72"/>
  <c r="X8" i="72"/>
  <c r="W8" i="72"/>
  <c r="V8" i="72"/>
  <c r="R8" i="72"/>
  <c r="M8" i="72"/>
  <c r="AN7" i="72"/>
  <c r="AL7" i="72"/>
  <c r="AH7" i="72"/>
  <c r="AG7" i="72"/>
  <c r="AF7" i="72"/>
  <c r="AE7" i="72"/>
  <c r="AD7" i="72"/>
  <c r="Z7" i="72"/>
  <c r="Y7" i="72"/>
  <c r="X7" i="72"/>
  <c r="W7" i="72"/>
  <c r="V7" i="72"/>
  <c r="R7" i="72"/>
  <c r="M7" i="72"/>
  <c r="L4" i="72"/>
  <c r="R28" i="71"/>
  <c r="P28" i="71"/>
  <c r="M28" i="71"/>
  <c r="R27" i="71"/>
  <c r="P27" i="71"/>
  <c r="M27" i="71"/>
  <c r="R26" i="71"/>
  <c r="P26" i="71"/>
  <c r="M26" i="71"/>
  <c r="R25" i="71"/>
  <c r="P25" i="71"/>
  <c r="M25" i="71"/>
  <c r="Y24" i="71"/>
  <c r="X24" i="71"/>
  <c r="W24" i="71"/>
  <c r="V24" i="71"/>
  <c r="U24" i="71"/>
  <c r="R24" i="71"/>
  <c r="P24" i="71"/>
  <c r="N24" i="71"/>
  <c r="M24" i="71"/>
  <c r="L24" i="71"/>
  <c r="J24" i="71"/>
  <c r="I24" i="71"/>
  <c r="H24" i="71"/>
  <c r="F24" i="71"/>
  <c r="D24" i="71"/>
  <c r="Y23" i="71"/>
  <c r="X23" i="71"/>
  <c r="W23" i="71"/>
  <c r="V23" i="71"/>
  <c r="U23" i="71"/>
  <c r="R23" i="71"/>
  <c r="P23" i="71"/>
  <c r="N23" i="71"/>
  <c r="M23" i="71"/>
  <c r="L23" i="71"/>
  <c r="J23" i="71"/>
  <c r="I23" i="71"/>
  <c r="H23" i="71"/>
  <c r="F23" i="71"/>
  <c r="D23" i="71"/>
  <c r="Y22" i="71"/>
  <c r="X22" i="71"/>
  <c r="W22" i="71"/>
  <c r="V22" i="71"/>
  <c r="U22" i="71"/>
  <c r="R22" i="71"/>
  <c r="P22" i="71"/>
  <c r="N22" i="71"/>
  <c r="M22" i="71"/>
  <c r="L22" i="71"/>
  <c r="J22" i="71"/>
  <c r="I22" i="71"/>
  <c r="H22" i="71"/>
  <c r="F22" i="71"/>
  <c r="D22" i="71"/>
  <c r="Y21" i="71"/>
  <c r="X21" i="71"/>
  <c r="W21" i="71"/>
  <c r="V21" i="71"/>
  <c r="U21" i="71"/>
  <c r="R21" i="71"/>
  <c r="P21" i="71"/>
  <c r="N21" i="71"/>
  <c r="M21" i="71"/>
  <c r="L21" i="71"/>
  <c r="J21" i="71"/>
  <c r="I21" i="71"/>
  <c r="H21" i="71"/>
  <c r="F21" i="71"/>
  <c r="D21" i="71"/>
  <c r="Y20" i="71"/>
  <c r="X20" i="71"/>
  <c r="W20" i="71"/>
  <c r="V20" i="71"/>
  <c r="U20" i="71"/>
  <c r="R20" i="71"/>
  <c r="P20" i="71"/>
  <c r="M20" i="71"/>
  <c r="Y19" i="71"/>
  <c r="X19" i="71"/>
  <c r="W19" i="71"/>
  <c r="V19" i="71"/>
  <c r="U19" i="71"/>
  <c r="R19" i="71"/>
  <c r="P19" i="71"/>
  <c r="M19" i="71"/>
  <c r="Y18" i="71"/>
  <c r="X18" i="71"/>
  <c r="W18" i="71"/>
  <c r="V18" i="71"/>
  <c r="U18" i="71"/>
  <c r="R18" i="71"/>
  <c r="P18" i="71"/>
  <c r="M18" i="71"/>
  <c r="Y17" i="71"/>
  <c r="X17" i="71"/>
  <c r="W17" i="71"/>
  <c r="V17" i="71"/>
  <c r="U17" i="71"/>
  <c r="R17" i="71"/>
  <c r="P17" i="71"/>
  <c r="M17" i="71"/>
  <c r="AI16" i="71"/>
  <c r="AH16" i="71"/>
  <c r="AG16" i="71"/>
  <c r="AF16" i="71"/>
  <c r="AE16" i="71"/>
  <c r="AD16" i="71"/>
  <c r="AC16" i="71"/>
  <c r="AB16" i="71"/>
  <c r="AA16" i="71"/>
  <c r="Z16" i="71"/>
  <c r="R16" i="71"/>
  <c r="P16" i="71"/>
  <c r="AI15" i="71"/>
  <c r="AH15" i="71"/>
  <c r="AG15" i="71"/>
  <c r="AF15" i="71"/>
  <c r="AE15" i="71"/>
  <c r="AD15" i="71"/>
  <c r="AC15" i="71"/>
  <c r="AB15" i="71"/>
  <c r="AA15" i="71"/>
  <c r="Z15" i="71"/>
  <c r="R15" i="71"/>
  <c r="P15" i="71"/>
  <c r="AI14" i="71"/>
  <c r="AH14" i="71"/>
  <c r="AG14" i="71"/>
  <c r="AF14" i="71"/>
  <c r="AE14" i="71"/>
  <c r="AD14" i="71"/>
  <c r="AC14" i="71"/>
  <c r="AB14" i="71"/>
  <c r="AA14" i="71"/>
  <c r="Z14" i="71"/>
  <c r="R14" i="71"/>
  <c r="P14" i="71"/>
  <c r="AI13" i="71"/>
  <c r="AH13" i="71"/>
  <c r="AG13" i="71"/>
  <c r="AF13" i="71"/>
  <c r="AE13" i="71"/>
  <c r="AD13" i="71"/>
  <c r="AC13" i="71"/>
  <c r="AB13" i="71"/>
  <c r="AA13" i="71"/>
  <c r="Z13" i="71"/>
  <c r="R13" i="71"/>
  <c r="P13" i="71"/>
  <c r="AN10" i="71"/>
  <c r="AL10" i="71"/>
  <c r="AH10" i="71"/>
  <c r="AG10" i="71"/>
  <c r="AF10" i="71"/>
  <c r="AE10" i="71"/>
  <c r="AD10" i="71"/>
  <c r="Z10" i="71"/>
  <c r="Y10" i="71"/>
  <c r="X10" i="71"/>
  <c r="W10" i="71"/>
  <c r="V10" i="71"/>
  <c r="R10" i="71"/>
  <c r="M10" i="71"/>
  <c r="AN9" i="71"/>
  <c r="AL9" i="71"/>
  <c r="AH9" i="71"/>
  <c r="AG9" i="71"/>
  <c r="AF9" i="71"/>
  <c r="AE9" i="71"/>
  <c r="AD9" i="71"/>
  <c r="Z9" i="71"/>
  <c r="Y9" i="71"/>
  <c r="X9" i="71"/>
  <c r="W9" i="71"/>
  <c r="V9" i="71"/>
  <c r="R9" i="71"/>
  <c r="M9" i="71"/>
  <c r="AN8" i="71"/>
  <c r="AL8" i="71"/>
  <c r="AH8" i="71"/>
  <c r="AG8" i="71"/>
  <c r="AF8" i="71"/>
  <c r="AE8" i="71"/>
  <c r="AD8" i="71"/>
  <c r="Z8" i="71"/>
  <c r="Y8" i="71"/>
  <c r="X8" i="71"/>
  <c r="W8" i="71"/>
  <c r="V8" i="71"/>
  <c r="R8" i="71"/>
  <c r="M8" i="71"/>
  <c r="AN7" i="71"/>
  <c r="AL7" i="71"/>
  <c r="AH7" i="71"/>
  <c r="AG7" i="71"/>
  <c r="AF7" i="71"/>
  <c r="AE7" i="71"/>
  <c r="AD7" i="71"/>
  <c r="Z7" i="71"/>
  <c r="Y7" i="71"/>
  <c r="X7" i="71"/>
  <c r="W7" i="71"/>
  <c r="V7" i="71"/>
  <c r="R7" i="71"/>
  <c r="M7" i="71"/>
  <c r="L4" i="71"/>
  <c r="R28" i="70"/>
  <c r="P28" i="70"/>
  <c r="M28" i="70"/>
  <c r="R27" i="70"/>
  <c r="P27" i="70"/>
  <c r="M27" i="70"/>
  <c r="R26" i="70"/>
  <c r="P26" i="70"/>
  <c r="M26" i="70"/>
  <c r="R25" i="70"/>
  <c r="P25" i="70"/>
  <c r="M25" i="70"/>
  <c r="Y24" i="70"/>
  <c r="X24" i="70"/>
  <c r="W24" i="70"/>
  <c r="V24" i="70"/>
  <c r="U24" i="70"/>
  <c r="R24" i="70"/>
  <c r="P24" i="70"/>
  <c r="N24" i="70"/>
  <c r="M24" i="70"/>
  <c r="L24" i="70"/>
  <c r="J24" i="70"/>
  <c r="I24" i="70"/>
  <c r="H24" i="70"/>
  <c r="F24" i="70"/>
  <c r="D24" i="70"/>
  <c r="Y23" i="70"/>
  <c r="X23" i="70"/>
  <c r="W23" i="70"/>
  <c r="V23" i="70"/>
  <c r="U23" i="70"/>
  <c r="R23" i="70"/>
  <c r="P23" i="70"/>
  <c r="N23" i="70"/>
  <c r="M23" i="70"/>
  <c r="L23" i="70"/>
  <c r="J23" i="70"/>
  <c r="I23" i="70"/>
  <c r="H23" i="70"/>
  <c r="F23" i="70"/>
  <c r="D23" i="70"/>
  <c r="Y22" i="70"/>
  <c r="X22" i="70"/>
  <c r="W22" i="70"/>
  <c r="V22" i="70"/>
  <c r="U22" i="70"/>
  <c r="R22" i="70"/>
  <c r="P22" i="70"/>
  <c r="N22" i="70"/>
  <c r="M22" i="70"/>
  <c r="L22" i="70"/>
  <c r="J22" i="70"/>
  <c r="I22" i="70"/>
  <c r="H22" i="70"/>
  <c r="F22" i="70"/>
  <c r="D22" i="70"/>
  <c r="Y21" i="70"/>
  <c r="X21" i="70"/>
  <c r="W21" i="70"/>
  <c r="V21" i="70"/>
  <c r="U21" i="70"/>
  <c r="R21" i="70"/>
  <c r="P21" i="70"/>
  <c r="N21" i="70"/>
  <c r="M21" i="70"/>
  <c r="L21" i="70"/>
  <c r="J21" i="70"/>
  <c r="I21" i="70"/>
  <c r="H21" i="70"/>
  <c r="F21" i="70"/>
  <c r="D21" i="70"/>
  <c r="Y20" i="70"/>
  <c r="X20" i="70"/>
  <c r="W20" i="70"/>
  <c r="V20" i="70"/>
  <c r="U20" i="70"/>
  <c r="R20" i="70"/>
  <c r="P20" i="70"/>
  <c r="M20" i="70"/>
  <c r="Y19" i="70"/>
  <c r="X19" i="70"/>
  <c r="W19" i="70"/>
  <c r="V19" i="70"/>
  <c r="U19" i="70"/>
  <c r="R19" i="70"/>
  <c r="P19" i="70"/>
  <c r="M19" i="70"/>
  <c r="Y18" i="70"/>
  <c r="X18" i="70"/>
  <c r="W18" i="70"/>
  <c r="V18" i="70"/>
  <c r="U18" i="70"/>
  <c r="R18" i="70"/>
  <c r="P18" i="70"/>
  <c r="M18" i="70"/>
  <c r="Y17" i="70"/>
  <c r="X17" i="70"/>
  <c r="W17" i="70"/>
  <c r="V17" i="70"/>
  <c r="U17" i="70"/>
  <c r="R17" i="70"/>
  <c r="P17" i="70"/>
  <c r="M17" i="70"/>
  <c r="AT16" i="70"/>
  <c r="AI16" i="70"/>
  <c r="AH16" i="70"/>
  <c r="AG16" i="70"/>
  <c r="AF16" i="70"/>
  <c r="AE16" i="70"/>
  <c r="AD16" i="70"/>
  <c r="AC16" i="70"/>
  <c r="AB16" i="70"/>
  <c r="AA16" i="70"/>
  <c r="Z16" i="70"/>
  <c r="R16" i="70"/>
  <c r="P16" i="70"/>
  <c r="AI15" i="70"/>
  <c r="AH15" i="70"/>
  <c r="AG15" i="70"/>
  <c r="AF15" i="70"/>
  <c r="AE15" i="70"/>
  <c r="AD15" i="70"/>
  <c r="AC15" i="70"/>
  <c r="AB15" i="70"/>
  <c r="AA15" i="70"/>
  <c r="Z15" i="70"/>
  <c r="R15" i="70"/>
  <c r="P15" i="70"/>
  <c r="AT14" i="70"/>
  <c r="AI14" i="70"/>
  <c r="AH14" i="70"/>
  <c r="AG14" i="70"/>
  <c r="AF14" i="70"/>
  <c r="AE14" i="70"/>
  <c r="AD14" i="70"/>
  <c r="AC14" i="70"/>
  <c r="AB14" i="70"/>
  <c r="AA14" i="70"/>
  <c r="Z14" i="70"/>
  <c r="R14" i="70"/>
  <c r="P14" i="70"/>
  <c r="AI13" i="70"/>
  <c r="AH13" i="70"/>
  <c r="AG13" i="70"/>
  <c r="AF13" i="70"/>
  <c r="AE13" i="70"/>
  <c r="AD13" i="70"/>
  <c r="AC13" i="70"/>
  <c r="AB13" i="70"/>
  <c r="AA13" i="70"/>
  <c r="Z13" i="70"/>
  <c r="R13" i="70"/>
  <c r="P13" i="70"/>
  <c r="AT11" i="70"/>
  <c r="AN10" i="70"/>
  <c r="AL10" i="70"/>
  <c r="AH10" i="70"/>
  <c r="AG10" i="70"/>
  <c r="AF10" i="70"/>
  <c r="AE10" i="70"/>
  <c r="AD10" i="70"/>
  <c r="Z10" i="70"/>
  <c r="Y10" i="70"/>
  <c r="X10" i="70"/>
  <c r="W10" i="70"/>
  <c r="V10" i="70"/>
  <c r="R10" i="70"/>
  <c r="M10" i="70"/>
  <c r="AN9" i="70"/>
  <c r="AL9" i="70"/>
  <c r="AH9" i="70"/>
  <c r="AG9" i="70"/>
  <c r="AF9" i="70"/>
  <c r="AE9" i="70"/>
  <c r="AD9" i="70"/>
  <c r="Z9" i="70"/>
  <c r="Y9" i="70"/>
  <c r="X9" i="70"/>
  <c r="W9" i="70"/>
  <c r="V9" i="70"/>
  <c r="R9" i="70"/>
  <c r="M9" i="70"/>
  <c r="AN8" i="70"/>
  <c r="AL8" i="70"/>
  <c r="AH8" i="70"/>
  <c r="AG8" i="70"/>
  <c r="AF8" i="70"/>
  <c r="AE8" i="70"/>
  <c r="AD8" i="70"/>
  <c r="Z8" i="70"/>
  <c r="Y8" i="70"/>
  <c r="X8" i="70"/>
  <c r="W8" i="70"/>
  <c r="V8" i="70"/>
  <c r="R8" i="70"/>
  <c r="M8" i="70"/>
  <c r="AN7" i="70"/>
  <c r="AL7" i="70"/>
  <c r="AH7" i="70"/>
  <c r="AG7" i="70"/>
  <c r="AF7" i="70"/>
  <c r="AE7" i="70"/>
  <c r="AD7" i="70"/>
  <c r="Z7" i="70"/>
  <c r="Y7" i="70"/>
  <c r="X7" i="70"/>
  <c r="W7" i="70"/>
  <c r="V7" i="70"/>
  <c r="R7" i="70"/>
  <c r="M7" i="70"/>
  <c r="L4" i="70"/>
  <c r="O953" i="20"/>
  <c r="N953" i="20"/>
  <c r="M953" i="20"/>
  <c r="L953" i="20"/>
  <c r="K953" i="20"/>
  <c r="J953" i="20"/>
  <c r="I953" i="20"/>
  <c r="H953" i="20"/>
  <c r="G953" i="20"/>
  <c r="F953" i="20"/>
  <c r="E953" i="20"/>
  <c r="O948" i="20"/>
  <c r="N948" i="20"/>
  <c r="M948" i="20"/>
  <c r="L948" i="20"/>
  <c r="K948" i="20"/>
  <c r="J948" i="20"/>
  <c r="I948" i="20"/>
  <c r="H948" i="20"/>
  <c r="G948" i="20"/>
  <c r="F948" i="20"/>
  <c r="E948" i="20"/>
  <c r="O947" i="20"/>
  <c r="N947" i="20"/>
  <c r="M947" i="20"/>
  <c r="L947" i="20"/>
  <c r="K947" i="20"/>
  <c r="J947" i="20"/>
  <c r="I947" i="20"/>
  <c r="H947" i="20"/>
  <c r="G947" i="20"/>
  <c r="F947" i="20"/>
  <c r="E947" i="20"/>
  <c r="O946" i="20"/>
  <c r="N946" i="20"/>
  <c r="M946" i="20"/>
  <c r="L946" i="20"/>
  <c r="G946" i="20"/>
  <c r="O945" i="20"/>
  <c r="N945" i="20"/>
  <c r="M945" i="20"/>
  <c r="L945" i="20"/>
  <c r="G945" i="20"/>
  <c r="O944" i="20"/>
  <c r="N944" i="20"/>
  <c r="M944" i="20"/>
  <c r="L944" i="20"/>
  <c r="G944" i="20"/>
  <c r="O943" i="20"/>
  <c r="N943" i="20"/>
  <c r="M943" i="20"/>
  <c r="L943" i="20"/>
  <c r="G943" i="20"/>
  <c r="O942" i="20"/>
  <c r="N942" i="20"/>
  <c r="M942" i="20"/>
  <c r="L942" i="20"/>
  <c r="G942" i="20"/>
  <c r="O941" i="20"/>
  <c r="N941" i="20"/>
  <c r="M941" i="20"/>
  <c r="L941" i="20"/>
  <c r="G941" i="20"/>
  <c r="O940" i="20"/>
  <c r="N940" i="20"/>
  <c r="M940" i="20"/>
  <c r="L940" i="20"/>
  <c r="G940" i="20"/>
  <c r="O939" i="20"/>
  <c r="N939" i="20"/>
  <c r="M939" i="20"/>
  <c r="L939" i="20"/>
  <c r="G939" i="20"/>
  <c r="O938" i="20"/>
  <c r="N938" i="20"/>
  <c r="M938" i="20"/>
  <c r="L938" i="20"/>
  <c r="G938" i="20"/>
  <c r="O937" i="20"/>
  <c r="N937" i="20"/>
  <c r="M937" i="20"/>
  <c r="L937" i="20"/>
  <c r="G937" i="20"/>
  <c r="O936" i="20"/>
  <c r="N936" i="20"/>
  <c r="M936" i="20"/>
  <c r="L936" i="20"/>
  <c r="G936" i="20"/>
  <c r="O935" i="20"/>
  <c r="N935" i="20"/>
  <c r="M935" i="20"/>
  <c r="L935" i="20"/>
  <c r="G935" i="20"/>
  <c r="O934" i="20"/>
  <c r="N934" i="20"/>
  <c r="M934" i="20"/>
  <c r="L934" i="20"/>
  <c r="G934" i="20"/>
  <c r="O933" i="20"/>
  <c r="N933" i="20"/>
  <c r="M933" i="20"/>
  <c r="L933" i="20"/>
  <c r="G933" i="20"/>
  <c r="O932" i="20"/>
  <c r="N932" i="20"/>
  <c r="M932" i="20"/>
  <c r="L932" i="20"/>
  <c r="G932" i="20"/>
  <c r="O931" i="20"/>
  <c r="N931" i="20"/>
  <c r="M931" i="20"/>
  <c r="L931" i="20"/>
  <c r="G931" i="20"/>
  <c r="O930" i="20"/>
  <c r="N930" i="20"/>
  <c r="M930" i="20"/>
  <c r="L930" i="20"/>
  <c r="G930" i="20"/>
  <c r="O929" i="20"/>
  <c r="N929" i="20"/>
  <c r="M929" i="20"/>
  <c r="L929" i="20"/>
  <c r="G929" i="20"/>
  <c r="O928" i="20"/>
  <c r="N928" i="20"/>
  <c r="M928" i="20"/>
  <c r="L928" i="20"/>
  <c r="G928" i="20"/>
  <c r="O927" i="20"/>
  <c r="N927" i="20"/>
  <c r="M927" i="20"/>
  <c r="L927" i="20"/>
  <c r="G927" i="20"/>
  <c r="O926" i="20"/>
  <c r="N926" i="20"/>
  <c r="M926" i="20"/>
  <c r="L926" i="20"/>
  <c r="G926" i="20"/>
  <c r="O925" i="20"/>
  <c r="N925" i="20"/>
  <c r="M925" i="20"/>
  <c r="L925" i="20"/>
  <c r="G925" i="20"/>
  <c r="O924" i="20"/>
  <c r="N924" i="20"/>
  <c r="M924" i="20"/>
  <c r="L924" i="20"/>
  <c r="G924" i="20"/>
  <c r="O923" i="20"/>
  <c r="N923" i="20"/>
  <c r="M923" i="20"/>
  <c r="L923" i="20"/>
  <c r="G923" i="20"/>
  <c r="O922" i="20"/>
  <c r="N922" i="20"/>
  <c r="M922" i="20"/>
  <c r="L922" i="20"/>
  <c r="G922" i="20"/>
  <c r="O921" i="20"/>
  <c r="N921" i="20"/>
  <c r="M921" i="20"/>
  <c r="L921" i="20"/>
  <c r="G921" i="20"/>
  <c r="O920" i="20"/>
  <c r="N920" i="20"/>
  <c r="M920" i="20"/>
  <c r="L920" i="20"/>
  <c r="G920" i="20"/>
  <c r="O919" i="20"/>
  <c r="N919" i="20"/>
  <c r="M919" i="20"/>
  <c r="L919" i="20"/>
  <c r="G919" i="20"/>
  <c r="O918" i="20"/>
  <c r="N918" i="20"/>
  <c r="M918" i="20"/>
  <c r="L918" i="20"/>
  <c r="G918" i="20"/>
  <c r="O917" i="20"/>
  <c r="N917" i="20"/>
  <c r="M917" i="20"/>
  <c r="L917" i="20"/>
  <c r="G917" i="20"/>
  <c r="O916" i="20"/>
  <c r="N916" i="20"/>
  <c r="M916" i="20"/>
  <c r="L916" i="20"/>
  <c r="G916" i="20"/>
  <c r="O915" i="20"/>
  <c r="N915" i="20"/>
  <c r="M915" i="20"/>
  <c r="L915" i="20"/>
  <c r="G915" i="20"/>
  <c r="O914" i="20"/>
  <c r="N914" i="20"/>
  <c r="M914" i="20"/>
  <c r="L914" i="20"/>
  <c r="G914" i="20"/>
  <c r="O913" i="20"/>
  <c r="N913" i="20"/>
  <c r="M913" i="20"/>
  <c r="L913" i="20"/>
  <c r="G913" i="20"/>
  <c r="O912" i="20"/>
  <c r="N912" i="20"/>
  <c r="M912" i="20"/>
  <c r="L912" i="20"/>
  <c r="G912" i="20"/>
  <c r="O911" i="20"/>
  <c r="N911" i="20"/>
  <c r="M911" i="20"/>
  <c r="L911" i="20"/>
  <c r="G911" i="20"/>
  <c r="O910" i="20"/>
  <c r="N910" i="20"/>
  <c r="M910" i="20"/>
  <c r="L910" i="20"/>
  <c r="G910" i="20"/>
  <c r="O909" i="20"/>
  <c r="N909" i="20"/>
  <c r="M909" i="20"/>
  <c r="L909" i="20"/>
  <c r="G909" i="20"/>
  <c r="O908" i="20"/>
  <c r="N908" i="20"/>
  <c r="M908" i="20"/>
  <c r="L908" i="20"/>
  <c r="G908" i="20"/>
  <c r="O907" i="20"/>
  <c r="N907" i="20"/>
  <c r="M907" i="20"/>
  <c r="L907" i="20"/>
  <c r="G907" i="20"/>
  <c r="O906" i="20"/>
  <c r="N906" i="20"/>
  <c r="M906" i="20"/>
  <c r="L906" i="20"/>
  <c r="G906" i="20"/>
  <c r="O905" i="20"/>
  <c r="N905" i="20"/>
  <c r="M905" i="20"/>
  <c r="L905" i="20"/>
  <c r="G905" i="20"/>
  <c r="O904" i="20"/>
  <c r="N904" i="20"/>
  <c r="M904" i="20"/>
  <c r="L904" i="20"/>
  <c r="G904" i="20"/>
  <c r="O903" i="20"/>
  <c r="N903" i="20"/>
  <c r="M903" i="20"/>
  <c r="L903" i="20"/>
  <c r="G903" i="20"/>
  <c r="O902" i="20"/>
  <c r="N902" i="20"/>
  <c r="M902" i="20"/>
  <c r="L902" i="20"/>
  <c r="G902" i="20"/>
  <c r="O901" i="20"/>
  <c r="N901" i="20"/>
  <c r="M901" i="20"/>
  <c r="L901" i="20"/>
  <c r="G901" i="20"/>
  <c r="O900" i="20"/>
  <c r="N900" i="20"/>
  <c r="M900" i="20"/>
  <c r="L900" i="20"/>
  <c r="G900" i="20"/>
  <c r="O899" i="20"/>
  <c r="N899" i="20"/>
  <c r="M899" i="20"/>
  <c r="L899" i="20"/>
  <c r="G899" i="20"/>
  <c r="O898" i="20"/>
  <c r="N898" i="20"/>
  <c r="M898" i="20"/>
  <c r="L898" i="20"/>
  <c r="G898" i="20"/>
  <c r="O897" i="20"/>
  <c r="N897" i="20"/>
  <c r="M897" i="20"/>
  <c r="L897" i="20"/>
  <c r="G897" i="20"/>
  <c r="O896" i="20"/>
  <c r="N896" i="20"/>
  <c r="M896" i="20"/>
  <c r="L896" i="20"/>
  <c r="G896" i="20"/>
  <c r="O895" i="20"/>
  <c r="N895" i="20"/>
  <c r="M895" i="20"/>
  <c r="L895" i="20"/>
  <c r="G895" i="20"/>
  <c r="O894" i="20"/>
  <c r="N894" i="20"/>
  <c r="M894" i="20"/>
  <c r="L894" i="20"/>
  <c r="G894" i="20"/>
  <c r="O893" i="20"/>
  <c r="N893" i="20"/>
  <c r="M893" i="20"/>
  <c r="L893" i="20"/>
  <c r="G893" i="20"/>
  <c r="O892" i="20"/>
  <c r="N892" i="20"/>
  <c r="M892" i="20"/>
  <c r="L892" i="20"/>
  <c r="G892" i="20"/>
  <c r="O891" i="20"/>
  <c r="N891" i="20"/>
  <c r="M891" i="20"/>
  <c r="L891" i="20"/>
  <c r="G891" i="20"/>
  <c r="O890" i="20"/>
  <c r="N890" i="20"/>
  <c r="M890" i="20"/>
  <c r="L890" i="20"/>
  <c r="G890" i="20"/>
  <c r="O889" i="20"/>
  <c r="N889" i="20"/>
  <c r="M889" i="20"/>
  <c r="L889" i="20"/>
  <c r="G889" i="20"/>
  <c r="O888" i="20"/>
  <c r="N888" i="20"/>
  <c r="M888" i="20"/>
  <c r="L888" i="20"/>
  <c r="G888" i="20"/>
  <c r="O887" i="20"/>
  <c r="N887" i="20"/>
  <c r="M887" i="20"/>
  <c r="L887" i="20"/>
  <c r="G887" i="20"/>
  <c r="O886" i="20"/>
  <c r="N886" i="20"/>
  <c r="M886" i="20"/>
  <c r="L886" i="20"/>
  <c r="G886" i="20"/>
  <c r="O885" i="20"/>
  <c r="N885" i="20"/>
  <c r="M885" i="20"/>
  <c r="L885" i="20"/>
  <c r="G885" i="20"/>
  <c r="O884" i="20"/>
  <c r="N884" i="20"/>
  <c r="M884" i="20"/>
  <c r="L884" i="20"/>
  <c r="G884" i="20"/>
  <c r="O883" i="20"/>
  <c r="N883" i="20"/>
  <c r="M883" i="20"/>
  <c r="L883" i="20"/>
  <c r="G883" i="20"/>
  <c r="O882" i="20"/>
  <c r="N882" i="20"/>
  <c r="M882" i="20"/>
  <c r="L882" i="20"/>
  <c r="G882" i="20"/>
  <c r="O881" i="20"/>
  <c r="N881" i="20"/>
  <c r="M881" i="20"/>
  <c r="L881" i="20"/>
  <c r="G881" i="20"/>
  <c r="O880" i="20"/>
  <c r="N880" i="20"/>
  <c r="M880" i="20"/>
  <c r="L880" i="20"/>
  <c r="G880" i="20"/>
  <c r="O879" i="20"/>
  <c r="N879" i="20"/>
  <c r="M879" i="20"/>
  <c r="L879" i="20"/>
  <c r="G879" i="20"/>
  <c r="O878" i="20"/>
  <c r="N878" i="20"/>
  <c r="M878" i="20"/>
  <c r="L878" i="20"/>
  <c r="G878" i="20"/>
  <c r="O877" i="20"/>
  <c r="N877" i="20"/>
  <c r="M877" i="20"/>
  <c r="L877" i="20"/>
  <c r="G877" i="20"/>
  <c r="O876" i="20"/>
  <c r="N876" i="20"/>
  <c r="M876" i="20"/>
  <c r="L876" i="20"/>
  <c r="G876" i="20"/>
  <c r="O875" i="20"/>
  <c r="N875" i="20"/>
  <c r="M875" i="20"/>
  <c r="L875" i="20"/>
  <c r="G875" i="20"/>
  <c r="O874" i="20"/>
  <c r="N874" i="20"/>
  <c r="M874" i="20"/>
  <c r="L874" i="20"/>
  <c r="G874" i="20"/>
  <c r="O873" i="20"/>
  <c r="N873" i="20"/>
  <c r="M873" i="20"/>
  <c r="L873" i="20"/>
  <c r="G873" i="20"/>
  <c r="O872" i="20"/>
  <c r="N872" i="20"/>
  <c r="M872" i="20"/>
  <c r="L872" i="20"/>
  <c r="G872" i="20"/>
  <c r="O871" i="20"/>
  <c r="N871" i="20"/>
  <c r="M871" i="20"/>
  <c r="L871" i="20"/>
  <c r="G871" i="20"/>
  <c r="O870" i="20"/>
  <c r="N870" i="20"/>
  <c r="M870" i="20"/>
  <c r="L870" i="20"/>
  <c r="G870" i="20"/>
  <c r="O869" i="20"/>
  <c r="N869" i="20"/>
  <c r="M869" i="20"/>
  <c r="L869" i="20"/>
  <c r="G869" i="20"/>
  <c r="O868" i="20"/>
  <c r="N868" i="20"/>
  <c r="M868" i="20"/>
  <c r="L868" i="20"/>
  <c r="G868" i="20"/>
  <c r="O867" i="20"/>
  <c r="N867" i="20"/>
  <c r="M867" i="20"/>
  <c r="L867" i="20"/>
  <c r="G867" i="20"/>
  <c r="O866" i="20"/>
  <c r="N866" i="20"/>
  <c r="M866" i="20"/>
  <c r="L866" i="20"/>
  <c r="G866" i="20"/>
  <c r="O865" i="20"/>
  <c r="N865" i="20"/>
  <c r="M865" i="20"/>
  <c r="L865" i="20"/>
  <c r="G865" i="20"/>
  <c r="O864" i="20"/>
  <c r="N864" i="20"/>
  <c r="M864" i="20"/>
  <c r="L864" i="20"/>
  <c r="G864" i="20"/>
  <c r="O863" i="20"/>
  <c r="N863" i="20"/>
  <c r="M863" i="20"/>
  <c r="L863" i="20"/>
  <c r="G863" i="20"/>
  <c r="O862" i="20"/>
  <c r="N862" i="20"/>
  <c r="M862" i="20"/>
  <c r="L862" i="20"/>
  <c r="G862" i="20"/>
  <c r="O861" i="20"/>
  <c r="N861" i="20"/>
  <c r="M861" i="20"/>
  <c r="L861" i="20"/>
  <c r="G861" i="20"/>
  <c r="O860" i="20"/>
  <c r="N860" i="20"/>
  <c r="M860" i="20"/>
  <c r="L860" i="20"/>
  <c r="G860" i="20"/>
  <c r="O859" i="20"/>
  <c r="N859" i="20"/>
  <c r="M859" i="20"/>
  <c r="L859" i="20"/>
  <c r="G859" i="20"/>
  <c r="O858" i="20"/>
  <c r="N858" i="20"/>
  <c r="M858" i="20"/>
  <c r="L858" i="20"/>
  <c r="G858" i="20"/>
  <c r="O857" i="20"/>
  <c r="N857" i="20"/>
  <c r="M857" i="20"/>
  <c r="L857" i="20"/>
  <c r="G857" i="20"/>
  <c r="O856" i="20"/>
  <c r="N856" i="20"/>
  <c r="M856" i="20"/>
  <c r="L856" i="20"/>
  <c r="G856" i="20"/>
  <c r="O855" i="20"/>
  <c r="N855" i="20"/>
  <c r="M855" i="20"/>
  <c r="L855" i="20"/>
  <c r="G855" i="20"/>
  <c r="O854" i="20"/>
  <c r="N854" i="20"/>
  <c r="M854" i="20"/>
  <c r="L854" i="20"/>
  <c r="G854" i="20"/>
  <c r="O853" i="20"/>
  <c r="N853" i="20"/>
  <c r="M853" i="20"/>
  <c r="L853" i="20"/>
  <c r="G853" i="20"/>
  <c r="O852" i="20"/>
  <c r="N852" i="20"/>
  <c r="M852" i="20"/>
  <c r="L852" i="20"/>
  <c r="G852" i="20"/>
  <c r="O851" i="20"/>
  <c r="N851" i="20"/>
  <c r="M851" i="20"/>
  <c r="L851" i="20"/>
  <c r="G851" i="20"/>
  <c r="O850" i="20"/>
  <c r="N850" i="20"/>
  <c r="M850" i="20"/>
  <c r="L850" i="20"/>
  <c r="G850" i="20"/>
  <c r="O849" i="20"/>
  <c r="N849" i="20"/>
  <c r="M849" i="20"/>
  <c r="L849" i="20"/>
  <c r="G849" i="20"/>
  <c r="O848" i="20"/>
  <c r="N848" i="20"/>
  <c r="M848" i="20"/>
  <c r="L848" i="20"/>
  <c r="G848" i="20"/>
  <c r="O847" i="20"/>
  <c r="N847" i="20"/>
  <c r="M847" i="20"/>
  <c r="L847" i="20"/>
  <c r="G847" i="20"/>
  <c r="O846" i="20"/>
  <c r="N846" i="20"/>
  <c r="M846" i="20"/>
  <c r="L846" i="20"/>
  <c r="G846" i="20"/>
  <c r="O845" i="20"/>
  <c r="N845" i="20"/>
  <c r="M845" i="20"/>
  <c r="L845" i="20"/>
  <c r="G845" i="20"/>
  <c r="O844" i="20"/>
  <c r="N844" i="20"/>
  <c r="M844" i="20"/>
  <c r="L844" i="20"/>
  <c r="G844" i="20"/>
  <c r="O843" i="20"/>
  <c r="N843" i="20"/>
  <c r="M843" i="20"/>
  <c r="L843" i="20"/>
  <c r="G843" i="20"/>
  <c r="O842" i="20"/>
  <c r="N842" i="20"/>
  <c r="M842" i="20"/>
  <c r="L842" i="20"/>
  <c r="G842" i="20"/>
  <c r="O841" i="20"/>
  <c r="N841" i="20"/>
  <c r="M841" i="20"/>
  <c r="L841" i="20"/>
  <c r="G841" i="20"/>
  <c r="O840" i="20"/>
  <c r="N840" i="20"/>
  <c r="M840" i="20"/>
  <c r="L840" i="20"/>
  <c r="G840" i="20"/>
  <c r="O839" i="20"/>
  <c r="N839" i="20"/>
  <c r="M839" i="20"/>
  <c r="L839" i="20"/>
  <c r="G839" i="20"/>
  <c r="O838" i="20"/>
  <c r="N838" i="20"/>
  <c r="M838" i="20"/>
  <c r="L838" i="20"/>
  <c r="G838" i="20"/>
  <c r="O837" i="20"/>
  <c r="N837" i="20"/>
  <c r="M837" i="20"/>
  <c r="L837" i="20"/>
  <c r="G837" i="20"/>
  <c r="O836" i="20"/>
  <c r="N836" i="20"/>
  <c r="M836" i="20"/>
  <c r="L836" i="20"/>
  <c r="G836" i="20"/>
  <c r="O835" i="20"/>
  <c r="N835" i="20"/>
  <c r="M835" i="20"/>
  <c r="L835" i="20"/>
  <c r="G835" i="20"/>
  <c r="O834" i="20"/>
  <c r="N834" i="20"/>
  <c r="M834" i="20"/>
  <c r="L834" i="20"/>
  <c r="G834" i="20"/>
  <c r="O833" i="20"/>
  <c r="N833" i="20"/>
  <c r="M833" i="20"/>
  <c r="L833" i="20"/>
  <c r="G833" i="20"/>
  <c r="O832" i="20"/>
  <c r="N832" i="20"/>
  <c r="M832" i="20"/>
  <c r="L832" i="20"/>
  <c r="G832" i="20"/>
  <c r="O831" i="20"/>
  <c r="N831" i="20"/>
  <c r="M831" i="20"/>
  <c r="L831" i="20"/>
  <c r="G831" i="20"/>
  <c r="O830" i="20"/>
  <c r="N830" i="20"/>
  <c r="M830" i="20"/>
  <c r="L830" i="20"/>
  <c r="G830" i="20"/>
  <c r="O829" i="20"/>
  <c r="N829" i="20"/>
  <c r="M829" i="20"/>
  <c r="L829" i="20"/>
  <c r="G829" i="20"/>
  <c r="O828" i="20"/>
  <c r="N828" i="20"/>
  <c r="M828" i="20"/>
  <c r="L828" i="20"/>
  <c r="G828" i="20"/>
  <c r="O827" i="20"/>
  <c r="N827" i="20"/>
  <c r="M827" i="20"/>
  <c r="L827" i="20"/>
  <c r="G827" i="20"/>
  <c r="O826" i="20"/>
  <c r="N826" i="20"/>
  <c r="M826" i="20"/>
  <c r="L826" i="20"/>
  <c r="G826" i="20"/>
  <c r="O825" i="20"/>
  <c r="N825" i="20"/>
  <c r="M825" i="20"/>
  <c r="L825" i="20"/>
  <c r="G825" i="20"/>
  <c r="O824" i="20"/>
  <c r="N824" i="20"/>
  <c r="M824" i="20"/>
  <c r="L824" i="20"/>
  <c r="G824" i="20"/>
  <c r="O823" i="20"/>
  <c r="N823" i="20"/>
  <c r="M823" i="20"/>
  <c r="L823" i="20"/>
  <c r="G823" i="20"/>
  <c r="O822" i="20"/>
  <c r="N822" i="20"/>
  <c r="M822" i="20"/>
  <c r="L822" i="20"/>
  <c r="G822" i="20"/>
  <c r="O821" i="20"/>
  <c r="N821" i="20"/>
  <c r="M821" i="20"/>
  <c r="L821" i="20"/>
  <c r="G821" i="20"/>
  <c r="O820" i="20"/>
  <c r="N820" i="20"/>
  <c r="M820" i="20"/>
  <c r="L820" i="20"/>
  <c r="G820" i="20"/>
  <c r="O819" i="20"/>
  <c r="N819" i="20"/>
  <c r="M819" i="20"/>
  <c r="L819" i="20"/>
  <c r="G819" i="20"/>
  <c r="O818" i="20"/>
  <c r="N818" i="20"/>
  <c r="M818" i="20"/>
  <c r="L818" i="20"/>
  <c r="G818" i="20"/>
  <c r="O817" i="20"/>
  <c r="N817" i="20"/>
  <c r="M817" i="20"/>
  <c r="L817" i="20"/>
  <c r="G817" i="20"/>
  <c r="O816" i="20"/>
  <c r="N816" i="20"/>
  <c r="M816" i="20"/>
  <c r="L816" i="20"/>
  <c r="G816" i="20"/>
  <c r="O815" i="20"/>
  <c r="N815" i="20"/>
  <c r="M815" i="20"/>
  <c r="L815" i="20"/>
  <c r="G815" i="20"/>
  <c r="O814" i="20"/>
  <c r="N814" i="20"/>
  <c r="M814" i="20"/>
  <c r="L814" i="20"/>
  <c r="G814" i="20"/>
  <c r="O813" i="20"/>
  <c r="N813" i="20"/>
  <c r="M813" i="20"/>
  <c r="L813" i="20"/>
  <c r="G813" i="20"/>
  <c r="O812" i="20"/>
  <c r="N812" i="20"/>
  <c r="M812" i="20"/>
  <c r="L812" i="20"/>
  <c r="G812" i="20"/>
  <c r="O811" i="20"/>
  <c r="N811" i="20"/>
  <c r="M811" i="20"/>
  <c r="L811" i="20"/>
  <c r="G811" i="20"/>
  <c r="O810" i="20"/>
  <c r="N810" i="20"/>
  <c r="M810" i="20"/>
  <c r="L810" i="20"/>
  <c r="G810" i="20"/>
  <c r="O809" i="20"/>
  <c r="N809" i="20"/>
  <c r="M809" i="20"/>
  <c r="L809" i="20"/>
  <c r="G809" i="20"/>
  <c r="O808" i="20"/>
  <c r="N808" i="20"/>
  <c r="M808" i="20"/>
  <c r="L808" i="20"/>
  <c r="G808" i="20"/>
  <c r="O807" i="20"/>
  <c r="N807" i="20"/>
  <c r="M807" i="20"/>
  <c r="L807" i="20"/>
  <c r="G807" i="20"/>
  <c r="O806" i="20"/>
  <c r="N806" i="20"/>
  <c r="M806" i="20"/>
  <c r="L806" i="20"/>
  <c r="G806" i="20"/>
  <c r="O805" i="20"/>
  <c r="N805" i="20"/>
  <c r="M805" i="20"/>
  <c r="L805" i="20"/>
  <c r="G805" i="20"/>
  <c r="O804" i="20"/>
  <c r="N804" i="20"/>
  <c r="M804" i="20"/>
  <c r="L804" i="20"/>
  <c r="G804" i="20"/>
  <c r="O803" i="20"/>
  <c r="N803" i="20"/>
  <c r="M803" i="20"/>
  <c r="L803" i="20"/>
  <c r="G803" i="20"/>
  <c r="O802" i="20"/>
  <c r="N802" i="20"/>
  <c r="M802" i="20"/>
  <c r="L802" i="20"/>
  <c r="G802" i="20"/>
  <c r="O801" i="20"/>
  <c r="N801" i="20"/>
  <c r="M801" i="20"/>
  <c r="L801" i="20"/>
  <c r="G801" i="20"/>
  <c r="O800" i="20"/>
  <c r="N800" i="20"/>
  <c r="M800" i="20"/>
  <c r="L800" i="20"/>
  <c r="G800" i="20"/>
  <c r="O799" i="20"/>
  <c r="N799" i="20"/>
  <c r="M799" i="20"/>
  <c r="L799" i="20"/>
  <c r="G799" i="20"/>
  <c r="O798" i="20"/>
  <c r="N798" i="20"/>
  <c r="M798" i="20"/>
  <c r="L798" i="20"/>
  <c r="G798" i="20"/>
  <c r="O797" i="20"/>
  <c r="N797" i="20"/>
  <c r="M797" i="20"/>
  <c r="L797" i="20"/>
  <c r="G797" i="20"/>
  <c r="O796" i="20"/>
  <c r="N796" i="20"/>
  <c r="M796" i="20"/>
  <c r="L796" i="20"/>
  <c r="G796" i="20"/>
  <c r="O795" i="20"/>
  <c r="N795" i="20"/>
  <c r="M795" i="20"/>
  <c r="L795" i="20"/>
  <c r="G795" i="20"/>
  <c r="O794" i="20"/>
  <c r="N794" i="20"/>
  <c r="M794" i="20"/>
  <c r="L794" i="20"/>
  <c r="G794" i="20"/>
  <c r="O793" i="20"/>
  <c r="N793" i="20"/>
  <c r="M793" i="20"/>
  <c r="L793" i="20"/>
  <c r="G793" i="20"/>
  <c r="O792" i="20"/>
  <c r="N792" i="20"/>
  <c r="M792" i="20"/>
  <c r="L792" i="20"/>
  <c r="G792" i="20"/>
  <c r="O791" i="20"/>
  <c r="N791" i="20"/>
  <c r="M791" i="20"/>
  <c r="L791" i="20"/>
  <c r="G791" i="20"/>
  <c r="O790" i="20"/>
  <c r="N790" i="20"/>
  <c r="M790" i="20"/>
  <c r="L790" i="20"/>
  <c r="G790" i="20"/>
  <c r="O789" i="20"/>
  <c r="N789" i="20"/>
  <c r="M789" i="20"/>
  <c r="L789" i="20"/>
  <c r="G789" i="20"/>
  <c r="O788" i="20"/>
  <c r="N788" i="20"/>
  <c r="M788" i="20"/>
  <c r="L788" i="20"/>
  <c r="G788" i="20"/>
  <c r="O787" i="20"/>
  <c r="N787" i="20"/>
  <c r="M787" i="20"/>
  <c r="L787" i="20"/>
  <c r="G787" i="20"/>
  <c r="O786" i="20"/>
  <c r="N786" i="20"/>
  <c r="M786" i="20"/>
  <c r="L786" i="20"/>
  <c r="G786" i="20"/>
  <c r="O785" i="20"/>
  <c r="N785" i="20"/>
  <c r="M785" i="20"/>
  <c r="L785" i="20"/>
  <c r="G785" i="20"/>
  <c r="O784" i="20"/>
  <c r="N784" i="20"/>
  <c r="M784" i="20"/>
  <c r="L784" i="20"/>
  <c r="G784" i="20"/>
  <c r="O783" i="20"/>
  <c r="N783" i="20"/>
  <c r="M783" i="20"/>
  <c r="L783" i="20"/>
  <c r="G783" i="20"/>
  <c r="O782" i="20"/>
  <c r="N782" i="20"/>
  <c r="M782" i="20"/>
  <c r="L782" i="20"/>
  <c r="G782" i="20"/>
  <c r="O781" i="20"/>
  <c r="N781" i="20"/>
  <c r="M781" i="20"/>
  <c r="L781" i="20"/>
  <c r="G781" i="20"/>
  <c r="O780" i="20"/>
  <c r="N780" i="20"/>
  <c r="M780" i="20"/>
  <c r="L780" i="20"/>
  <c r="G780" i="20"/>
  <c r="O779" i="20"/>
  <c r="N779" i="20"/>
  <c r="M779" i="20"/>
  <c r="L779" i="20"/>
  <c r="G779" i="20"/>
  <c r="O778" i="20"/>
  <c r="N778" i="20"/>
  <c r="M778" i="20"/>
  <c r="L778" i="20"/>
  <c r="G778" i="20"/>
  <c r="O777" i="20"/>
  <c r="N777" i="20"/>
  <c r="M777" i="20"/>
  <c r="L777" i="20"/>
  <c r="G777" i="20"/>
  <c r="O776" i="20"/>
  <c r="N776" i="20"/>
  <c r="M776" i="20"/>
  <c r="L776" i="20"/>
  <c r="G776" i="20"/>
  <c r="O775" i="20"/>
  <c r="N775" i="20"/>
  <c r="M775" i="20"/>
  <c r="L775" i="20"/>
  <c r="G775" i="20"/>
  <c r="O774" i="20"/>
  <c r="N774" i="20"/>
  <c r="M774" i="20"/>
  <c r="L774" i="20"/>
  <c r="G774" i="20"/>
  <c r="O773" i="20"/>
  <c r="N773" i="20"/>
  <c r="M773" i="20"/>
  <c r="L773" i="20"/>
  <c r="G773" i="20"/>
  <c r="O772" i="20"/>
  <c r="N772" i="20"/>
  <c r="M772" i="20"/>
  <c r="L772" i="20"/>
  <c r="G772" i="20"/>
  <c r="O771" i="20"/>
  <c r="N771" i="20"/>
  <c r="M771" i="20"/>
  <c r="L771" i="20"/>
  <c r="G771" i="20"/>
  <c r="O770" i="20"/>
  <c r="N770" i="20"/>
  <c r="M770" i="20"/>
  <c r="L770" i="20"/>
  <c r="G770" i="20"/>
  <c r="O769" i="20"/>
  <c r="N769" i="20"/>
  <c r="M769" i="20"/>
  <c r="L769" i="20"/>
  <c r="G769" i="20"/>
  <c r="O768" i="20"/>
  <c r="N768" i="20"/>
  <c r="M768" i="20"/>
  <c r="L768" i="20"/>
  <c r="G768" i="20"/>
  <c r="O767" i="20"/>
  <c r="N767" i="20"/>
  <c r="M767" i="20"/>
  <c r="L767" i="20"/>
  <c r="G767" i="20"/>
  <c r="O766" i="20"/>
  <c r="N766" i="20"/>
  <c r="M766" i="20"/>
  <c r="L766" i="20"/>
  <c r="G766" i="20"/>
  <c r="O765" i="20"/>
  <c r="N765" i="20"/>
  <c r="M765" i="20"/>
  <c r="L765" i="20"/>
  <c r="G765" i="20"/>
  <c r="O764" i="20"/>
  <c r="N764" i="20"/>
  <c r="M764" i="20"/>
  <c r="L764" i="20"/>
  <c r="G764" i="20"/>
  <c r="O763" i="20"/>
  <c r="N763" i="20"/>
  <c r="M763" i="20"/>
  <c r="L763" i="20"/>
  <c r="G763" i="20"/>
  <c r="O762" i="20"/>
  <c r="N762" i="20"/>
  <c r="M762" i="20"/>
  <c r="L762" i="20"/>
  <c r="G762" i="20"/>
  <c r="O761" i="20"/>
  <c r="N761" i="20"/>
  <c r="M761" i="20"/>
  <c r="L761" i="20"/>
  <c r="G761" i="20"/>
  <c r="O760" i="20"/>
  <c r="N760" i="20"/>
  <c r="M760" i="20"/>
  <c r="L760" i="20"/>
  <c r="G760" i="20"/>
  <c r="O759" i="20"/>
  <c r="N759" i="20"/>
  <c r="M759" i="20"/>
  <c r="L759" i="20"/>
  <c r="G759" i="20"/>
  <c r="O758" i="20"/>
  <c r="N758" i="20"/>
  <c r="M758" i="20"/>
  <c r="L758" i="20"/>
  <c r="G758" i="20"/>
  <c r="O757" i="20"/>
  <c r="N757" i="20"/>
  <c r="M757" i="20"/>
  <c r="L757" i="20"/>
  <c r="G757" i="20"/>
  <c r="O756" i="20"/>
  <c r="N756" i="20"/>
  <c r="M756" i="20"/>
  <c r="L756" i="20"/>
  <c r="G756" i="20"/>
  <c r="O755" i="20"/>
  <c r="N755" i="20"/>
  <c r="M755" i="20"/>
  <c r="L755" i="20"/>
  <c r="G755" i="20"/>
  <c r="O754" i="20"/>
  <c r="N754" i="20"/>
  <c r="M754" i="20"/>
  <c r="L754" i="20"/>
  <c r="G754" i="20"/>
  <c r="O753" i="20"/>
  <c r="N753" i="20"/>
  <c r="M753" i="20"/>
  <c r="L753" i="20"/>
  <c r="G753" i="20"/>
  <c r="O752" i="20"/>
  <c r="N752" i="20"/>
  <c r="M752" i="20"/>
  <c r="L752" i="20"/>
  <c r="G752" i="20"/>
  <c r="O751" i="20"/>
  <c r="N751" i="20"/>
  <c r="M751" i="20"/>
  <c r="L751" i="20"/>
  <c r="G751" i="20"/>
  <c r="O750" i="20"/>
  <c r="N750" i="20"/>
  <c r="M750" i="20"/>
  <c r="L750" i="20"/>
  <c r="G750" i="20"/>
  <c r="O749" i="20"/>
  <c r="N749" i="20"/>
  <c r="M749" i="20"/>
  <c r="L749" i="20"/>
  <c r="G749" i="20"/>
  <c r="O748" i="20"/>
  <c r="N748" i="20"/>
  <c r="M748" i="20"/>
  <c r="L748" i="20"/>
  <c r="G748" i="20"/>
  <c r="O747" i="20"/>
  <c r="N747" i="20"/>
  <c r="M747" i="20"/>
  <c r="L747" i="20"/>
  <c r="G747" i="20"/>
  <c r="O746" i="20"/>
  <c r="N746" i="20"/>
  <c r="M746" i="20"/>
  <c r="L746" i="20"/>
  <c r="G746" i="20"/>
  <c r="O745" i="20"/>
  <c r="N745" i="20"/>
  <c r="M745" i="20"/>
  <c r="L745" i="20"/>
  <c r="G745" i="20"/>
  <c r="O744" i="20"/>
  <c r="N744" i="20"/>
  <c r="M744" i="20"/>
  <c r="L744" i="20"/>
  <c r="G744" i="20"/>
  <c r="O743" i="20"/>
  <c r="N743" i="20"/>
  <c r="M743" i="20"/>
  <c r="L743" i="20"/>
  <c r="G743" i="20"/>
  <c r="O742" i="20"/>
  <c r="N742" i="20"/>
  <c r="M742" i="20"/>
  <c r="L742" i="20"/>
  <c r="G742" i="20"/>
  <c r="O741" i="20"/>
  <c r="N741" i="20"/>
  <c r="M741" i="20"/>
  <c r="L741" i="20"/>
  <c r="G741" i="20"/>
  <c r="O740" i="20"/>
  <c r="N740" i="20"/>
  <c r="M740" i="20"/>
  <c r="L740" i="20"/>
  <c r="G740" i="20"/>
  <c r="O739" i="20"/>
  <c r="N739" i="20"/>
  <c r="M739" i="20"/>
  <c r="L739" i="20"/>
  <c r="G739" i="20"/>
  <c r="O738" i="20"/>
  <c r="N738" i="20"/>
  <c r="M738" i="20"/>
  <c r="L738" i="20"/>
  <c r="G738" i="20"/>
  <c r="O737" i="20"/>
  <c r="N737" i="20"/>
  <c r="M737" i="20"/>
  <c r="L737" i="20"/>
  <c r="G737" i="20"/>
  <c r="O736" i="20"/>
  <c r="N736" i="20"/>
  <c r="M736" i="20"/>
  <c r="L736" i="20"/>
  <c r="G736" i="20"/>
  <c r="O735" i="20"/>
  <c r="N735" i="20"/>
  <c r="M735" i="20"/>
  <c r="L735" i="20"/>
  <c r="G735" i="20"/>
  <c r="O734" i="20"/>
  <c r="N734" i="20"/>
  <c r="M734" i="20"/>
  <c r="L734" i="20"/>
  <c r="G734" i="20"/>
  <c r="O733" i="20"/>
  <c r="N733" i="20"/>
  <c r="M733" i="20"/>
  <c r="L733" i="20"/>
  <c r="G733" i="20"/>
  <c r="O732" i="20"/>
  <c r="N732" i="20"/>
  <c r="M732" i="20"/>
  <c r="L732" i="20"/>
  <c r="G732" i="20"/>
  <c r="O731" i="20"/>
  <c r="N731" i="20"/>
  <c r="M731" i="20"/>
  <c r="L731" i="20"/>
  <c r="G731" i="20"/>
  <c r="O730" i="20"/>
  <c r="N730" i="20"/>
  <c r="M730" i="20"/>
  <c r="L730" i="20"/>
  <c r="G730" i="20"/>
  <c r="O729" i="20"/>
  <c r="N729" i="20"/>
  <c r="M729" i="20"/>
  <c r="L729" i="20"/>
  <c r="G729" i="20"/>
  <c r="O728" i="20"/>
  <c r="N728" i="20"/>
  <c r="M728" i="20"/>
  <c r="L728" i="20"/>
  <c r="G728" i="20"/>
  <c r="O727" i="20"/>
  <c r="N727" i="20"/>
  <c r="M727" i="20"/>
  <c r="L727" i="20"/>
  <c r="G727" i="20"/>
  <c r="O726" i="20"/>
  <c r="N726" i="20"/>
  <c r="M726" i="20"/>
  <c r="L726" i="20"/>
  <c r="G726" i="20"/>
  <c r="O725" i="20"/>
  <c r="N725" i="20"/>
  <c r="M725" i="20"/>
  <c r="L725" i="20"/>
  <c r="G725" i="20"/>
  <c r="O724" i="20"/>
  <c r="N724" i="20"/>
  <c r="M724" i="20"/>
  <c r="L724" i="20"/>
  <c r="G724" i="20"/>
  <c r="O723" i="20"/>
  <c r="N723" i="20"/>
  <c r="M723" i="20"/>
  <c r="L723" i="20"/>
  <c r="G723" i="20"/>
  <c r="O722" i="20"/>
  <c r="N722" i="20"/>
  <c r="M722" i="20"/>
  <c r="L722" i="20"/>
  <c r="G722" i="20"/>
  <c r="O721" i="20"/>
  <c r="N721" i="20"/>
  <c r="M721" i="20"/>
  <c r="L721" i="20"/>
  <c r="G721" i="20"/>
  <c r="O720" i="20"/>
  <c r="N720" i="20"/>
  <c r="M720" i="20"/>
  <c r="L720" i="20"/>
  <c r="G720" i="20"/>
  <c r="O719" i="20"/>
  <c r="N719" i="20"/>
  <c r="M719" i="20"/>
  <c r="L719" i="20"/>
  <c r="G719" i="20"/>
  <c r="O718" i="20"/>
  <c r="N718" i="20"/>
  <c r="M718" i="20"/>
  <c r="L718" i="20"/>
  <c r="G718" i="20"/>
  <c r="O717" i="20"/>
  <c r="N717" i="20"/>
  <c r="M717" i="20"/>
  <c r="L717" i="20"/>
  <c r="G717" i="20"/>
  <c r="O716" i="20"/>
  <c r="N716" i="20"/>
  <c r="M716" i="20"/>
  <c r="L716" i="20"/>
  <c r="G716" i="20"/>
  <c r="O715" i="20"/>
  <c r="N715" i="20"/>
  <c r="M715" i="20"/>
  <c r="L715" i="20"/>
  <c r="G715" i="20"/>
  <c r="O714" i="20"/>
  <c r="N714" i="20"/>
  <c r="M714" i="20"/>
  <c r="L714" i="20"/>
  <c r="G714" i="20"/>
  <c r="O713" i="20"/>
  <c r="N713" i="20"/>
  <c r="M713" i="20"/>
  <c r="L713" i="20"/>
  <c r="G713" i="20"/>
  <c r="O712" i="20"/>
  <c r="N712" i="20"/>
  <c r="M712" i="20"/>
  <c r="L712" i="20"/>
  <c r="G712" i="20"/>
  <c r="O711" i="20"/>
  <c r="N711" i="20"/>
  <c r="M711" i="20"/>
  <c r="L711" i="20"/>
  <c r="G711" i="20"/>
  <c r="O710" i="20"/>
  <c r="N710" i="20"/>
  <c r="M710" i="20"/>
  <c r="L710" i="20"/>
  <c r="G710" i="20"/>
  <c r="O709" i="20"/>
  <c r="N709" i="20"/>
  <c r="M709" i="20"/>
  <c r="L709" i="20"/>
  <c r="G709" i="20"/>
  <c r="O708" i="20"/>
  <c r="N708" i="20"/>
  <c r="M708" i="20"/>
  <c r="L708" i="20"/>
  <c r="G708" i="20"/>
  <c r="O707" i="20"/>
  <c r="N707" i="20"/>
  <c r="M707" i="20"/>
  <c r="L707" i="20"/>
  <c r="G707" i="20"/>
  <c r="O706" i="20"/>
  <c r="N706" i="20"/>
  <c r="M706" i="20"/>
  <c r="L706" i="20"/>
  <c r="G706" i="20"/>
  <c r="O705" i="20"/>
  <c r="N705" i="20"/>
  <c r="M705" i="20"/>
  <c r="L705" i="20"/>
  <c r="G705" i="20"/>
  <c r="O704" i="20"/>
  <c r="N704" i="20"/>
  <c r="M704" i="20"/>
  <c r="L704" i="20"/>
  <c r="G704" i="20"/>
  <c r="O703" i="20"/>
  <c r="N703" i="20"/>
  <c r="M703" i="20"/>
  <c r="L703" i="20"/>
  <c r="G703" i="20"/>
  <c r="O702" i="20"/>
  <c r="N702" i="20"/>
  <c r="M702" i="20"/>
  <c r="L702" i="20"/>
  <c r="G702" i="20"/>
  <c r="O701" i="20"/>
  <c r="N701" i="20"/>
  <c r="M701" i="20"/>
  <c r="L701" i="20"/>
  <c r="G701" i="20"/>
  <c r="O700" i="20"/>
  <c r="N700" i="20"/>
  <c r="M700" i="20"/>
  <c r="L700" i="20"/>
  <c r="G700" i="20"/>
  <c r="O699" i="20"/>
  <c r="N699" i="20"/>
  <c r="M699" i="20"/>
  <c r="L699" i="20"/>
  <c r="G699" i="20"/>
  <c r="O698" i="20"/>
  <c r="N698" i="20"/>
  <c r="M698" i="20"/>
  <c r="L698" i="20"/>
  <c r="G698" i="20"/>
  <c r="O697" i="20"/>
  <c r="N697" i="20"/>
  <c r="M697" i="20"/>
  <c r="L697" i="20"/>
  <c r="G697" i="20"/>
  <c r="O696" i="20"/>
  <c r="N696" i="20"/>
  <c r="M696" i="20"/>
  <c r="L696" i="20"/>
  <c r="G696" i="20"/>
  <c r="O695" i="20"/>
  <c r="N695" i="20"/>
  <c r="M695" i="20"/>
  <c r="L695" i="20"/>
  <c r="G695" i="20"/>
  <c r="O694" i="20"/>
  <c r="N694" i="20"/>
  <c r="M694" i="20"/>
  <c r="L694" i="20"/>
  <c r="G694" i="20"/>
  <c r="O693" i="20"/>
  <c r="N693" i="20"/>
  <c r="M693" i="20"/>
  <c r="L693" i="20"/>
  <c r="G693" i="20"/>
  <c r="O692" i="20"/>
  <c r="N692" i="20"/>
  <c r="M692" i="20"/>
  <c r="L692" i="20"/>
  <c r="G692" i="20"/>
  <c r="O691" i="20"/>
  <c r="N691" i="20"/>
  <c r="M691" i="20"/>
  <c r="L691" i="20"/>
  <c r="G691" i="20"/>
  <c r="O690" i="20"/>
  <c r="N690" i="20"/>
  <c r="M690" i="20"/>
  <c r="L690" i="20"/>
  <c r="G690" i="20"/>
  <c r="O689" i="20"/>
  <c r="N689" i="20"/>
  <c r="M689" i="20"/>
  <c r="L689" i="20"/>
  <c r="G689" i="20"/>
  <c r="O688" i="20"/>
  <c r="N688" i="20"/>
  <c r="M688" i="20"/>
  <c r="L688" i="20"/>
  <c r="G688" i="20"/>
  <c r="O687" i="20"/>
  <c r="N687" i="20"/>
  <c r="M687" i="20"/>
  <c r="L687" i="20"/>
  <c r="G687" i="20"/>
  <c r="O686" i="20"/>
  <c r="N686" i="20"/>
  <c r="M686" i="20"/>
  <c r="L686" i="20"/>
  <c r="G686" i="20"/>
  <c r="O685" i="20"/>
  <c r="N685" i="20"/>
  <c r="M685" i="20"/>
  <c r="L685" i="20"/>
  <c r="G685" i="20"/>
  <c r="O684" i="20"/>
  <c r="N684" i="20"/>
  <c r="M684" i="20"/>
  <c r="L684" i="20"/>
  <c r="G684" i="20"/>
  <c r="O683" i="20"/>
  <c r="N683" i="20"/>
  <c r="M683" i="20"/>
  <c r="L683" i="20"/>
  <c r="G683" i="20"/>
  <c r="O682" i="20"/>
  <c r="N682" i="20"/>
  <c r="M682" i="20"/>
  <c r="L682" i="20"/>
  <c r="G682" i="20"/>
  <c r="O681" i="20"/>
  <c r="N681" i="20"/>
  <c r="M681" i="20"/>
  <c r="L681" i="20"/>
  <c r="G681" i="20"/>
  <c r="O680" i="20"/>
  <c r="N680" i="20"/>
  <c r="M680" i="20"/>
  <c r="L680" i="20"/>
  <c r="G680" i="20"/>
  <c r="O679" i="20"/>
  <c r="N679" i="20"/>
  <c r="M679" i="20"/>
  <c r="L679" i="20"/>
  <c r="G679" i="20"/>
  <c r="O678" i="20"/>
  <c r="N678" i="20"/>
  <c r="M678" i="20"/>
  <c r="L678" i="20"/>
  <c r="G678" i="20"/>
  <c r="O677" i="20"/>
  <c r="N677" i="20"/>
  <c r="M677" i="20"/>
  <c r="L677" i="20"/>
  <c r="G677" i="20"/>
  <c r="O676" i="20"/>
  <c r="N676" i="20"/>
  <c r="M676" i="20"/>
  <c r="L676" i="20"/>
  <c r="G676" i="20"/>
  <c r="O675" i="20"/>
  <c r="N675" i="20"/>
  <c r="M675" i="20"/>
  <c r="L675" i="20"/>
  <c r="G675" i="20"/>
  <c r="O674" i="20"/>
  <c r="N674" i="20"/>
  <c r="M674" i="20"/>
  <c r="L674" i="20"/>
  <c r="G674" i="20"/>
  <c r="O673" i="20"/>
  <c r="N673" i="20"/>
  <c r="M673" i="20"/>
  <c r="L673" i="20"/>
  <c r="G673" i="20"/>
  <c r="O672" i="20"/>
  <c r="N672" i="20"/>
  <c r="M672" i="20"/>
  <c r="L672" i="20"/>
  <c r="G672" i="20"/>
  <c r="O671" i="20"/>
  <c r="N671" i="20"/>
  <c r="M671" i="20"/>
  <c r="L671" i="20"/>
  <c r="G671" i="20"/>
  <c r="O670" i="20"/>
  <c r="N670" i="20"/>
  <c r="M670" i="20"/>
  <c r="L670" i="20"/>
  <c r="G670" i="20"/>
  <c r="O669" i="20"/>
  <c r="N669" i="20"/>
  <c r="M669" i="20"/>
  <c r="L669" i="20"/>
  <c r="G669" i="20"/>
  <c r="O668" i="20"/>
  <c r="N668" i="20"/>
  <c r="M668" i="20"/>
  <c r="L668" i="20"/>
  <c r="G668" i="20"/>
  <c r="O667" i="20"/>
  <c r="N667" i="20"/>
  <c r="M667" i="20"/>
  <c r="L667" i="20"/>
  <c r="G667" i="20"/>
  <c r="O666" i="20"/>
  <c r="N666" i="20"/>
  <c r="M666" i="20"/>
  <c r="L666" i="20"/>
  <c r="G666" i="20"/>
  <c r="O665" i="20"/>
  <c r="N665" i="20"/>
  <c r="M665" i="20"/>
  <c r="L665" i="20"/>
  <c r="G665" i="20"/>
  <c r="O664" i="20"/>
  <c r="N664" i="20"/>
  <c r="M664" i="20"/>
  <c r="L664" i="20"/>
  <c r="G664" i="20"/>
  <c r="O663" i="20"/>
  <c r="N663" i="20"/>
  <c r="M663" i="20"/>
  <c r="L663" i="20"/>
  <c r="G663" i="20"/>
  <c r="O662" i="20"/>
  <c r="N662" i="20"/>
  <c r="M662" i="20"/>
  <c r="L662" i="20"/>
  <c r="G662" i="20"/>
  <c r="O661" i="20"/>
  <c r="N661" i="20"/>
  <c r="M661" i="20"/>
  <c r="L661" i="20"/>
  <c r="G661" i="20"/>
  <c r="O660" i="20"/>
  <c r="N660" i="20"/>
  <c r="M660" i="20"/>
  <c r="L660" i="20"/>
  <c r="G660" i="20"/>
  <c r="O659" i="20"/>
  <c r="N659" i="20"/>
  <c r="M659" i="20"/>
  <c r="L659" i="20"/>
  <c r="G659" i="20"/>
  <c r="O658" i="20"/>
  <c r="N658" i="20"/>
  <c r="M658" i="20"/>
  <c r="L658" i="20"/>
  <c r="G658" i="20"/>
  <c r="O657" i="20"/>
  <c r="N657" i="20"/>
  <c r="M657" i="20"/>
  <c r="L657" i="20"/>
  <c r="G657" i="20"/>
  <c r="O656" i="20"/>
  <c r="N656" i="20"/>
  <c r="M656" i="20"/>
  <c r="L656" i="20"/>
  <c r="G656" i="20"/>
  <c r="O655" i="20"/>
  <c r="N655" i="20"/>
  <c r="M655" i="20"/>
  <c r="L655" i="20"/>
  <c r="G655" i="20"/>
  <c r="O654" i="20"/>
  <c r="N654" i="20"/>
  <c r="M654" i="20"/>
  <c r="L654" i="20"/>
  <c r="G654" i="20"/>
  <c r="O653" i="20"/>
  <c r="N653" i="20"/>
  <c r="M653" i="20"/>
  <c r="L653" i="20"/>
  <c r="G653" i="20"/>
  <c r="O652" i="20"/>
  <c r="N652" i="20"/>
  <c r="M652" i="20"/>
  <c r="L652" i="20"/>
  <c r="G652" i="20"/>
  <c r="O651" i="20"/>
  <c r="N651" i="20"/>
  <c r="M651" i="20"/>
  <c r="L651" i="20"/>
  <c r="G651" i="20"/>
  <c r="O650" i="20"/>
  <c r="N650" i="20"/>
  <c r="M650" i="20"/>
  <c r="L650" i="20"/>
  <c r="G650" i="20"/>
  <c r="O649" i="20"/>
  <c r="N649" i="20"/>
  <c r="M649" i="20"/>
  <c r="L649" i="20"/>
  <c r="G649" i="20"/>
  <c r="O648" i="20"/>
  <c r="N648" i="20"/>
  <c r="M648" i="20"/>
  <c r="L648" i="20"/>
  <c r="G648" i="20"/>
  <c r="O647" i="20"/>
  <c r="N647" i="20"/>
  <c r="M647" i="20"/>
  <c r="L647" i="20"/>
  <c r="G647" i="20"/>
  <c r="O646" i="20"/>
  <c r="N646" i="20"/>
  <c r="M646" i="20"/>
  <c r="L646" i="20"/>
  <c r="G646" i="20"/>
  <c r="O645" i="20"/>
  <c r="N645" i="20"/>
  <c r="M645" i="20"/>
  <c r="L645" i="20"/>
  <c r="G645" i="20"/>
  <c r="O644" i="20"/>
  <c r="N644" i="20"/>
  <c r="M644" i="20"/>
  <c r="L644" i="20"/>
  <c r="G644" i="20"/>
  <c r="O643" i="20"/>
  <c r="N643" i="20"/>
  <c r="M643" i="20"/>
  <c r="L643" i="20"/>
  <c r="G643" i="20"/>
  <c r="O642" i="20"/>
  <c r="N642" i="20"/>
  <c r="M642" i="20"/>
  <c r="L642" i="20"/>
  <c r="G642" i="20"/>
  <c r="O641" i="20"/>
  <c r="N641" i="20"/>
  <c r="M641" i="20"/>
  <c r="L641" i="20"/>
  <c r="G641" i="20"/>
  <c r="O640" i="20"/>
  <c r="N640" i="20"/>
  <c r="M640" i="20"/>
  <c r="L640" i="20"/>
  <c r="G640" i="20"/>
  <c r="O639" i="20"/>
  <c r="N639" i="20"/>
  <c r="M639" i="20"/>
  <c r="L639" i="20"/>
  <c r="G639" i="20"/>
  <c r="O638" i="20"/>
  <c r="N638" i="20"/>
  <c r="M638" i="20"/>
  <c r="L638" i="20"/>
  <c r="G638" i="20"/>
  <c r="O637" i="20"/>
  <c r="N637" i="20"/>
  <c r="M637" i="20"/>
  <c r="L637" i="20"/>
  <c r="G637" i="20"/>
  <c r="O636" i="20"/>
  <c r="N636" i="20"/>
  <c r="M636" i="20"/>
  <c r="L636" i="20"/>
  <c r="G636" i="20"/>
  <c r="O635" i="20"/>
  <c r="N635" i="20"/>
  <c r="M635" i="20"/>
  <c r="L635" i="20"/>
  <c r="G635" i="20"/>
  <c r="O634" i="20"/>
  <c r="N634" i="20"/>
  <c r="M634" i="20"/>
  <c r="L634" i="20"/>
  <c r="G634" i="20"/>
  <c r="O633" i="20"/>
  <c r="N633" i="20"/>
  <c r="M633" i="20"/>
  <c r="L633" i="20"/>
  <c r="G633" i="20"/>
  <c r="O632" i="20"/>
  <c r="N632" i="20"/>
  <c r="M632" i="20"/>
  <c r="L632" i="20"/>
  <c r="G632" i="20"/>
  <c r="O631" i="20"/>
  <c r="N631" i="20"/>
  <c r="M631" i="20"/>
  <c r="L631" i="20"/>
  <c r="G631" i="20"/>
  <c r="O630" i="20"/>
  <c r="N630" i="20"/>
  <c r="M630" i="20"/>
  <c r="L630" i="20"/>
  <c r="G630" i="20"/>
  <c r="O629" i="20"/>
  <c r="N629" i="20"/>
  <c r="M629" i="20"/>
  <c r="L629" i="20"/>
  <c r="G629" i="20"/>
  <c r="O628" i="20"/>
  <c r="N628" i="20"/>
  <c r="M628" i="20"/>
  <c r="L628" i="20"/>
  <c r="G628" i="20"/>
  <c r="O627" i="20"/>
  <c r="N627" i="20"/>
  <c r="M627" i="20"/>
  <c r="L627" i="20"/>
  <c r="G627" i="20"/>
  <c r="O626" i="20"/>
  <c r="N626" i="20"/>
  <c r="M626" i="20"/>
  <c r="L626" i="20"/>
  <c r="G626" i="20"/>
  <c r="O625" i="20"/>
  <c r="N625" i="20"/>
  <c r="M625" i="20"/>
  <c r="L625" i="20"/>
  <c r="G625" i="20"/>
  <c r="O624" i="20"/>
  <c r="N624" i="20"/>
  <c r="M624" i="20"/>
  <c r="L624" i="20"/>
  <c r="G624" i="20"/>
  <c r="O623" i="20"/>
  <c r="N623" i="20"/>
  <c r="M623" i="20"/>
  <c r="L623" i="20"/>
  <c r="G623" i="20"/>
  <c r="O622" i="20"/>
  <c r="N622" i="20"/>
  <c r="M622" i="20"/>
  <c r="L622" i="20"/>
  <c r="G622" i="20"/>
  <c r="O621" i="20"/>
  <c r="N621" i="20"/>
  <c r="M621" i="20"/>
  <c r="L621" i="20"/>
  <c r="G621" i="20"/>
  <c r="O620" i="20"/>
  <c r="N620" i="20"/>
  <c r="M620" i="20"/>
  <c r="L620" i="20"/>
  <c r="G620" i="20"/>
  <c r="O619" i="20"/>
  <c r="N619" i="20"/>
  <c r="M619" i="20"/>
  <c r="L619" i="20"/>
  <c r="G619" i="20"/>
  <c r="O618" i="20"/>
  <c r="N618" i="20"/>
  <c r="M618" i="20"/>
  <c r="L618" i="20"/>
  <c r="G618" i="20"/>
  <c r="O617" i="20"/>
  <c r="N617" i="20"/>
  <c r="M617" i="20"/>
  <c r="L617" i="20"/>
  <c r="G617" i="20"/>
  <c r="O616" i="20"/>
  <c r="N616" i="20"/>
  <c r="M616" i="20"/>
  <c r="L616" i="20"/>
  <c r="G616" i="20"/>
  <c r="O615" i="20"/>
  <c r="N615" i="20"/>
  <c r="M615" i="20"/>
  <c r="L615" i="20"/>
  <c r="G615" i="20"/>
  <c r="O614" i="20"/>
  <c r="N614" i="20"/>
  <c r="M614" i="20"/>
  <c r="L614" i="20"/>
  <c r="G614" i="20"/>
  <c r="O613" i="20"/>
  <c r="N613" i="20"/>
  <c r="M613" i="20"/>
  <c r="L613" i="20"/>
  <c r="G613" i="20"/>
  <c r="O612" i="20"/>
  <c r="N612" i="20"/>
  <c r="M612" i="20"/>
  <c r="L612" i="20"/>
  <c r="G612" i="20"/>
  <c r="O611" i="20"/>
  <c r="N611" i="20"/>
  <c r="M611" i="20"/>
  <c r="L611" i="20"/>
  <c r="G611" i="20"/>
  <c r="O610" i="20"/>
  <c r="N610" i="20"/>
  <c r="M610" i="20"/>
  <c r="L610" i="20"/>
  <c r="G610" i="20"/>
  <c r="O609" i="20"/>
  <c r="N609" i="20"/>
  <c r="M609" i="20"/>
  <c r="L609" i="20"/>
  <c r="G609" i="20"/>
  <c r="O608" i="20"/>
  <c r="N608" i="20"/>
  <c r="M608" i="20"/>
  <c r="L608" i="20"/>
  <c r="G608" i="20"/>
  <c r="O607" i="20"/>
  <c r="N607" i="20"/>
  <c r="M607" i="20"/>
  <c r="L607" i="20"/>
  <c r="G607" i="20"/>
  <c r="O606" i="20"/>
  <c r="N606" i="20"/>
  <c r="M606" i="20"/>
  <c r="L606" i="20"/>
  <c r="G606" i="20"/>
  <c r="O605" i="20"/>
  <c r="N605" i="20"/>
  <c r="M605" i="20"/>
  <c r="L605" i="20"/>
  <c r="G605" i="20"/>
  <c r="O604" i="20"/>
  <c r="N604" i="20"/>
  <c r="M604" i="20"/>
  <c r="L604" i="20"/>
  <c r="G604" i="20"/>
  <c r="O603" i="20"/>
  <c r="N603" i="20"/>
  <c r="M603" i="20"/>
  <c r="L603" i="20"/>
  <c r="G603" i="20"/>
  <c r="O602" i="20"/>
  <c r="N602" i="20"/>
  <c r="M602" i="20"/>
  <c r="L602" i="20"/>
  <c r="G602" i="20"/>
  <c r="O601" i="20"/>
  <c r="N601" i="20"/>
  <c r="M601" i="20"/>
  <c r="L601" i="20"/>
  <c r="G601" i="20"/>
  <c r="O600" i="20"/>
  <c r="N600" i="20"/>
  <c r="M600" i="20"/>
  <c r="L600" i="20"/>
  <c r="G600" i="20"/>
  <c r="O599" i="20"/>
  <c r="N599" i="20"/>
  <c r="M599" i="20"/>
  <c r="L599" i="20"/>
  <c r="G599" i="20"/>
  <c r="O598" i="20"/>
  <c r="N598" i="20"/>
  <c r="M598" i="20"/>
  <c r="L598" i="20"/>
  <c r="G598" i="20"/>
  <c r="O597" i="20"/>
  <c r="N597" i="20"/>
  <c r="M597" i="20"/>
  <c r="L597" i="20"/>
  <c r="G597" i="20"/>
  <c r="O596" i="20"/>
  <c r="N596" i="20"/>
  <c r="M596" i="20"/>
  <c r="L596" i="20"/>
  <c r="G596" i="20"/>
  <c r="O595" i="20"/>
  <c r="N595" i="20"/>
  <c r="M595" i="20"/>
  <c r="L595" i="20"/>
  <c r="G595" i="20"/>
  <c r="O594" i="20"/>
  <c r="N594" i="20"/>
  <c r="M594" i="20"/>
  <c r="L594" i="20"/>
  <c r="G594" i="20"/>
  <c r="O593" i="20"/>
  <c r="N593" i="20"/>
  <c r="M593" i="20"/>
  <c r="L593" i="20"/>
  <c r="G593" i="20"/>
  <c r="O592" i="20"/>
  <c r="N592" i="20"/>
  <c r="M592" i="20"/>
  <c r="L592" i="20"/>
  <c r="G592" i="20"/>
  <c r="O591" i="20"/>
  <c r="N591" i="20"/>
  <c r="M591" i="20"/>
  <c r="L591" i="20"/>
  <c r="G591" i="20"/>
  <c r="O590" i="20"/>
  <c r="N590" i="20"/>
  <c r="M590" i="20"/>
  <c r="L590" i="20"/>
  <c r="G590" i="20"/>
  <c r="O589" i="20"/>
  <c r="N589" i="20"/>
  <c r="M589" i="20"/>
  <c r="L589" i="20"/>
  <c r="G589" i="20"/>
  <c r="O588" i="20"/>
  <c r="N588" i="20"/>
  <c r="M588" i="20"/>
  <c r="L588" i="20"/>
  <c r="G588" i="20"/>
  <c r="O587" i="20"/>
  <c r="N587" i="20"/>
  <c r="M587" i="20"/>
  <c r="L587" i="20"/>
  <c r="G587" i="20"/>
  <c r="O586" i="20"/>
  <c r="N586" i="20"/>
  <c r="M586" i="20"/>
  <c r="L586" i="20"/>
  <c r="G586" i="20"/>
  <c r="O585" i="20"/>
  <c r="N585" i="20"/>
  <c r="M585" i="20"/>
  <c r="L585" i="20"/>
  <c r="G585" i="20"/>
  <c r="O584" i="20"/>
  <c r="N584" i="20"/>
  <c r="M584" i="20"/>
  <c r="L584" i="20"/>
  <c r="G584" i="20"/>
  <c r="O583" i="20"/>
  <c r="N583" i="20"/>
  <c r="M583" i="20"/>
  <c r="L583" i="20"/>
  <c r="G583" i="20"/>
  <c r="O582" i="20"/>
  <c r="N582" i="20"/>
  <c r="M582" i="20"/>
  <c r="L582" i="20"/>
  <c r="G582" i="20"/>
  <c r="O581" i="20"/>
  <c r="N581" i="20"/>
  <c r="M581" i="20"/>
  <c r="L581" i="20"/>
  <c r="G581" i="20"/>
  <c r="O580" i="20"/>
  <c r="N580" i="20"/>
  <c r="M580" i="20"/>
  <c r="L580" i="20"/>
  <c r="G580" i="20"/>
  <c r="O579" i="20"/>
  <c r="N579" i="20"/>
  <c r="M579" i="20"/>
  <c r="L579" i="20"/>
  <c r="G579" i="20"/>
  <c r="O578" i="20"/>
  <c r="N578" i="20"/>
  <c r="M578" i="20"/>
  <c r="L578" i="20"/>
  <c r="G578" i="20"/>
  <c r="O577" i="20"/>
  <c r="N577" i="20"/>
  <c r="M577" i="20"/>
  <c r="L577" i="20"/>
  <c r="G577" i="20"/>
  <c r="O576" i="20"/>
  <c r="N576" i="20"/>
  <c r="M576" i="20"/>
  <c r="L576" i="20"/>
  <c r="G576" i="20"/>
  <c r="O575" i="20"/>
  <c r="N575" i="20"/>
  <c r="M575" i="20"/>
  <c r="L575" i="20"/>
  <c r="G575" i="20"/>
  <c r="O574" i="20"/>
  <c r="N574" i="20"/>
  <c r="M574" i="20"/>
  <c r="L574" i="20"/>
  <c r="G574" i="20"/>
  <c r="O573" i="20"/>
  <c r="N573" i="20"/>
  <c r="M573" i="20"/>
  <c r="L573" i="20"/>
  <c r="G573" i="20"/>
  <c r="O572" i="20"/>
  <c r="N572" i="20"/>
  <c r="M572" i="20"/>
  <c r="L572" i="20"/>
  <c r="G572" i="20"/>
  <c r="O571" i="20"/>
  <c r="N571" i="20"/>
  <c r="M571" i="20"/>
  <c r="L571" i="20"/>
  <c r="G571" i="20"/>
  <c r="O570" i="20"/>
  <c r="N570" i="20"/>
  <c r="M570" i="20"/>
  <c r="L570" i="20"/>
  <c r="G570" i="20"/>
  <c r="O569" i="20"/>
  <c r="N569" i="20"/>
  <c r="M569" i="20"/>
  <c r="L569" i="20"/>
  <c r="G569" i="20"/>
  <c r="O568" i="20"/>
  <c r="N568" i="20"/>
  <c r="M568" i="20"/>
  <c r="L568" i="20"/>
  <c r="G568" i="20"/>
  <c r="O567" i="20"/>
  <c r="N567" i="20"/>
  <c r="M567" i="20"/>
  <c r="L567" i="20"/>
  <c r="G567" i="20"/>
  <c r="O566" i="20"/>
  <c r="N566" i="20"/>
  <c r="M566" i="20"/>
  <c r="L566" i="20"/>
  <c r="G566" i="20"/>
  <c r="O565" i="20"/>
  <c r="N565" i="20"/>
  <c r="M565" i="20"/>
  <c r="L565" i="20"/>
  <c r="G565" i="20"/>
  <c r="O564" i="20"/>
  <c r="N564" i="20"/>
  <c r="M564" i="20"/>
  <c r="L564" i="20"/>
  <c r="G564" i="20"/>
  <c r="O563" i="20"/>
  <c r="N563" i="20"/>
  <c r="M563" i="20"/>
  <c r="L563" i="20"/>
  <c r="G563" i="20"/>
  <c r="O562" i="20"/>
  <c r="N562" i="20"/>
  <c r="M562" i="20"/>
  <c r="L562" i="20"/>
  <c r="G562" i="20"/>
  <c r="O561" i="20"/>
  <c r="N561" i="20"/>
  <c r="M561" i="20"/>
  <c r="L561" i="20"/>
  <c r="G561" i="20"/>
  <c r="O560" i="20"/>
  <c r="N560" i="20"/>
  <c r="M560" i="20"/>
  <c r="L560" i="20"/>
  <c r="G560" i="20"/>
  <c r="O559" i="20"/>
  <c r="N559" i="20"/>
  <c r="M559" i="20"/>
  <c r="L559" i="20"/>
  <c r="G559" i="20"/>
  <c r="O558" i="20"/>
  <c r="N558" i="20"/>
  <c r="M558" i="20"/>
  <c r="L558" i="20"/>
  <c r="G558" i="20"/>
  <c r="O557" i="20"/>
  <c r="N557" i="20"/>
  <c r="M557" i="20"/>
  <c r="L557" i="20"/>
  <c r="G557" i="20"/>
  <c r="O556" i="20"/>
  <c r="N556" i="20"/>
  <c r="M556" i="20"/>
  <c r="L556" i="20"/>
  <c r="G556" i="20"/>
  <c r="O555" i="20"/>
  <c r="N555" i="20"/>
  <c r="M555" i="20"/>
  <c r="L555" i="20"/>
  <c r="G555" i="20"/>
  <c r="O554" i="20"/>
  <c r="N554" i="20"/>
  <c r="M554" i="20"/>
  <c r="L554" i="20"/>
  <c r="G554" i="20"/>
  <c r="O553" i="20"/>
  <c r="N553" i="20"/>
  <c r="M553" i="20"/>
  <c r="L553" i="20"/>
  <c r="G553" i="20"/>
  <c r="O552" i="20"/>
  <c r="N552" i="20"/>
  <c r="M552" i="20"/>
  <c r="L552" i="20"/>
  <c r="G552" i="20"/>
  <c r="O551" i="20"/>
  <c r="N551" i="20"/>
  <c r="M551" i="20"/>
  <c r="L551" i="20"/>
  <c r="G551" i="20"/>
  <c r="O550" i="20"/>
  <c r="N550" i="20"/>
  <c r="M550" i="20"/>
  <c r="L550" i="20"/>
  <c r="G550" i="20"/>
  <c r="O549" i="20"/>
  <c r="N549" i="20"/>
  <c r="M549" i="20"/>
  <c r="L549" i="20"/>
  <c r="G549" i="20"/>
  <c r="O548" i="20"/>
  <c r="N548" i="20"/>
  <c r="M548" i="20"/>
  <c r="L548" i="20"/>
  <c r="G548" i="20"/>
  <c r="O547" i="20"/>
  <c r="N547" i="20"/>
  <c r="M547" i="20"/>
  <c r="L547" i="20"/>
  <c r="G547" i="20"/>
  <c r="O546" i="20"/>
  <c r="N546" i="20"/>
  <c r="M546" i="20"/>
  <c r="L546" i="20"/>
  <c r="G546" i="20"/>
  <c r="O545" i="20"/>
  <c r="N545" i="20"/>
  <c r="M545" i="20"/>
  <c r="L545" i="20"/>
  <c r="G545" i="20"/>
  <c r="O544" i="20"/>
  <c r="N544" i="20"/>
  <c r="M544" i="20"/>
  <c r="L544" i="20"/>
  <c r="G544" i="20"/>
  <c r="O543" i="20"/>
  <c r="N543" i="20"/>
  <c r="M543" i="20"/>
  <c r="L543" i="20"/>
  <c r="G543" i="20"/>
  <c r="O542" i="20"/>
  <c r="N542" i="20"/>
  <c r="M542" i="20"/>
  <c r="L542" i="20"/>
  <c r="G542" i="20"/>
  <c r="O541" i="20"/>
  <c r="N541" i="20"/>
  <c r="M541" i="20"/>
  <c r="L541" i="20"/>
  <c r="G541" i="20"/>
  <c r="O540" i="20"/>
  <c r="N540" i="20"/>
  <c r="M540" i="20"/>
  <c r="L540" i="20"/>
  <c r="G540" i="20"/>
  <c r="O539" i="20"/>
  <c r="N539" i="20"/>
  <c r="M539" i="20"/>
  <c r="L539" i="20"/>
  <c r="G539" i="20"/>
  <c r="O538" i="20"/>
  <c r="N538" i="20"/>
  <c r="M538" i="20"/>
  <c r="L538" i="20"/>
  <c r="G538" i="20"/>
  <c r="O537" i="20"/>
  <c r="N537" i="20"/>
  <c r="M537" i="20"/>
  <c r="L537" i="20"/>
  <c r="G537" i="20"/>
  <c r="O536" i="20"/>
  <c r="N536" i="20"/>
  <c r="M536" i="20"/>
  <c r="L536" i="20"/>
  <c r="G536" i="20"/>
  <c r="O535" i="20"/>
  <c r="N535" i="20"/>
  <c r="M535" i="20"/>
  <c r="L535" i="20"/>
  <c r="G535" i="20"/>
  <c r="O534" i="20"/>
  <c r="N534" i="20"/>
  <c r="M534" i="20"/>
  <c r="L534" i="20"/>
  <c r="G534" i="20"/>
  <c r="O533" i="20"/>
  <c r="N533" i="20"/>
  <c r="M533" i="20"/>
  <c r="L533" i="20"/>
  <c r="G533" i="20"/>
  <c r="O532" i="20"/>
  <c r="N532" i="20"/>
  <c r="M532" i="20"/>
  <c r="L532" i="20"/>
  <c r="G532" i="20"/>
  <c r="O531" i="20"/>
  <c r="N531" i="20"/>
  <c r="M531" i="20"/>
  <c r="L531" i="20"/>
  <c r="G531" i="20"/>
  <c r="O530" i="20"/>
  <c r="N530" i="20"/>
  <c r="M530" i="20"/>
  <c r="L530" i="20"/>
  <c r="G530" i="20"/>
  <c r="O529" i="20"/>
  <c r="N529" i="20"/>
  <c r="M529" i="20"/>
  <c r="L529" i="20"/>
  <c r="G529" i="20"/>
  <c r="O528" i="20"/>
  <c r="N528" i="20"/>
  <c r="M528" i="20"/>
  <c r="L528" i="20"/>
  <c r="G528" i="20"/>
  <c r="O527" i="20"/>
  <c r="N527" i="20"/>
  <c r="M527" i="20"/>
  <c r="L527" i="20"/>
  <c r="G527" i="20"/>
  <c r="O526" i="20"/>
  <c r="N526" i="20"/>
  <c r="M526" i="20"/>
  <c r="L526" i="20"/>
  <c r="G526" i="20"/>
  <c r="O525" i="20"/>
  <c r="N525" i="20"/>
  <c r="M525" i="20"/>
  <c r="L525" i="20"/>
  <c r="G525" i="20"/>
  <c r="O524" i="20"/>
  <c r="N524" i="20"/>
  <c r="M524" i="20"/>
  <c r="L524" i="20"/>
  <c r="G524" i="20"/>
  <c r="O523" i="20"/>
  <c r="N523" i="20"/>
  <c r="M523" i="20"/>
  <c r="L523" i="20"/>
  <c r="G523" i="20"/>
  <c r="O522" i="20"/>
  <c r="N522" i="20"/>
  <c r="M522" i="20"/>
  <c r="L522" i="20"/>
  <c r="G522" i="20"/>
  <c r="O521" i="20"/>
  <c r="N521" i="20"/>
  <c r="M521" i="20"/>
  <c r="L521" i="20"/>
  <c r="G521" i="20"/>
  <c r="O520" i="20"/>
  <c r="N520" i="20"/>
  <c r="M520" i="20"/>
  <c r="L520" i="20"/>
  <c r="G520" i="20"/>
  <c r="O519" i="20"/>
  <c r="N519" i="20"/>
  <c r="M519" i="20"/>
  <c r="L519" i="20"/>
  <c r="G519" i="20"/>
  <c r="O518" i="20"/>
  <c r="N518" i="20"/>
  <c r="M518" i="20"/>
  <c r="L518" i="20"/>
  <c r="G518" i="20"/>
  <c r="O517" i="20"/>
  <c r="N517" i="20"/>
  <c r="M517" i="20"/>
  <c r="L517" i="20"/>
  <c r="G517" i="20"/>
  <c r="O516" i="20"/>
  <c r="N516" i="20"/>
  <c r="M516" i="20"/>
  <c r="L516" i="20"/>
  <c r="G516" i="20"/>
  <c r="O515" i="20"/>
  <c r="N515" i="20"/>
  <c r="M515" i="20"/>
  <c r="L515" i="20"/>
  <c r="G515" i="20"/>
  <c r="O514" i="20"/>
  <c r="N514" i="20"/>
  <c r="M514" i="20"/>
  <c r="L514" i="20"/>
  <c r="G514" i="20"/>
  <c r="O513" i="20"/>
  <c r="N513" i="20"/>
  <c r="M513" i="20"/>
  <c r="L513" i="20"/>
  <c r="G513" i="20"/>
  <c r="O512" i="20"/>
  <c r="N512" i="20"/>
  <c r="M512" i="20"/>
  <c r="L512" i="20"/>
  <c r="G512" i="20"/>
  <c r="O511" i="20"/>
  <c r="N511" i="20"/>
  <c r="M511" i="20"/>
  <c r="L511" i="20"/>
  <c r="G511" i="20"/>
  <c r="O510" i="20"/>
  <c r="N510" i="20"/>
  <c r="M510" i="20"/>
  <c r="L510" i="20"/>
  <c r="G510" i="20"/>
  <c r="O509" i="20"/>
  <c r="N509" i="20"/>
  <c r="M509" i="20"/>
  <c r="L509" i="20"/>
  <c r="G509" i="20"/>
  <c r="O508" i="20"/>
  <c r="N508" i="20"/>
  <c r="M508" i="20"/>
  <c r="L508" i="20"/>
  <c r="G508" i="20"/>
  <c r="O507" i="20"/>
  <c r="N507" i="20"/>
  <c r="M507" i="20"/>
  <c r="L507" i="20"/>
  <c r="G507" i="20"/>
  <c r="O506" i="20"/>
  <c r="N506" i="20"/>
  <c r="M506" i="20"/>
  <c r="L506" i="20"/>
  <c r="G506" i="20"/>
  <c r="O505" i="20"/>
  <c r="N505" i="20"/>
  <c r="M505" i="20"/>
  <c r="L505" i="20"/>
  <c r="G505" i="20"/>
  <c r="O504" i="20"/>
  <c r="N504" i="20"/>
  <c r="M504" i="20"/>
  <c r="L504" i="20"/>
  <c r="G504" i="20"/>
  <c r="O503" i="20"/>
  <c r="N503" i="20"/>
  <c r="M503" i="20"/>
  <c r="L503" i="20"/>
  <c r="G503" i="20"/>
  <c r="O502" i="20"/>
  <c r="N502" i="20"/>
  <c r="M502" i="20"/>
  <c r="L502" i="20"/>
  <c r="G502" i="20"/>
  <c r="O501" i="20"/>
  <c r="N501" i="20"/>
  <c r="M501" i="20"/>
  <c r="L501" i="20"/>
  <c r="G501" i="20"/>
  <c r="O500" i="20"/>
  <c r="N500" i="20"/>
  <c r="M500" i="20"/>
  <c r="L500" i="20"/>
  <c r="G500" i="20"/>
  <c r="O499" i="20"/>
  <c r="N499" i="20"/>
  <c r="M499" i="20"/>
  <c r="L499" i="20"/>
  <c r="G499" i="20"/>
  <c r="O498" i="20"/>
  <c r="N498" i="20"/>
  <c r="M498" i="20"/>
  <c r="L498" i="20"/>
  <c r="G498" i="20"/>
  <c r="O497" i="20"/>
  <c r="N497" i="20"/>
  <c r="M497" i="20"/>
  <c r="L497" i="20"/>
  <c r="G497" i="20"/>
  <c r="O496" i="20"/>
  <c r="N496" i="20"/>
  <c r="M496" i="20"/>
  <c r="L496" i="20"/>
  <c r="G496" i="20"/>
  <c r="O495" i="20"/>
  <c r="N495" i="20"/>
  <c r="M495" i="20"/>
  <c r="L495" i="20"/>
  <c r="G495" i="20"/>
  <c r="O494" i="20"/>
  <c r="N494" i="20"/>
  <c r="M494" i="20"/>
  <c r="L494" i="20"/>
  <c r="G494" i="20"/>
  <c r="O493" i="20"/>
  <c r="N493" i="20"/>
  <c r="M493" i="20"/>
  <c r="L493" i="20"/>
  <c r="G493" i="20"/>
  <c r="O492" i="20"/>
  <c r="N492" i="20"/>
  <c r="M492" i="20"/>
  <c r="L492" i="20"/>
  <c r="G492" i="20"/>
  <c r="O491" i="20"/>
  <c r="N491" i="20"/>
  <c r="M491" i="20"/>
  <c r="L491" i="20"/>
  <c r="G491" i="20"/>
  <c r="O490" i="20"/>
  <c r="N490" i="20"/>
  <c r="M490" i="20"/>
  <c r="L490" i="20"/>
  <c r="G490" i="20"/>
  <c r="O489" i="20"/>
  <c r="N489" i="20"/>
  <c r="M489" i="20"/>
  <c r="L489" i="20"/>
  <c r="G489" i="20"/>
  <c r="O488" i="20"/>
  <c r="N488" i="20"/>
  <c r="M488" i="20"/>
  <c r="L488" i="20"/>
  <c r="G488" i="20"/>
  <c r="O487" i="20"/>
  <c r="N487" i="20"/>
  <c r="M487" i="20"/>
  <c r="L487" i="20"/>
  <c r="G487" i="20"/>
  <c r="O486" i="20"/>
  <c r="N486" i="20"/>
  <c r="M486" i="20"/>
  <c r="L486" i="20"/>
  <c r="G486" i="20"/>
  <c r="O485" i="20"/>
  <c r="N485" i="20"/>
  <c r="M485" i="20"/>
  <c r="L485" i="20"/>
  <c r="G485" i="20"/>
  <c r="O484" i="20"/>
  <c r="N484" i="20"/>
  <c r="M484" i="20"/>
  <c r="L484" i="20"/>
  <c r="G484" i="20"/>
  <c r="O483" i="20"/>
  <c r="N483" i="20"/>
  <c r="M483" i="20"/>
  <c r="L483" i="20"/>
  <c r="G483" i="20"/>
  <c r="O482" i="20"/>
  <c r="N482" i="20"/>
  <c r="M482" i="20"/>
  <c r="L482" i="20"/>
  <c r="G482" i="20"/>
  <c r="O481" i="20"/>
  <c r="N481" i="20"/>
  <c r="M481" i="20"/>
  <c r="L481" i="20"/>
  <c r="G481" i="20"/>
  <c r="O480" i="20"/>
  <c r="N480" i="20"/>
  <c r="M480" i="20"/>
  <c r="L480" i="20"/>
  <c r="G480" i="20"/>
  <c r="O479" i="20"/>
  <c r="N479" i="20"/>
  <c r="M479" i="20"/>
  <c r="L479" i="20"/>
  <c r="G479" i="20"/>
  <c r="O478" i="20"/>
  <c r="N478" i="20"/>
  <c r="M478" i="20"/>
  <c r="L478" i="20"/>
  <c r="G478" i="20"/>
  <c r="O477" i="20"/>
  <c r="N477" i="20"/>
  <c r="M477" i="20"/>
  <c r="L477" i="20"/>
  <c r="G477" i="20"/>
  <c r="O476" i="20"/>
  <c r="N476" i="20"/>
  <c r="M476" i="20"/>
  <c r="L476" i="20"/>
  <c r="G476" i="20"/>
  <c r="O475" i="20"/>
  <c r="N475" i="20"/>
  <c r="M475" i="20"/>
  <c r="L475" i="20"/>
  <c r="G475" i="20"/>
  <c r="O474" i="20"/>
  <c r="N474" i="20"/>
  <c r="M474" i="20"/>
  <c r="L474" i="20"/>
  <c r="G474" i="20"/>
  <c r="O473" i="20"/>
  <c r="N473" i="20"/>
  <c r="M473" i="20"/>
  <c r="L473" i="20"/>
  <c r="G473" i="20"/>
  <c r="O472" i="20"/>
  <c r="N472" i="20"/>
  <c r="M472" i="20"/>
  <c r="L472" i="20"/>
  <c r="G472" i="20"/>
  <c r="O471" i="20"/>
  <c r="N471" i="20"/>
  <c r="M471" i="20"/>
  <c r="L471" i="20"/>
  <c r="G471" i="20"/>
  <c r="O470" i="20"/>
  <c r="N470" i="20"/>
  <c r="M470" i="20"/>
  <c r="L470" i="20"/>
  <c r="G470" i="20"/>
  <c r="O469" i="20"/>
  <c r="N469" i="20"/>
  <c r="M469" i="20"/>
  <c r="L469" i="20"/>
  <c r="G469" i="20"/>
  <c r="O468" i="20"/>
  <c r="N468" i="20"/>
  <c r="M468" i="20"/>
  <c r="L468" i="20"/>
  <c r="G468" i="20"/>
  <c r="O467" i="20"/>
  <c r="N467" i="20"/>
  <c r="M467" i="20"/>
  <c r="L467" i="20"/>
  <c r="G467" i="20"/>
  <c r="O466" i="20"/>
  <c r="N466" i="20"/>
  <c r="M466" i="20"/>
  <c r="L466" i="20"/>
  <c r="G466" i="20"/>
  <c r="O465" i="20"/>
  <c r="N465" i="20"/>
  <c r="M465" i="20"/>
  <c r="L465" i="20"/>
  <c r="G465" i="20"/>
  <c r="O464" i="20"/>
  <c r="N464" i="20"/>
  <c r="M464" i="20"/>
  <c r="L464" i="20"/>
  <c r="G464" i="20"/>
  <c r="O463" i="20"/>
  <c r="N463" i="20"/>
  <c r="M463" i="20"/>
  <c r="L463" i="20"/>
  <c r="G463" i="20"/>
  <c r="O462" i="20"/>
  <c r="N462" i="20"/>
  <c r="M462" i="20"/>
  <c r="L462" i="20"/>
  <c r="G462" i="20"/>
  <c r="O461" i="20"/>
  <c r="N461" i="20"/>
  <c r="M461" i="20"/>
  <c r="L461" i="20"/>
  <c r="G461" i="20"/>
  <c r="O460" i="20"/>
  <c r="N460" i="20"/>
  <c r="M460" i="20"/>
  <c r="L460" i="20"/>
  <c r="G460" i="20"/>
  <c r="O459" i="20"/>
  <c r="N459" i="20"/>
  <c r="M459" i="20"/>
  <c r="L459" i="20"/>
  <c r="G459" i="20"/>
  <c r="O458" i="20"/>
  <c r="N458" i="20"/>
  <c r="M458" i="20"/>
  <c r="L458" i="20"/>
  <c r="G458" i="20"/>
  <c r="O457" i="20"/>
  <c r="N457" i="20"/>
  <c r="M457" i="20"/>
  <c r="L457" i="20"/>
  <c r="G457" i="20"/>
  <c r="O456" i="20"/>
  <c r="N456" i="20"/>
  <c r="M456" i="20"/>
  <c r="L456" i="20"/>
  <c r="G456" i="20"/>
  <c r="O455" i="20"/>
  <c r="N455" i="20"/>
  <c r="M455" i="20"/>
  <c r="L455" i="20"/>
  <c r="G455" i="20"/>
  <c r="O454" i="20"/>
  <c r="N454" i="20"/>
  <c r="M454" i="20"/>
  <c r="L454" i="20"/>
  <c r="G454" i="20"/>
  <c r="O453" i="20"/>
  <c r="N453" i="20"/>
  <c r="M453" i="20"/>
  <c r="L453" i="20"/>
  <c r="G453" i="20"/>
  <c r="O452" i="20"/>
  <c r="N452" i="20"/>
  <c r="M452" i="20"/>
  <c r="L452" i="20"/>
  <c r="G452" i="20"/>
  <c r="O451" i="20"/>
  <c r="N451" i="20"/>
  <c r="M451" i="20"/>
  <c r="L451" i="20"/>
  <c r="G451" i="20"/>
  <c r="O450" i="20"/>
  <c r="N450" i="20"/>
  <c r="M450" i="20"/>
  <c r="L450" i="20"/>
  <c r="G450" i="20"/>
  <c r="O449" i="20"/>
  <c r="N449" i="20"/>
  <c r="M449" i="20"/>
  <c r="L449" i="20"/>
  <c r="G449" i="20"/>
  <c r="O448" i="20"/>
  <c r="N448" i="20"/>
  <c r="M448" i="20"/>
  <c r="L448" i="20"/>
  <c r="G448" i="20"/>
  <c r="O447" i="20"/>
  <c r="N447" i="20"/>
  <c r="M447" i="20"/>
  <c r="L447" i="20"/>
  <c r="G447" i="20"/>
  <c r="O446" i="20"/>
  <c r="N446" i="20"/>
  <c r="M446" i="20"/>
  <c r="L446" i="20"/>
  <c r="G446" i="20"/>
  <c r="O445" i="20"/>
  <c r="N445" i="20"/>
  <c r="M445" i="20"/>
  <c r="L445" i="20"/>
  <c r="G445" i="20"/>
  <c r="O444" i="20"/>
  <c r="N444" i="20"/>
  <c r="M444" i="20"/>
  <c r="L444" i="20"/>
  <c r="G444" i="20"/>
  <c r="O443" i="20"/>
  <c r="N443" i="20"/>
  <c r="M443" i="20"/>
  <c r="L443" i="20"/>
  <c r="G443" i="20"/>
  <c r="O442" i="20"/>
  <c r="N442" i="20"/>
  <c r="M442" i="20"/>
  <c r="L442" i="20"/>
  <c r="G442" i="20"/>
  <c r="O441" i="20"/>
  <c r="N441" i="20"/>
  <c r="M441" i="20"/>
  <c r="L441" i="20"/>
  <c r="G441" i="20"/>
  <c r="O440" i="20"/>
  <c r="N440" i="20"/>
  <c r="M440" i="20"/>
  <c r="L440" i="20"/>
  <c r="G440" i="20"/>
  <c r="O439" i="20"/>
  <c r="N439" i="20"/>
  <c r="M439" i="20"/>
  <c r="L439" i="20"/>
  <c r="G439" i="20"/>
  <c r="O438" i="20"/>
  <c r="N438" i="20"/>
  <c r="M438" i="20"/>
  <c r="L438" i="20"/>
  <c r="G438" i="20"/>
  <c r="O437" i="20"/>
  <c r="N437" i="20"/>
  <c r="M437" i="20"/>
  <c r="L437" i="20"/>
  <c r="G437" i="20"/>
  <c r="O436" i="20"/>
  <c r="N436" i="20"/>
  <c r="M436" i="20"/>
  <c r="L436" i="20"/>
  <c r="G436" i="20"/>
  <c r="O435" i="20"/>
  <c r="N435" i="20"/>
  <c r="M435" i="20"/>
  <c r="L435" i="20"/>
  <c r="G435" i="20"/>
  <c r="O434" i="20"/>
  <c r="N434" i="20"/>
  <c r="M434" i="20"/>
  <c r="L434" i="20"/>
  <c r="G434" i="20"/>
  <c r="O433" i="20"/>
  <c r="N433" i="20"/>
  <c r="M433" i="20"/>
  <c r="L433" i="20"/>
  <c r="G433" i="20"/>
  <c r="O432" i="20"/>
  <c r="N432" i="20"/>
  <c r="M432" i="20"/>
  <c r="L432" i="20"/>
  <c r="G432" i="20"/>
  <c r="O431" i="20"/>
  <c r="N431" i="20"/>
  <c r="M431" i="20"/>
  <c r="L431" i="20"/>
  <c r="G431" i="20"/>
  <c r="O430" i="20"/>
  <c r="N430" i="20"/>
  <c r="M430" i="20"/>
  <c r="L430" i="20"/>
  <c r="G430" i="20"/>
  <c r="O429" i="20"/>
  <c r="N429" i="20"/>
  <c r="M429" i="20"/>
  <c r="L429" i="20"/>
  <c r="G429" i="20"/>
  <c r="O428" i="20"/>
  <c r="N428" i="20"/>
  <c r="M428" i="20"/>
  <c r="L428" i="20"/>
  <c r="G428" i="20"/>
  <c r="O427" i="20"/>
  <c r="N427" i="20"/>
  <c r="M427" i="20"/>
  <c r="L427" i="20"/>
  <c r="G427" i="20"/>
  <c r="O426" i="20"/>
  <c r="N426" i="20"/>
  <c r="M426" i="20"/>
  <c r="L426" i="20"/>
  <c r="G426" i="20"/>
  <c r="O425" i="20"/>
  <c r="N425" i="20"/>
  <c r="M425" i="20"/>
  <c r="L425" i="20"/>
  <c r="G425" i="20"/>
  <c r="O424" i="20"/>
  <c r="N424" i="20"/>
  <c r="M424" i="20"/>
  <c r="L424" i="20"/>
  <c r="G424" i="20"/>
  <c r="O423" i="20"/>
  <c r="N423" i="20"/>
  <c r="M423" i="20"/>
  <c r="L423" i="20"/>
  <c r="G423" i="20"/>
  <c r="O422" i="20"/>
  <c r="N422" i="20"/>
  <c r="M422" i="20"/>
  <c r="L422" i="20"/>
  <c r="G422" i="20"/>
  <c r="O421" i="20"/>
  <c r="N421" i="20"/>
  <c r="M421" i="20"/>
  <c r="L421" i="20"/>
  <c r="G421" i="20"/>
  <c r="O420" i="20"/>
  <c r="N420" i="20"/>
  <c r="M420" i="20"/>
  <c r="L420" i="20"/>
  <c r="G420" i="20"/>
  <c r="O419" i="20"/>
  <c r="N419" i="20"/>
  <c r="M419" i="20"/>
  <c r="L419" i="20"/>
  <c r="G419" i="20"/>
  <c r="O418" i="20"/>
  <c r="N418" i="20"/>
  <c r="M418" i="20"/>
  <c r="L418" i="20"/>
  <c r="G418" i="20"/>
  <c r="O417" i="20"/>
  <c r="N417" i="20"/>
  <c r="M417" i="20"/>
  <c r="L417" i="20"/>
  <c r="G417" i="20"/>
  <c r="O416" i="20"/>
  <c r="N416" i="20"/>
  <c r="M416" i="20"/>
  <c r="L416" i="20"/>
  <c r="G416" i="20"/>
  <c r="O415" i="20"/>
  <c r="N415" i="20"/>
  <c r="M415" i="20"/>
  <c r="L415" i="20"/>
  <c r="G415" i="20"/>
  <c r="O414" i="20"/>
  <c r="N414" i="20"/>
  <c r="M414" i="20"/>
  <c r="L414" i="20"/>
  <c r="G414" i="20"/>
  <c r="O413" i="20"/>
  <c r="N413" i="20"/>
  <c r="M413" i="20"/>
  <c r="L413" i="20"/>
  <c r="G413" i="20"/>
  <c r="O412" i="20"/>
  <c r="N412" i="20"/>
  <c r="M412" i="20"/>
  <c r="L412" i="20"/>
  <c r="G412" i="20"/>
  <c r="O411" i="20"/>
  <c r="N411" i="20"/>
  <c r="M411" i="20"/>
  <c r="L411" i="20"/>
  <c r="G411" i="20"/>
  <c r="O410" i="20"/>
  <c r="N410" i="20"/>
  <c r="M410" i="20"/>
  <c r="L410" i="20"/>
  <c r="G410" i="20"/>
  <c r="O409" i="20"/>
  <c r="N409" i="20"/>
  <c r="M409" i="20"/>
  <c r="L409" i="20"/>
  <c r="G409" i="20"/>
  <c r="O408" i="20"/>
  <c r="N408" i="20"/>
  <c r="M408" i="20"/>
  <c r="L408" i="20"/>
  <c r="G408" i="20"/>
  <c r="O407" i="20"/>
  <c r="N407" i="20"/>
  <c r="M407" i="20"/>
  <c r="L407" i="20"/>
  <c r="G407" i="20"/>
  <c r="O406" i="20"/>
  <c r="N406" i="20"/>
  <c r="M406" i="20"/>
  <c r="L406" i="20"/>
  <c r="G406" i="20"/>
  <c r="O405" i="20"/>
  <c r="N405" i="20"/>
  <c r="M405" i="20"/>
  <c r="L405" i="20"/>
  <c r="G405" i="20"/>
  <c r="O404" i="20"/>
  <c r="N404" i="20"/>
  <c r="M404" i="20"/>
  <c r="L404" i="20"/>
  <c r="G404" i="20"/>
  <c r="O403" i="20"/>
  <c r="N403" i="20"/>
  <c r="M403" i="20"/>
  <c r="L403" i="20"/>
  <c r="G403" i="20"/>
  <c r="O402" i="20"/>
  <c r="N402" i="20"/>
  <c r="M402" i="20"/>
  <c r="L402" i="20"/>
  <c r="G402" i="20"/>
  <c r="O401" i="20"/>
  <c r="N401" i="20"/>
  <c r="M401" i="20"/>
  <c r="L401" i="20"/>
  <c r="G401" i="20"/>
  <c r="O400" i="20"/>
  <c r="N400" i="20"/>
  <c r="M400" i="20"/>
  <c r="L400" i="20"/>
  <c r="G400" i="20"/>
  <c r="O399" i="20"/>
  <c r="N399" i="20"/>
  <c r="M399" i="20"/>
  <c r="L399" i="20"/>
  <c r="G399" i="20"/>
  <c r="O398" i="20"/>
  <c r="N398" i="20"/>
  <c r="M398" i="20"/>
  <c r="L398" i="20"/>
  <c r="G398" i="20"/>
  <c r="O397" i="20"/>
  <c r="N397" i="20"/>
  <c r="M397" i="20"/>
  <c r="L397" i="20"/>
  <c r="G397" i="20"/>
  <c r="O396" i="20"/>
  <c r="N396" i="20"/>
  <c r="M396" i="20"/>
  <c r="L396" i="20"/>
  <c r="G396" i="20"/>
  <c r="O395" i="20"/>
  <c r="N395" i="20"/>
  <c r="M395" i="20"/>
  <c r="L395" i="20"/>
  <c r="G395" i="20"/>
  <c r="O394" i="20"/>
  <c r="N394" i="20"/>
  <c r="M394" i="20"/>
  <c r="L394" i="20"/>
  <c r="G394" i="20"/>
  <c r="O393" i="20"/>
  <c r="N393" i="20"/>
  <c r="M393" i="20"/>
  <c r="L393" i="20"/>
  <c r="G393" i="20"/>
  <c r="O392" i="20"/>
  <c r="N392" i="20"/>
  <c r="M392" i="20"/>
  <c r="L392" i="20"/>
  <c r="G392" i="20"/>
  <c r="O391" i="20"/>
  <c r="N391" i="20"/>
  <c r="M391" i="20"/>
  <c r="L391" i="20"/>
  <c r="G391" i="20"/>
  <c r="O390" i="20"/>
  <c r="N390" i="20"/>
  <c r="M390" i="20"/>
  <c r="L390" i="20"/>
  <c r="G390" i="20"/>
  <c r="O389" i="20"/>
  <c r="N389" i="20"/>
  <c r="M389" i="20"/>
  <c r="L389" i="20"/>
  <c r="G389" i="20"/>
  <c r="O388" i="20"/>
  <c r="N388" i="20"/>
  <c r="M388" i="20"/>
  <c r="L388" i="20"/>
  <c r="G388" i="20"/>
  <c r="O387" i="20"/>
  <c r="N387" i="20"/>
  <c r="M387" i="20"/>
  <c r="L387" i="20"/>
  <c r="G387" i="20"/>
  <c r="O386" i="20"/>
  <c r="N386" i="20"/>
  <c r="M386" i="20"/>
  <c r="L386" i="20"/>
  <c r="G386" i="20"/>
  <c r="O385" i="20"/>
  <c r="N385" i="20"/>
  <c r="M385" i="20"/>
  <c r="L385" i="20"/>
  <c r="G385" i="20"/>
  <c r="O384" i="20"/>
  <c r="N384" i="20"/>
  <c r="M384" i="20"/>
  <c r="L384" i="20"/>
  <c r="G384" i="20"/>
  <c r="O383" i="20"/>
  <c r="N383" i="20"/>
  <c r="M383" i="20"/>
  <c r="L383" i="20"/>
  <c r="G383" i="20"/>
  <c r="O382" i="20"/>
  <c r="N382" i="20"/>
  <c r="M382" i="20"/>
  <c r="L382" i="20"/>
  <c r="G382" i="20"/>
  <c r="O381" i="20"/>
  <c r="N381" i="20"/>
  <c r="M381" i="20"/>
  <c r="L381" i="20"/>
  <c r="G381" i="20"/>
  <c r="O380" i="20"/>
  <c r="N380" i="20"/>
  <c r="M380" i="20"/>
  <c r="L380" i="20"/>
  <c r="G380" i="20"/>
  <c r="O379" i="20"/>
  <c r="N379" i="20"/>
  <c r="M379" i="20"/>
  <c r="L379" i="20"/>
  <c r="G379" i="20"/>
  <c r="O378" i="20"/>
  <c r="N378" i="20"/>
  <c r="M378" i="20"/>
  <c r="L378" i="20"/>
  <c r="G378" i="20"/>
  <c r="O377" i="20"/>
  <c r="N377" i="20"/>
  <c r="M377" i="20"/>
  <c r="L377" i="20"/>
  <c r="G377" i="20"/>
  <c r="O376" i="20"/>
  <c r="N376" i="20"/>
  <c r="M376" i="20"/>
  <c r="L376" i="20"/>
  <c r="G376" i="20"/>
  <c r="O375" i="20"/>
  <c r="N375" i="20"/>
  <c r="M375" i="20"/>
  <c r="L375" i="20"/>
  <c r="G375" i="20"/>
  <c r="O374" i="20"/>
  <c r="N374" i="20"/>
  <c r="M374" i="20"/>
  <c r="L374" i="20"/>
  <c r="G374" i="20"/>
  <c r="O373" i="20"/>
  <c r="N373" i="20"/>
  <c r="M373" i="20"/>
  <c r="L373" i="20"/>
  <c r="G373" i="20"/>
  <c r="O372" i="20"/>
  <c r="N372" i="20"/>
  <c r="M372" i="20"/>
  <c r="L372" i="20"/>
  <c r="G372" i="20"/>
  <c r="O371" i="20"/>
  <c r="N371" i="20"/>
  <c r="M371" i="20"/>
  <c r="L371" i="20"/>
  <c r="G371" i="20"/>
  <c r="O370" i="20"/>
  <c r="N370" i="20"/>
  <c r="M370" i="20"/>
  <c r="L370" i="20"/>
  <c r="G370" i="20"/>
  <c r="O369" i="20"/>
  <c r="N369" i="20"/>
  <c r="M369" i="20"/>
  <c r="L369" i="20"/>
  <c r="G369" i="20"/>
  <c r="O368" i="20"/>
  <c r="N368" i="20"/>
  <c r="M368" i="20"/>
  <c r="L368" i="20"/>
  <c r="G368" i="20"/>
  <c r="O367" i="20"/>
  <c r="N367" i="20"/>
  <c r="M367" i="20"/>
  <c r="L367" i="20"/>
  <c r="G367" i="20"/>
  <c r="O366" i="20"/>
  <c r="N366" i="20"/>
  <c r="M366" i="20"/>
  <c r="L366" i="20"/>
  <c r="G366" i="20"/>
  <c r="O365" i="20"/>
  <c r="N365" i="20"/>
  <c r="M365" i="20"/>
  <c r="L365" i="20"/>
  <c r="G365" i="20"/>
  <c r="O364" i="20"/>
  <c r="N364" i="20"/>
  <c r="M364" i="20"/>
  <c r="L364" i="20"/>
  <c r="G364" i="20"/>
  <c r="O363" i="20"/>
  <c r="N363" i="20"/>
  <c r="M363" i="20"/>
  <c r="L363" i="20"/>
  <c r="G363" i="20"/>
  <c r="O362" i="20"/>
  <c r="N362" i="20"/>
  <c r="M362" i="20"/>
  <c r="L362" i="20"/>
  <c r="G362" i="20"/>
  <c r="O361" i="20"/>
  <c r="N361" i="20"/>
  <c r="M361" i="20"/>
  <c r="L361" i="20"/>
  <c r="G361" i="20"/>
  <c r="O360" i="20"/>
  <c r="N360" i="20"/>
  <c r="M360" i="20"/>
  <c r="L360" i="20"/>
  <c r="G360" i="20"/>
  <c r="O359" i="20"/>
  <c r="N359" i="20"/>
  <c r="M359" i="20"/>
  <c r="L359" i="20"/>
  <c r="G359" i="20"/>
  <c r="O358" i="20"/>
  <c r="N358" i="20"/>
  <c r="M358" i="20"/>
  <c r="L358" i="20"/>
  <c r="G358" i="20"/>
  <c r="O357" i="20"/>
  <c r="N357" i="20"/>
  <c r="M357" i="20"/>
  <c r="L357" i="20"/>
  <c r="G357" i="20"/>
  <c r="O356" i="20"/>
  <c r="N356" i="20"/>
  <c r="M356" i="20"/>
  <c r="L356" i="20"/>
  <c r="G356" i="20"/>
  <c r="O355" i="20"/>
  <c r="N355" i="20"/>
  <c r="M355" i="20"/>
  <c r="L355" i="20"/>
  <c r="G355" i="20"/>
  <c r="O354" i="20"/>
  <c r="N354" i="20"/>
  <c r="M354" i="20"/>
  <c r="L354" i="20"/>
  <c r="G354" i="20"/>
  <c r="O353" i="20"/>
  <c r="N353" i="20"/>
  <c r="M353" i="20"/>
  <c r="L353" i="20"/>
  <c r="G353" i="20"/>
  <c r="O352" i="20"/>
  <c r="N352" i="20"/>
  <c r="M352" i="20"/>
  <c r="L352" i="20"/>
  <c r="G352" i="20"/>
  <c r="O351" i="20"/>
  <c r="N351" i="20"/>
  <c r="M351" i="20"/>
  <c r="L351" i="20"/>
  <c r="G351" i="20"/>
  <c r="O350" i="20"/>
  <c r="N350" i="20"/>
  <c r="M350" i="20"/>
  <c r="L350" i="20"/>
  <c r="G350" i="20"/>
  <c r="O349" i="20"/>
  <c r="N349" i="20"/>
  <c r="M349" i="20"/>
  <c r="L349" i="20"/>
  <c r="G349" i="20"/>
  <c r="O348" i="20"/>
  <c r="N348" i="20"/>
  <c r="M348" i="20"/>
  <c r="L348" i="20"/>
  <c r="G348" i="20"/>
  <c r="O347" i="20"/>
  <c r="N347" i="20"/>
  <c r="M347" i="20"/>
  <c r="L347" i="20"/>
  <c r="G347" i="20"/>
  <c r="O346" i="20"/>
  <c r="N346" i="20"/>
  <c r="M346" i="20"/>
  <c r="L346" i="20"/>
  <c r="G346" i="20"/>
  <c r="O345" i="20"/>
  <c r="N345" i="20"/>
  <c r="M345" i="20"/>
  <c r="L345" i="20"/>
  <c r="G345" i="20"/>
  <c r="O344" i="20"/>
  <c r="N344" i="20"/>
  <c r="M344" i="20"/>
  <c r="L344" i="20"/>
  <c r="G344" i="20"/>
  <c r="O343" i="20"/>
  <c r="N343" i="20"/>
  <c r="M343" i="20"/>
  <c r="L343" i="20"/>
  <c r="G343" i="20"/>
  <c r="O342" i="20"/>
  <c r="N342" i="20"/>
  <c r="M342" i="20"/>
  <c r="L342" i="20"/>
  <c r="G342" i="20"/>
  <c r="O341" i="20"/>
  <c r="N341" i="20"/>
  <c r="M341" i="20"/>
  <c r="L341" i="20"/>
  <c r="G341" i="20"/>
  <c r="O340" i="20"/>
  <c r="N340" i="20"/>
  <c r="M340" i="20"/>
  <c r="L340" i="20"/>
  <c r="G340" i="20"/>
  <c r="O339" i="20"/>
  <c r="N339" i="20"/>
  <c r="M339" i="20"/>
  <c r="L339" i="20"/>
  <c r="G339" i="20"/>
  <c r="O338" i="20"/>
  <c r="N338" i="20"/>
  <c r="M338" i="20"/>
  <c r="L338" i="20"/>
  <c r="G338" i="20"/>
  <c r="O337" i="20"/>
  <c r="N337" i="20"/>
  <c r="M337" i="20"/>
  <c r="L337" i="20"/>
  <c r="G337" i="20"/>
  <c r="O336" i="20"/>
  <c r="N336" i="20"/>
  <c r="M336" i="20"/>
  <c r="L336" i="20"/>
  <c r="G336" i="20"/>
  <c r="O335" i="20"/>
  <c r="N335" i="20"/>
  <c r="M335" i="20"/>
  <c r="L335" i="20"/>
  <c r="G335" i="20"/>
  <c r="O334" i="20"/>
  <c r="N334" i="20"/>
  <c r="M334" i="20"/>
  <c r="L334" i="20"/>
  <c r="G334" i="20"/>
  <c r="O333" i="20"/>
  <c r="N333" i="20"/>
  <c r="M333" i="20"/>
  <c r="L333" i="20"/>
  <c r="G333" i="20"/>
  <c r="O332" i="20"/>
  <c r="N332" i="20"/>
  <c r="M332" i="20"/>
  <c r="L332" i="20"/>
  <c r="G332" i="20"/>
  <c r="O331" i="20"/>
  <c r="N331" i="20"/>
  <c r="M331" i="20"/>
  <c r="L331" i="20"/>
  <c r="G331" i="20"/>
  <c r="O330" i="20"/>
  <c r="N330" i="20"/>
  <c r="M330" i="20"/>
  <c r="L330" i="20"/>
  <c r="G330" i="20"/>
  <c r="O329" i="20"/>
  <c r="N329" i="20"/>
  <c r="M329" i="20"/>
  <c r="L329" i="20"/>
  <c r="G329" i="20"/>
  <c r="O328" i="20"/>
  <c r="N328" i="20"/>
  <c r="M328" i="20"/>
  <c r="L328" i="20"/>
  <c r="G328" i="20"/>
  <c r="O327" i="20"/>
  <c r="N327" i="20"/>
  <c r="M327" i="20"/>
  <c r="L327" i="20"/>
  <c r="G327" i="20"/>
  <c r="O326" i="20"/>
  <c r="N326" i="20"/>
  <c r="M326" i="20"/>
  <c r="L326" i="20"/>
  <c r="G326" i="20"/>
  <c r="O325" i="20"/>
  <c r="N325" i="20"/>
  <c r="M325" i="20"/>
  <c r="L325" i="20"/>
  <c r="G325" i="20"/>
  <c r="O324" i="20"/>
  <c r="N324" i="20"/>
  <c r="M324" i="20"/>
  <c r="L324" i="20"/>
  <c r="G324" i="20"/>
  <c r="O323" i="20"/>
  <c r="N323" i="20"/>
  <c r="M323" i="20"/>
  <c r="L323" i="20"/>
  <c r="G323" i="20"/>
  <c r="O322" i="20"/>
  <c r="N322" i="20"/>
  <c r="M322" i="20"/>
  <c r="L322" i="20"/>
  <c r="G322" i="20"/>
  <c r="O321" i="20"/>
  <c r="N321" i="20"/>
  <c r="M321" i="20"/>
  <c r="L321" i="20"/>
  <c r="G321" i="20"/>
  <c r="O320" i="20"/>
  <c r="N320" i="20"/>
  <c r="M320" i="20"/>
  <c r="L320" i="20"/>
  <c r="G320" i="20"/>
  <c r="O319" i="20"/>
  <c r="N319" i="20"/>
  <c r="M319" i="20"/>
  <c r="L319" i="20"/>
  <c r="G319" i="20"/>
  <c r="O318" i="20"/>
  <c r="N318" i="20"/>
  <c r="M318" i="20"/>
  <c r="L318" i="20"/>
  <c r="G318" i="20"/>
  <c r="O317" i="20"/>
  <c r="N317" i="20"/>
  <c r="M317" i="20"/>
  <c r="L317" i="20"/>
  <c r="G317" i="20"/>
  <c r="O316" i="20"/>
  <c r="N316" i="20"/>
  <c r="M316" i="20"/>
  <c r="L316" i="20"/>
  <c r="G316" i="20"/>
  <c r="O315" i="20"/>
  <c r="N315" i="20"/>
  <c r="M315" i="20"/>
  <c r="L315" i="20"/>
  <c r="G315" i="20"/>
  <c r="O314" i="20"/>
  <c r="N314" i="20"/>
  <c r="M314" i="20"/>
  <c r="L314" i="20"/>
  <c r="G314" i="20"/>
  <c r="O313" i="20"/>
  <c r="N313" i="20"/>
  <c r="M313" i="20"/>
  <c r="L313" i="20"/>
  <c r="G313" i="20"/>
  <c r="O312" i="20"/>
  <c r="N312" i="20"/>
  <c r="M312" i="20"/>
  <c r="L312" i="20"/>
  <c r="G312" i="20"/>
  <c r="O311" i="20"/>
  <c r="N311" i="20"/>
  <c r="M311" i="20"/>
  <c r="L311" i="20"/>
  <c r="G311" i="20"/>
  <c r="O310" i="20"/>
  <c r="N310" i="20"/>
  <c r="M310" i="20"/>
  <c r="L310" i="20"/>
  <c r="G310" i="20"/>
  <c r="O309" i="20"/>
  <c r="N309" i="20"/>
  <c r="M309" i="20"/>
  <c r="L309" i="20"/>
  <c r="G309" i="20"/>
  <c r="O308" i="20"/>
  <c r="N308" i="20"/>
  <c r="M308" i="20"/>
  <c r="L308" i="20"/>
  <c r="G308" i="20"/>
  <c r="O307" i="20"/>
  <c r="N307" i="20"/>
  <c r="M307" i="20"/>
  <c r="L307" i="20"/>
  <c r="G307" i="20"/>
  <c r="O306" i="20"/>
  <c r="N306" i="20"/>
  <c r="M306" i="20"/>
  <c r="L306" i="20"/>
  <c r="G306" i="20"/>
  <c r="O305" i="20"/>
  <c r="N305" i="20"/>
  <c r="M305" i="20"/>
  <c r="L305" i="20"/>
  <c r="G305" i="20"/>
  <c r="O304" i="20"/>
  <c r="N304" i="20"/>
  <c r="M304" i="20"/>
  <c r="L304" i="20"/>
  <c r="G304" i="20"/>
  <c r="O303" i="20"/>
  <c r="N303" i="20"/>
  <c r="M303" i="20"/>
  <c r="L303" i="20"/>
  <c r="G303" i="20"/>
  <c r="O302" i="20"/>
  <c r="N302" i="20"/>
  <c r="M302" i="20"/>
  <c r="L302" i="20"/>
  <c r="G302" i="20"/>
  <c r="O301" i="20"/>
  <c r="N301" i="20"/>
  <c r="M301" i="20"/>
  <c r="L301" i="20"/>
  <c r="G301" i="20"/>
  <c r="O300" i="20"/>
  <c r="N300" i="20"/>
  <c r="M300" i="20"/>
  <c r="L300" i="20"/>
  <c r="G300" i="20"/>
  <c r="O299" i="20"/>
  <c r="N299" i="20"/>
  <c r="M299" i="20"/>
  <c r="L299" i="20"/>
  <c r="G299" i="20"/>
  <c r="O298" i="20"/>
  <c r="N298" i="20"/>
  <c r="M298" i="20"/>
  <c r="L298" i="20"/>
  <c r="G298" i="20"/>
  <c r="O297" i="20"/>
  <c r="N297" i="20"/>
  <c r="M297" i="20"/>
  <c r="L297" i="20"/>
  <c r="G297" i="20"/>
  <c r="O296" i="20"/>
  <c r="N296" i="20"/>
  <c r="M296" i="20"/>
  <c r="L296" i="20"/>
  <c r="G296" i="20"/>
  <c r="O295" i="20"/>
  <c r="N295" i="20"/>
  <c r="M295" i="20"/>
  <c r="L295" i="20"/>
  <c r="G295" i="20"/>
  <c r="O294" i="20"/>
  <c r="N294" i="20"/>
  <c r="M294" i="20"/>
  <c r="L294" i="20"/>
  <c r="G294" i="20"/>
  <c r="O293" i="20"/>
  <c r="N293" i="20"/>
  <c r="M293" i="20"/>
  <c r="L293" i="20"/>
  <c r="G293" i="20"/>
  <c r="O292" i="20"/>
  <c r="N292" i="20"/>
  <c r="M292" i="20"/>
  <c r="L292" i="20"/>
  <c r="G292" i="20"/>
  <c r="O291" i="20"/>
  <c r="N291" i="20"/>
  <c r="M291" i="20"/>
  <c r="L291" i="20"/>
  <c r="G291" i="20"/>
  <c r="O290" i="20"/>
  <c r="N290" i="20"/>
  <c r="M290" i="20"/>
  <c r="L290" i="20"/>
  <c r="G290" i="20"/>
  <c r="O289" i="20"/>
  <c r="N289" i="20"/>
  <c r="M289" i="20"/>
  <c r="L289" i="20"/>
  <c r="G289" i="20"/>
  <c r="O288" i="20"/>
  <c r="N288" i="20"/>
  <c r="M288" i="20"/>
  <c r="L288" i="20"/>
  <c r="G288" i="20"/>
  <c r="O287" i="20"/>
  <c r="N287" i="20"/>
  <c r="M287" i="20"/>
  <c r="L287" i="20"/>
  <c r="G287" i="20"/>
  <c r="O286" i="20"/>
  <c r="N286" i="20"/>
  <c r="M286" i="20"/>
  <c r="L286" i="20"/>
  <c r="G286" i="20"/>
  <c r="O285" i="20"/>
  <c r="N285" i="20"/>
  <c r="M285" i="20"/>
  <c r="L285" i="20"/>
  <c r="G285" i="20"/>
  <c r="O284" i="20"/>
  <c r="N284" i="20"/>
  <c r="M284" i="20"/>
  <c r="L284" i="20"/>
  <c r="G284" i="20"/>
  <c r="O283" i="20"/>
  <c r="N283" i="20"/>
  <c r="M283" i="20"/>
  <c r="L283" i="20"/>
  <c r="G283" i="20"/>
  <c r="O282" i="20"/>
  <c r="N282" i="20"/>
  <c r="M282" i="20"/>
  <c r="L282" i="20"/>
  <c r="G282" i="20"/>
  <c r="O281" i="20"/>
  <c r="N281" i="20"/>
  <c r="M281" i="20"/>
  <c r="L281" i="20"/>
  <c r="G281" i="20"/>
  <c r="O280" i="20"/>
  <c r="N280" i="20"/>
  <c r="M280" i="20"/>
  <c r="L280" i="20"/>
  <c r="G280" i="20"/>
  <c r="O279" i="20"/>
  <c r="N279" i="20"/>
  <c r="M279" i="20"/>
  <c r="L279" i="20"/>
  <c r="G279" i="20"/>
  <c r="O278" i="20"/>
  <c r="N278" i="20"/>
  <c r="M278" i="20"/>
  <c r="L278" i="20"/>
  <c r="G278" i="20"/>
  <c r="O277" i="20"/>
  <c r="N277" i="20"/>
  <c r="M277" i="20"/>
  <c r="L277" i="20"/>
  <c r="G277" i="20"/>
  <c r="O276" i="20"/>
  <c r="N276" i="20"/>
  <c r="M276" i="20"/>
  <c r="L276" i="20"/>
  <c r="G276" i="20"/>
  <c r="O275" i="20"/>
  <c r="N275" i="20"/>
  <c r="M275" i="20"/>
  <c r="L275" i="20"/>
  <c r="G275" i="20"/>
  <c r="O274" i="20"/>
  <c r="N274" i="20"/>
  <c r="M274" i="20"/>
  <c r="L274" i="20"/>
  <c r="G274" i="20"/>
  <c r="O273" i="20"/>
  <c r="N273" i="20"/>
  <c r="M273" i="20"/>
  <c r="L273" i="20"/>
  <c r="G273" i="20"/>
  <c r="O272" i="20"/>
  <c r="N272" i="20"/>
  <c r="M272" i="20"/>
  <c r="L272" i="20"/>
  <c r="G272" i="20"/>
  <c r="O271" i="20"/>
  <c r="N271" i="20"/>
  <c r="M271" i="20"/>
  <c r="L271" i="20"/>
  <c r="G271" i="20"/>
  <c r="O270" i="20"/>
  <c r="N270" i="20"/>
  <c r="M270" i="20"/>
  <c r="L270" i="20"/>
  <c r="G270" i="20"/>
  <c r="O269" i="20"/>
  <c r="N269" i="20"/>
  <c r="M269" i="20"/>
  <c r="L269" i="20"/>
  <c r="G269" i="20"/>
  <c r="O268" i="20"/>
  <c r="N268" i="20"/>
  <c r="M268" i="20"/>
  <c r="L268" i="20"/>
  <c r="G268" i="20"/>
  <c r="O267" i="20"/>
  <c r="N267" i="20"/>
  <c r="M267" i="20"/>
  <c r="L267" i="20"/>
  <c r="G267" i="20"/>
  <c r="O266" i="20"/>
  <c r="N266" i="20"/>
  <c r="M266" i="20"/>
  <c r="L266" i="20"/>
  <c r="G266" i="20"/>
  <c r="O265" i="20"/>
  <c r="N265" i="20"/>
  <c r="M265" i="20"/>
  <c r="L265" i="20"/>
  <c r="G265" i="20"/>
  <c r="O264" i="20"/>
  <c r="N264" i="20"/>
  <c r="M264" i="20"/>
  <c r="L264" i="20"/>
  <c r="G264" i="20"/>
  <c r="O263" i="20"/>
  <c r="N263" i="20"/>
  <c r="M263" i="20"/>
  <c r="L263" i="20"/>
  <c r="G263" i="20"/>
  <c r="O262" i="20"/>
  <c r="N262" i="20"/>
  <c r="M262" i="20"/>
  <c r="L262" i="20"/>
  <c r="G262" i="20"/>
  <c r="O261" i="20"/>
  <c r="N261" i="20"/>
  <c r="M261" i="20"/>
  <c r="L261" i="20"/>
  <c r="G261" i="20"/>
  <c r="O260" i="20"/>
  <c r="N260" i="20"/>
  <c r="M260" i="20"/>
  <c r="L260" i="20"/>
  <c r="G260" i="20"/>
  <c r="O259" i="20"/>
  <c r="N259" i="20"/>
  <c r="M259" i="20"/>
  <c r="L259" i="20"/>
  <c r="G259" i="20"/>
  <c r="O258" i="20"/>
  <c r="N258" i="20"/>
  <c r="M258" i="20"/>
  <c r="L258" i="20"/>
  <c r="G258" i="20"/>
  <c r="O257" i="20"/>
  <c r="N257" i="20"/>
  <c r="M257" i="20"/>
  <c r="L257" i="20"/>
  <c r="G257" i="20"/>
  <c r="O256" i="20"/>
  <c r="N256" i="20"/>
  <c r="M256" i="20"/>
  <c r="L256" i="20"/>
  <c r="G256" i="20"/>
  <c r="O255" i="20"/>
  <c r="N255" i="20"/>
  <c r="M255" i="20"/>
  <c r="L255" i="20"/>
  <c r="G255" i="20"/>
  <c r="O254" i="20"/>
  <c r="N254" i="20"/>
  <c r="M254" i="20"/>
  <c r="L254" i="20"/>
  <c r="G254" i="20"/>
  <c r="O253" i="20"/>
  <c r="N253" i="20"/>
  <c r="M253" i="20"/>
  <c r="L253" i="20"/>
  <c r="G253" i="20"/>
  <c r="O252" i="20"/>
  <c r="N252" i="20"/>
  <c r="M252" i="20"/>
  <c r="L252" i="20"/>
  <c r="G252" i="20"/>
  <c r="O251" i="20"/>
  <c r="N251" i="20"/>
  <c r="M251" i="20"/>
  <c r="L251" i="20"/>
  <c r="G251" i="20"/>
  <c r="O250" i="20"/>
  <c r="N250" i="20"/>
  <c r="M250" i="20"/>
  <c r="L250" i="20"/>
  <c r="G250" i="20"/>
  <c r="O249" i="20"/>
  <c r="N249" i="20"/>
  <c r="M249" i="20"/>
  <c r="L249" i="20"/>
  <c r="G249" i="20"/>
  <c r="O248" i="20"/>
  <c r="N248" i="20"/>
  <c r="M248" i="20"/>
  <c r="L248" i="20"/>
  <c r="G248" i="20"/>
  <c r="O247" i="20"/>
  <c r="N247" i="20"/>
  <c r="M247" i="20"/>
  <c r="L247" i="20"/>
  <c r="G247" i="20"/>
  <c r="O246" i="20"/>
  <c r="N246" i="20"/>
  <c r="M246" i="20"/>
  <c r="L246" i="20"/>
  <c r="G246" i="20"/>
  <c r="O245" i="20"/>
  <c r="N245" i="20"/>
  <c r="M245" i="20"/>
  <c r="L245" i="20"/>
  <c r="G245" i="20"/>
  <c r="O244" i="20"/>
  <c r="N244" i="20"/>
  <c r="M244" i="20"/>
  <c r="L244" i="20"/>
  <c r="G244" i="20"/>
  <c r="O243" i="20"/>
  <c r="N243" i="20"/>
  <c r="M243" i="20"/>
  <c r="L243" i="20"/>
  <c r="G243" i="20"/>
  <c r="O242" i="20"/>
  <c r="N242" i="20"/>
  <c r="M242" i="20"/>
  <c r="L242" i="20"/>
  <c r="G242" i="20"/>
  <c r="O241" i="20"/>
  <c r="N241" i="20"/>
  <c r="M241" i="20"/>
  <c r="L241" i="20"/>
  <c r="G241" i="20"/>
  <c r="O240" i="20"/>
  <c r="N240" i="20"/>
  <c r="M240" i="20"/>
  <c r="L240" i="20"/>
  <c r="G240" i="20"/>
  <c r="O239" i="20"/>
  <c r="N239" i="20"/>
  <c r="M239" i="20"/>
  <c r="L239" i="20"/>
  <c r="G239" i="20"/>
  <c r="O238" i="20"/>
  <c r="N238" i="20"/>
  <c r="M238" i="20"/>
  <c r="L238" i="20"/>
  <c r="G238" i="20"/>
  <c r="O237" i="20"/>
  <c r="N237" i="20"/>
  <c r="M237" i="20"/>
  <c r="L237" i="20"/>
  <c r="G237" i="20"/>
  <c r="O236" i="20"/>
  <c r="N236" i="20"/>
  <c r="M236" i="20"/>
  <c r="L236" i="20"/>
  <c r="G236" i="20"/>
  <c r="O235" i="20"/>
  <c r="N235" i="20"/>
  <c r="M235" i="20"/>
  <c r="L235" i="20"/>
  <c r="G235" i="20"/>
  <c r="O234" i="20"/>
  <c r="N234" i="20"/>
  <c r="M234" i="20"/>
  <c r="L234" i="20"/>
  <c r="G234" i="20"/>
  <c r="O233" i="20"/>
  <c r="N233" i="20"/>
  <c r="M233" i="20"/>
  <c r="L233" i="20"/>
  <c r="G233" i="20"/>
  <c r="O232" i="20"/>
  <c r="N232" i="20"/>
  <c r="M232" i="20"/>
  <c r="L232" i="20"/>
  <c r="G232" i="20"/>
  <c r="O231" i="20"/>
  <c r="N231" i="20"/>
  <c r="M231" i="20"/>
  <c r="L231" i="20"/>
  <c r="G231" i="20"/>
  <c r="O230" i="20"/>
  <c r="N230" i="20"/>
  <c r="M230" i="20"/>
  <c r="L230" i="20"/>
  <c r="G230" i="20"/>
  <c r="O229" i="20"/>
  <c r="N229" i="20"/>
  <c r="M229" i="20"/>
  <c r="L229" i="20"/>
  <c r="G229" i="20"/>
  <c r="O228" i="20"/>
  <c r="N228" i="20"/>
  <c r="M228" i="20"/>
  <c r="L228" i="20"/>
  <c r="G228" i="20"/>
  <c r="O227" i="20"/>
  <c r="N227" i="20"/>
  <c r="M227" i="20"/>
  <c r="L227" i="20"/>
  <c r="G227" i="20"/>
  <c r="O226" i="20"/>
  <c r="N226" i="20"/>
  <c r="M226" i="20"/>
  <c r="L226" i="20"/>
  <c r="G226" i="20"/>
  <c r="O225" i="20"/>
  <c r="N225" i="20"/>
  <c r="M225" i="20"/>
  <c r="L225" i="20"/>
  <c r="G225" i="20"/>
  <c r="O224" i="20"/>
  <c r="N224" i="20"/>
  <c r="M224" i="20"/>
  <c r="L224" i="20"/>
  <c r="G224" i="20"/>
  <c r="O223" i="20"/>
  <c r="N223" i="20"/>
  <c r="M223" i="20"/>
  <c r="L223" i="20"/>
  <c r="G223" i="20"/>
  <c r="O222" i="20"/>
  <c r="N222" i="20"/>
  <c r="M222" i="20"/>
  <c r="L222" i="20"/>
  <c r="G222" i="20"/>
  <c r="O221" i="20"/>
  <c r="N221" i="20"/>
  <c r="M221" i="20"/>
  <c r="L221" i="20"/>
  <c r="G221" i="20"/>
  <c r="O220" i="20"/>
  <c r="N220" i="20"/>
  <c r="M220" i="20"/>
  <c r="L220" i="20"/>
  <c r="G220" i="20"/>
  <c r="O219" i="20"/>
  <c r="N219" i="20"/>
  <c r="M219" i="20"/>
  <c r="L219" i="20"/>
  <c r="G219" i="20"/>
  <c r="O218" i="20"/>
  <c r="N218" i="20"/>
  <c r="M218" i="20"/>
  <c r="L218" i="20"/>
  <c r="G218" i="20"/>
  <c r="O217" i="20"/>
  <c r="N217" i="20"/>
  <c r="M217" i="20"/>
  <c r="L217" i="20"/>
  <c r="G217" i="20"/>
  <c r="O216" i="20"/>
  <c r="N216" i="20"/>
  <c r="M216" i="20"/>
  <c r="L216" i="20"/>
  <c r="G216" i="20"/>
  <c r="O215" i="20"/>
  <c r="N215" i="20"/>
  <c r="M215" i="20"/>
  <c r="L215" i="20"/>
  <c r="G215" i="20"/>
  <c r="O214" i="20"/>
  <c r="N214" i="20"/>
  <c r="M214" i="20"/>
  <c r="L214" i="20"/>
  <c r="G214" i="20"/>
  <c r="O213" i="20"/>
  <c r="N213" i="20"/>
  <c r="M213" i="20"/>
  <c r="L213" i="20"/>
  <c r="G213" i="20"/>
  <c r="O212" i="20"/>
  <c r="N212" i="20"/>
  <c r="M212" i="20"/>
  <c r="L212" i="20"/>
  <c r="G212" i="20"/>
  <c r="O211" i="20"/>
  <c r="N211" i="20"/>
  <c r="M211" i="20"/>
  <c r="L211" i="20"/>
  <c r="G211" i="20"/>
  <c r="O210" i="20"/>
  <c r="N210" i="20"/>
  <c r="M210" i="20"/>
  <c r="L210" i="20"/>
  <c r="G210" i="20"/>
  <c r="O209" i="20"/>
  <c r="N209" i="20"/>
  <c r="M209" i="20"/>
  <c r="L209" i="20"/>
  <c r="G209" i="20"/>
  <c r="O208" i="20"/>
  <c r="N208" i="20"/>
  <c r="M208" i="20"/>
  <c r="L208" i="20"/>
  <c r="G208" i="20"/>
  <c r="O207" i="20"/>
  <c r="N207" i="20"/>
  <c r="M207" i="20"/>
  <c r="L207" i="20"/>
  <c r="G207" i="20"/>
  <c r="O206" i="20"/>
  <c r="N206" i="20"/>
  <c r="M206" i="20"/>
  <c r="L206" i="20"/>
  <c r="G206" i="20"/>
  <c r="O205" i="20"/>
  <c r="N205" i="20"/>
  <c r="M205" i="20"/>
  <c r="L205" i="20"/>
  <c r="G205" i="20"/>
  <c r="O204" i="20"/>
  <c r="N204" i="20"/>
  <c r="M204" i="20"/>
  <c r="L204" i="20"/>
  <c r="G204" i="20"/>
  <c r="O203" i="20"/>
  <c r="N203" i="20"/>
  <c r="M203" i="20"/>
  <c r="L203" i="20"/>
  <c r="G203" i="20"/>
  <c r="O202" i="20"/>
  <c r="N202" i="20"/>
  <c r="M202" i="20"/>
  <c r="L202" i="20"/>
  <c r="G202" i="20"/>
  <c r="O201" i="20"/>
  <c r="N201" i="20"/>
  <c r="M201" i="20"/>
  <c r="L201" i="20"/>
  <c r="G201" i="20"/>
  <c r="O200" i="20"/>
  <c r="N200" i="20"/>
  <c r="M200" i="20"/>
  <c r="L200" i="20"/>
  <c r="G200" i="20"/>
  <c r="O199" i="20"/>
  <c r="N199" i="20"/>
  <c r="M199" i="20"/>
  <c r="L199" i="20"/>
  <c r="G199" i="20"/>
  <c r="O198" i="20"/>
  <c r="N198" i="20"/>
  <c r="M198" i="20"/>
  <c r="L198" i="20"/>
  <c r="G198" i="20"/>
  <c r="O197" i="20"/>
  <c r="N197" i="20"/>
  <c r="M197" i="20"/>
  <c r="L197" i="20"/>
  <c r="G197" i="20"/>
  <c r="O196" i="20"/>
  <c r="N196" i="20"/>
  <c r="M196" i="20"/>
  <c r="L196" i="20"/>
  <c r="G196" i="20"/>
  <c r="O195" i="20"/>
  <c r="N195" i="20"/>
  <c r="M195" i="20"/>
  <c r="L195" i="20"/>
  <c r="G195" i="20"/>
  <c r="O194" i="20"/>
  <c r="N194" i="20"/>
  <c r="M194" i="20"/>
  <c r="L194" i="20"/>
  <c r="G194" i="20"/>
  <c r="O193" i="20"/>
  <c r="N193" i="20"/>
  <c r="M193" i="20"/>
  <c r="L193" i="20"/>
  <c r="G193" i="20"/>
  <c r="O192" i="20"/>
  <c r="N192" i="20"/>
  <c r="M192" i="20"/>
  <c r="L192" i="20"/>
  <c r="G192" i="20"/>
  <c r="O191" i="20"/>
  <c r="N191" i="20"/>
  <c r="M191" i="20"/>
  <c r="L191" i="20"/>
  <c r="G191" i="20"/>
  <c r="O190" i="20"/>
  <c r="N190" i="20"/>
  <c r="M190" i="20"/>
  <c r="L190" i="20"/>
  <c r="G190" i="20"/>
  <c r="O189" i="20"/>
  <c r="N189" i="20"/>
  <c r="M189" i="20"/>
  <c r="L189" i="20"/>
  <c r="G189" i="20"/>
  <c r="O188" i="20"/>
  <c r="N188" i="20"/>
  <c r="M188" i="20"/>
  <c r="L188" i="20"/>
  <c r="G188" i="20"/>
  <c r="O187" i="20"/>
  <c r="N187" i="20"/>
  <c r="M187" i="20"/>
  <c r="L187" i="20"/>
  <c r="G187" i="20"/>
  <c r="O186" i="20"/>
  <c r="N186" i="20"/>
  <c r="M186" i="20"/>
  <c r="L186" i="20"/>
  <c r="G186" i="20"/>
  <c r="O185" i="20"/>
  <c r="N185" i="20"/>
  <c r="M185" i="20"/>
  <c r="L185" i="20"/>
  <c r="G185" i="20"/>
  <c r="O184" i="20"/>
  <c r="N184" i="20"/>
  <c r="M184" i="20"/>
  <c r="L184" i="20"/>
  <c r="G184" i="20"/>
  <c r="O183" i="20"/>
  <c r="N183" i="20"/>
  <c r="M183" i="20"/>
  <c r="L183" i="20"/>
  <c r="G183" i="20"/>
  <c r="O182" i="20"/>
  <c r="N182" i="20"/>
  <c r="M182" i="20"/>
  <c r="L182" i="20"/>
  <c r="G182" i="20"/>
  <c r="O181" i="20"/>
  <c r="N181" i="20"/>
  <c r="M181" i="20"/>
  <c r="L181" i="20"/>
  <c r="G181" i="20"/>
  <c r="O180" i="20"/>
  <c r="N180" i="20"/>
  <c r="M180" i="20"/>
  <c r="L180" i="20"/>
  <c r="G180" i="20"/>
  <c r="O179" i="20"/>
  <c r="N179" i="20"/>
  <c r="M179" i="20"/>
  <c r="L179" i="20"/>
  <c r="G179" i="20"/>
  <c r="O178" i="20"/>
  <c r="N178" i="20"/>
  <c r="M178" i="20"/>
  <c r="L178" i="20"/>
  <c r="G178" i="20"/>
  <c r="O177" i="20"/>
  <c r="N177" i="20"/>
  <c r="M177" i="20"/>
  <c r="L177" i="20"/>
  <c r="G177" i="20"/>
  <c r="O176" i="20"/>
  <c r="N176" i="20"/>
  <c r="M176" i="20"/>
  <c r="L176" i="20"/>
  <c r="G176" i="20"/>
  <c r="O175" i="20"/>
  <c r="N175" i="20"/>
  <c r="M175" i="20"/>
  <c r="L175" i="20"/>
  <c r="G175" i="20"/>
  <c r="O174" i="20"/>
  <c r="N174" i="20"/>
  <c r="M174" i="20"/>
  <c r="L174" i="20"/>
  <c r="G174" i="20"/>
  <c r="O173" i="20"/>
  <c r="N173" i="20"/>
  <c r="M173" i="20"/>
  <c r="L173" i="20"/>
  <c r="G173" i="20"/>
  <c r="O172" i="20"/>
  <c r="N172" i="20"/>
  <c r="M172" i="20"/>
  <c r="L172" i="20"/>
  <c r="G172" i="20"/>
  <c r="O171" i="20"/>
  <c r="N171" i="20"/>
  <c r="M171" i="20"/>
  <c r="L171" i="20"/>
  <c r="G171" i="20"/>
  <c r="O170" i="20"/>
  <c r="N170" i="20"/>
  <c r="M170" i="20"/>
  <c r="L170" i="20"/>
  <c r="G170" i="20"/>
  <c r="O169" i="20"/>
  <c r="N169" i="20"/>
  <c r="M169" i="20"/>
  <c r="L169" i="20"/>
  <c r="G169" i="20"/>
  <c r="O168" i="20"/>
  <c r="N168" i="20"/>
  <c r="M168" i="20"/>
  <c r="L168" i="20"/>
  <c r="G168" i="20"/>
  <c r="O167" i="20"/>
  <c r="N167" i="20"/>
  <c r="M167" i="20"/>
  <c r="L167" i="20"/>
  <c r="G167" i="20"/>
  <c r="O166" i="20"/>
  <c r="N166" i="20"/>
  <c r="M166" i="20"/>
  <c r="L166" i="20"/>
  <c r="G166" i="20"/>
  <c r="O165" i="20"/>
  <c r="N165" i="20"/>
  <c r="M165" i="20"/>
  <c r="L165" i="20"/>
  <c r="G165" i="20"/>
  <c r="O164" i="20"/>
  <c r="N164" i="20"/>
  <c r="M164" i="20"/>
  <c r="L164" i="20"/>
  <c r="G164" i="20"/>
  <c r="O163" i="20"/>
  <c r="N163" i="20"/>
  <c r="M163" i="20"/>
  <c r="L163" i="20"/>
  <c r="G163" i="20"/>
  <c r="O162" i="20"/>
  <c r="N162" i="20"/>
  <c r="M162" i="20"/>
  <c r="L162" i="20"/>
  <c r="G162" i="20"/>
  <c r="O161" i="20"/>
  <c r="N161" i="20"/>
  <c r="M161" i="20"/>
  <c r="L161" i="20"/>
  <c r="G161" i="20"/>
  <c r="O160" i="20"/>
  <c r="N160" i="20"/>
  <c r="M160" i="20"/>
  <c r="L160" i="20"/>
  <c r="G160" i="20"/>
  <c r="O159" i="20"/>
  <c r="N159" i="20"/>
  <c r="M159" i="20"/>
  <c r="L159" i="20"/>
  <c r="G159" i="20"/>
  <c r="O158" i="20"/>
  <c r="N158" i="20"/>
  <c r="M158" i="20"/>
  <c r="L158" i="20"/>
  <c r="G158" i="20"/>
  <c r="O157" i="20"/>
  <c r="N157" i="20"/>
  <c r="M157" i="20"/>
  <c r="L157" i="20"/>
  <c r="G157" i="20"/>
  <c r="O156" i="20"/>
  <c r="N156" i="20"/>
  <c r="M156" i="20"/>
  <c r="L156" i="20"/>
  <c r="G156" i="20"/>
  <c r="O155" i="20"/>
  <c r="N155" i="20"/>
  <c r="M155" i="20"/>
  <c r="L155" i="20"/>
  <c r="G155" i="20"/>
  <c r="O154" i="20"/>
  <c r="N154" i="20"/>
  <c r="M154" i="20"/>
  <c r="L154" i="20"/>
  <c r="G154" i="20"/>
  <c r="O153" i="20"/>
  <c r="N153" i="20"/>
  <c r="M153" i="20"/>
  <c r="L153" i="20"/>
  <c r="G153" i="20"/>
  <c r="O152" i="20"/>
  <c r="N152" i="20"/>
  <c r="M152" i="20"/>
  <c r="L152" i="20"/>
  <c r="G152" i="20"/>
  <c r="O151" i="20"/>
  <c r="N151" i="20"/>
  <c r="M151" i="20"/>
  <c r="L151" i="20"/>
  <c r="G151" i="20"/>
  <c r="O150" i="20"/>
  <c r="N150" i="20"/>
  <c r="M150" i="20"/>
  <c r="L150" i="20"/>
  <c r="G150" i="20"/>
  <c r="O149" i="20"/>
  <c r="N149" i="20"/>
  <c r="M149" i="20"/>
  <c r="L149" i="20"/>
  <c r="G149" i="20"/>
  <c r="O148" i="20"/>
  <c r="N148" i="20"/>
  <c r="M148" i="20"/>
  <c r="L148" i="20"/>
  <c r="G148" i="20"/>
  <c r="O147" i="20"/>
  <c r="N147" i="20"/>
  <c r="M147" i="20"/>
  <c r="L147" i="20"/>
  <c r="G147" i="20"/>
  <c r="O146" i="20"/>
  <c r="N146" i="20"/>
  <c r="M146" i="20"/>
  <c r="L146" i="20"/>
  <c r="G146" i="20"/>
  <c r="O145" i="20"/>
  <c r="N145" i="20"/>
  <c r="M145" i="20"/>
  <c r="L145" i="20"/>
  <c r="G145" i="20"/>
  <c r="O144" i="20"/>
  <c r="N144" i="20"/>
  <c r="M144" i="20"/>
  <c r="L144" i="20"/>
  <c r="G144" i="20"/>
  <c r="O143" i="20"/>
  <c r="N143" i="20"/>
  <c r="M143" i="20"/>
  <c r="L143" i="20"/>
  <c r="G143" i="20"/>
  <c r="O142" i="20"/>
  <c r="N142" i="20"/>
  <c r="M142" i="20"/>
  <c r="L142" i="20"/>
  <c r="G142" i="20"/>
  <c r="O141" i="20"/>
  <c r="N141" i="20"/>
  <c r="M141" i="20"/>
  <c r="L141" i="20"/>
  <c r="G141" i="20"/>
  <c r="O140" i="20"/>
  <c r="N140" i="20"/>
  <c r="M140" i="20"/>
  <c r="L140" i="20"/>
  <c r="G140" i="20"/>
  <c r="O139" i="20"/>
  <c r="N139" i="20"/>
  <c r="M139" i="20"/>
  <c r="L139" i="20"/>
  <c r="G139" i="20"/>
  <c r="O138" i="20"/>
  <c r="N138" i="20"/>
  <c r="M138" i="20"/>
  <c r="L138" i="20"/>
  <c r="G138" i="20"/>
  <c r="O137" i="20"/>
  <c r="N137" i="20"/>
  <c r="M137" i="20"/>
  <c r="L137" i="20"/>
  <c r="G137" i="20"/>
  <c r="O136" i="20"/>
  <c r="N136" i="20"/>
  <c r="M136" i="20"/>
  <c r="L136" i="20"/>
  <c r="G136" i="20"/>
  <c r="O135" i="20"/>
  <c r="N135" i="20"/>
  <c r="M135" i="20"/>
  <c r="L135" i="20"/>
  <c r="G135" i="20"/>
  <c r="O134" i="20"/>
  <c r="N134" i="20"/>
  <c r="M134" i="20"/>
  <c r="L134" i="20"/>
  <c r="G134" i="20"/>
  <c r="O133" i="20"/>
  <c r="N133" i="20"/>
  <c r="M133" i="20"/>
  <c r="L133" i="20"/>
  <c r="G133" i="20"/>
  <c r="O132" i="20"/>
  <c r="N132" i="20"/>
  <c r="M132" i="20"/>
  <c r="L132" i="20"/>
  <c r="G132" i="20"/>
  <c r="O131" i="20"/>
  <c r="N131" i="20"/>
  <c r="M131" i="20"/>
  <c r="L131" i="20"/>
  <c r="G131" i="20"/>
  <c r="O130" i="20"/>
  <c r="N130" i="20"/>
  <c r="M130" i="20"/>
  <c r="L130" i="20"/>
  <c r="G130" i="20"/>
  <c r="O129" i="20"/>
  <c r="N129" i="20"/>
  <c r="M129" i="20"/>
  <c r="L129" i="20"/>
  <c r="G129" i="20"/>
  <c r="O128" i="20"/>
  <c r="N128" i="20"/>
  <c r="M128" i="20"/>
  <c r="L128" i="20"/>
  <c r="G128" i="20"/>
  <c r="O127" i="20"/>
  <c r="N127" i="20"/>
  <c r="M127" i="20"/>
  <c r="L127" i="20"/>
  <c r="G127" i="20"/>
  <c r="O126" i="20"/>
  <c r="N126" i="20"/>
  <c r="M126" i="20"/>
  <c r="L126" i="20"/>
  <c r="G126" i="20"/>
  <c r="O125" i="20"/>
  <c r="N125" i="20"/>
  <c r="M125" i="20"/>
  <c r="L125" i="20"/>
  <c r="G125" i="20"/>
  <c r="O124" i="20"/>
  <c r="N124" i="20"/>
  <c r="M124" i="20"/>
  <c r="L124" i="20"/>
  <c r="G124" i="20"/>
  <c r="O123" i="20"/>
  <c r="N123" i="20"/>
  <c r="M123" i="20"/>
  <c r="L123" i="20"/>
  <c r="G123" i="20"/>
  <c r="O122" i="20"/>
  <c r="N122" i="20"/>
  <c r="M122" i="20"/>
  <c r="L122" i="20"/>
  <c r="G122" i="20"/>
  <c r="O121" i="20"/>
  <c r="N121" i="20"/>
  <c r="M121" i="20"/>
  <c r="L121" i="20"/>
  <c r="G121" i="20"/>
  <c r="O120" i="20"/>
  <c r="N120" i="20"/>
  <c r="M120" i="20"/>
  <c r="L120" i="20"/>
  <c r="G120" i="20"/>
  <c r="O119" i="20"/>
  <c r="N119" i="20"/>
  <c r="M119" i="20"/>
  <c r="L119" i="20"/>
  <c r="G119" i="20"/>
  <c r="O118" i="20"/>
  <c r="N118" i="20"/>
  <c r="M118" i="20"/>
  <c r="L118" i="20"/>
  <c r="G118" i="20"/>
  <c r="O117" i="20"/>
  <c r="N117" i="20"/>
  <c r="M117" i="20"/>
  <c r="L117" i="20"/>
  <c r="G117" i="20"/>
  <c r="O116" i="20"/>
  <c r="N116" i="20"/>
  <c r="M116" i="20"/>
  <c r="L116" i="20"/>
  <c r="G116" i="20"/>
  <c r="O115" i="20"/>
  <c r="N115" i="20"/>
  <c r="M115" i="20"/>
  <c r="L115" i="20"/>
  <c r="G115" i="20"/>
  <c r="O114" i="20"/>
  <c r="N114" i="20"/>
  <c r="M114" i="20"/>
  <c r="L114" i="20"/>
  <c r="G114" i="20"/>
  <c r="O113" i="20"/>
  <c r="N113" i="20"/>
  <c r="M113" i="20"/>
  <c r="L113" i="20"/>
  <c r="G113" i="20"/>
  <c r="O112" i="20"/>
  <c r="N112" i="20"/>
  <c r="M112" i="20"/>
  <c r="L112" i="20"/>
  <c r="G112" i="20"/>
  <c r="O111" i="20"/>
  <c r="N111" i="20"/>
  <c r="M111" i="20"/>
  <c r="L111" i="20"/>
  <c r="G111" i="20"/>
  <c r="O110" i="20"/>
  <c r="N110" i="20"/>
  <c r="M110" i="20"/>
  <c r="L110" i="20"/>
  <c r="G110" i="20"/>
  <c r="O109" i="20"/>
  <c r="N109" i="20"/>
  <c r="M109" i="20"/>
  <c r="L109" i="20"/>
  <c r="G109" i="20"/>
  <c r="O108" i="20"/>
  <c r="N108" i="20"/>
  <c r="M108" i="20"/>
  <c r="L108" i="20"/>
  <c r="G108" i="20"/>
  <c r="O107" i="20"/>
  <c r="N107" i="20"/>
  <c r="M107" i="20"/>
  <c r="L107" i="20"/>
  <c r="G107" i="20"/>
  <c r="O106" i="20"/>
  <c r="N106" i="20"/>
  <c r="M106" i="20"/>
  <c r="L106" i="20"/>
  <c r="G106" i="20"/>
  <c r="O105" i="20"/>
  <c r="N105" i="20"/>
  <c r="M105" i="20"/>
  <c r="L105" i="20"/>
  <c r="G105" i="20"/>
  <c r="O104" i="20"/>
  <c r="N104" i="20"/>
  <c r="M104" i="20"/>
  <c r="L104" i="20"/>
  <c r="G104" i="20"/>
  <c r="O103" i="20"/>
  <c r="N103" i="20"/>
  <c r="M103" i="20"/>
  <c r="L103" i="20"/>
  <c r="G103" i="20"/>
  <c r="O102" i="20"/>
  <c r="N102" i="20"/>
  <c r="M102" i="20"/>
  <c r="L102" i="20"/>
  <c r="G102" i="20"/>
  <c r="O101" i="20"/>
  <c r="N101" i="20"/>
  <c r="M101" i="20"/>
  <c r="L101" i="20"/>
  <c r="G101" i="20"/>
  <c r="O100" i="20"/>
  <c r="N100" i="20"/>
  <c r="M100" i="20"/>
  <c r="L100" i="20"/>
  <c r="G100" i="20"/>
  <c r="O99" i="20"/>
  <c r="N99" i="20"/>
  <c r="M99" i="20"/>
  <c r="L99" i="20"/>
  <c r="G99" i="20"/>
  <c r="O98" i="20"/>
  <c r="N98" i="20"/>
  <c r="M98" i="20"/>
  <c r="L98" i="20"/>
  <c r="G98" i="20"/>
  <c r="O97" i="20"/>
  <c r="N97" i="20"/>
  <c r="M97" i="20"/>
  <c r="L97" i="20"/>
  <c r="G97" i="20"/>
  <c r="O96" i="20"/>
  <c r="N96" i="20"/>
  <c r="M96" i="20"/>
  <c r="L96" i="20"/>
  <c r="G96" i="20"/>
  <c r="O95" i="20"/>
  <c r="N95" i="20"/>
  <c r="M95" i="20"/>
  <c r="L95" i="20"/>
  <c r="G95" i="20"/>
  <c r="O94" i="20"/>
  <c r="N94" i="20"/>
  <c r="M94" i="20"/>
  <c r="L94" i="20"/>
  <c r="G94" i="20"/>
  <c r="O93" i="20"/>
  <c r="N93" i="20"/>
  <c r="M93" i="20"/>
  <c r="L93" i="20"/>
  <c r="G93" i="20"/>
  <c r="O92" i="20"/>
  <c r="N92" i="20"/>
  <c r="M92" i="20"/>
  <c r="L92" i="20"/>
  <c r="G92" i="20"/>
  <c r="O91" i="20"/>
  <c r="N91" i="20"/>
  <c r="M91" i="20"/>
  <c r="L91" i="20"/>
  <c r="G91" i="20"/>
  <c r="O90" i="20"/>
  <c r="N90" i="20"/>
  <c r="M90" i="20"/>
  <c r="L90" i="20"/>
  <c r="G90" i="20"/>
  <c r="O89" i="20"/>
  <c r="N89" i="20"/>
  <c r="M89" i="20"/>
  <c r="L89" i="20"/>
  <c r="G89" i="20"/>
  <c r="O88" i="20"/>
  <c r="N88" i="20"/>
  <c r="M88" i="20"/>
  <c r="L88" i="20"/>
  <c r="G88" i="20"/>
  <c r="O87" i="20"/>
  <c r="N87" i="20"/>
  <c r="M87" i="20"/>
  <c r="L87" i="20"/>
  <c r="G87" i="20"/>
  <c r="O86" i="20"/>
  <c r="N86" i="20"/>
  <c r="M86" i="20"/>
  <c r="L86" i="20"/>
  <c r="G86" i="20"/>
  <c r="O85" i="20"/>
  <c r="N85" i="20"/>
  <c r="M85" i="20"/>
  <c r="L85" i="20"/>
  <c r="G85" i="20"/>
  <c r="O84" i="20"/>
  <c r="N84" i="20"/>
  <c r="M84" i="20"/>
  <c r="L84" i="20"/>
  <c r="G84" i="20"/>
  <c r="O83" i="20"/>
  <c r="N83" i="20"/>
  <c r="M83" i="20"/>
  <c r="L83" i="20"/>
  <c r="G83" i="20"/>
  <c r="O82" i="20"/>
  <c r="N82" i="20"/>
  <c r="M82" i="20"/>
  <c r="L82" i="20"/>
  <c r="G82" i="20"/>
  <c r="O81" i="20"/>
  <c r="N81" i="20"/>
  <c r="M81" i="20"/>
  <c r="L81" i="20"/>
  <c r="G81" i="20"/>
  <c r="O80" i="20"/>
  <c r="N80" i="20"/>
  <c r="M80" i="20"/>
  <c r="L80" i="20"/>
  <c r="G80" i="20"/>
  <c r="O79" i="20"/>
  <c r="N79" i="20"/>
  <c r="M79" i="20"/>
  <c r="L79" i="20"/>
  <c r="G79" i="20"/>
  <c r="O78" i="20"/>
  <c r="N78" i="20"/>
  <c r="M78" i="20"/>
  <c r="L78" i="20"/>
  <c r="G78" i="20"/>
  <c r="O77" i="20"/>
  <c r="N77" i="20"/>
  <c r="M77" i="20"/>
  <c r="L77" i="20"/>
  <c r="G77" i="20"/>
  <c r="O76" i="20"/>
  <c r="N76" i="20"/>
  <c r="M76" i="20"/>
  <c r="L76" i="20"/>
  <c r="G76" i="20"/>
  <c r="O75" i="20"/>
  <c r="N75" i="20"/>
  <c r="M75" i="20"/>
  <c r="L75" i="20"/>
  <c r="G75" i="20"/>
  <c r="O74" i="20"/>
  <c r="N74" i="20"/>
  <c r="M74" i="20"/>
  <c r="L74" i="20"/>
  <c r="G74" i="20"/>
  <c r="O73" i="20"/>
  <c r="N73" i="20"/>
  <c r="M73" i="20"/>
  <c r="L73" i="20"/>
  <c r="G73" i="20"/>
  <c r="O72" i="20"/>
  <c r="N72" i="20"/>
  <c r="M72" i="20"/>
  <c r="L72" i="20"/>
  <c r="G72" i="20"/>
  <c r="O71" i="20"/>
  <c r="N71" i="20"/>
  <c r="M71" i="20"/>
  <c r="L71" i="20"/>
  <c r="G71" i="20"/>
  <c r="O70" i="20"/>
  <c r="N70" i="20"/>
  <c r="M70" i="20"/>
  <c r="L70" i="20"/>
  <c r="G70" i="20"/>
  <c r="O69" i="20"/>
  <c r="N69" i="20"/>
  <c r="M69" i="20"/>
  <c r="L69" i="20"/>
  <c r="G69" i="20"/>
  <c r="O68" i="20"/>
  <c r="N68" i="20"/>
  <c r="M68" i="20"/>
  <c r="L68" i="20"/>
  <c r="G68" i="20"/>
  <c r="O67" i="20"/>
  <c r="N67" i="20"/>
  <c r="M67" i="20"/>
  <c r="L67" i="20"/>
  <c r="G67" i="20"/>
  <c r="O66" i="20"/>
  <c r="N66" i="20"/>
  <c r="M66" i="20"/>
  <c r="L66" i="20"/>
  <c r="G66" i="20"/>
  <c r="O65" i="20"/>
  <c r="N65" i="20"/>
  <c r="M65" i="20"/>
  <c r="L65" i="20"/>
  <c r="G65" i="20"/>
  <c r="O64" i="20"/>
  <c r="N64" i="20"/>
  <c r="M64" i="20"/>
  <c r="L64" i="20"/>
  <c r="G64" i="20"/>
  <c r="O63" i="20"/>
  <c r="N63" i="20"/>
  <c r="M63" i="20"/>
  <c r="L63" i="20"/>
  <c r="G63" i="20"/>
  <c r="O62" i="20"/>
  <c r="N62" i="20"/>
  <c r="M62" i="20"/>
  <c r="L62" i="20"/>
  <c r="G62" i="20"/>
  <c r="O61" i="20"/>
  <c r="N61" i="20"/>
  <c r="M61" i="20"/>
  <c r="L61" i="20"/>
  <c r="G61" i="20"/>
  <c r="O60" i="20"/>
  <c r="N60" i="20"/>
  <c r="M60" i="20"/>
  <c r="L60" i="20"/>
  <c r="G60" i="20"/>
  <c r="O59" i="20"/>
  <c r="N59" i="20"/>
  <c r="M59" i="20"/>
  <c r="L59" i="20"/>
  <c r="G59" i="20"/>
  <c r="O58" i="20"/>
  <c r="N58" i="20"/>
  <c r="M58" i="20"/>
  <c r="L58" i="20"/>
  <c r="G58" i="20"/>
  <c r="O57" i="20"/>
  <c r="N57" i="20"/>
  <c r="M57" i="20"/>
  <c r="L57" i="20"/>
  <c r="G57" i="20"/>
  <c r="O56" i="20"/>
  <c r="N56" i="20"/>
  <c r="M56" i="20"/>
  <c r="L56" i="20"/>
  <c r="G56" i="20"/>
  <c r="O55" i="20"/>
  <c r="N55" i="20"/>
  <c r="M55" i="20"/>
  <c r="L55" i="20"/>
  <c r="G55" i="20"/>
  <c r="O54" i="20"/>
  <c r="N54" i="20"/>
  <c r="M54" i="20"/>
  <c r="L54" i="20"/>
  <c r="G54" i="20"/>
  <c r="O53" i="20"/>
  <c r="N53" i="20"/>
  <c r="M53" i="20"/>
  <c r="L53" i="20"/>
  <c r="G53" i="20"/>
  <c r="O52" i="20"/>
  <c r="N52" i="20"/>
  <c r="M52" i="20"/>
  <c r="L52" i="20"/>
  <c r="G52" i="20"/>
  <c r="O51" i="20"/>
  <c r="N51" i="20"/>
  <c r="M51" i="20"/>
  <c r="L51" i="20"/>
  <c r="G51" i="20"/>
  <c r="O50" i="20"/>
  <c r="N50" i="20"/>
  <c r="M50" i="20"/>
  <c r="L50" i="20"/>
  <c r="G50" i="20"/>
  <c r="O49" i="20"/>
  <c r="N49" i="20"/>
  <c r="M49" i="20"/>
  <c r="L49" i="20"/>
  <c r="G49" i="20"/>
  <c r="O48" i="20"/>
  <c r="N48" i="20"/>
  <c r="M48" i="20"/>
  <c r="L48" i="20"/>
  <c r="G48" i="20"/>
  <c r="O47" i="20"/>
  <c r="N47" i="20"/>
  <c r="M47" i="20"/>
  <c r="L47" i="20"/>
  <c r="G47" i="20"/>
  <c r="O46" i="20"/>
  <c r="N46" i="20"/>
  <c r="M46" i="20"/>
  <c r="L46" i="20"/>
  <c r="G46" i="20"/>
  <c r="O45" i="20"/>
  <c r="N45" i="20"/>
  <c r="M45" i="20"/>
  <c r="L45" i="20"/>
  <c r="G45" i="20"/>
  <c r="O44" i="20"/>
  <c r="N44" i="20"/>
  <c r="M44" i="20"/>
  <c r="L44" i="20"/>
  <c r="G44" i="20"/>
  <c r="O43" i="20"/>
  <c r="N43" i="20"/>
  <c r="M43" i="20"/>
  <c r="L43" i="20"/>
  <c r="G43" i="20"/>
  <c r="O42" i="20"/>
  <c r="N42" i="20"/>
  <c r="M42" i="20"/>
  <c r="L42" i="20"/>
  <c r="G42" i="20"/>
  <c r="O41" i="20"/>
  <c r="N41" i="20"/>
  <c r="M41" i="20"/>
  <c r="L41" i="20"/>
  <c r="G41" i="20"/>
  <c r="O40" i="20"/>
  <c r="N40" i="20"/>
  <c r="M40" i="20"/>
  <c r="L40" i="20"/>
  <c r="G40" i="20"/>
  <c r="O39" i="20"/>
  <c r="N39" i="20"/>
  <c r="M39" i="20"/>
  <c r="L39" i="20"/>
  <c r="G39" i="20"/>
  <c r="O38" i="20"/>
  <c r="N38" i="20"/>
  <c r="M38" i="20"/>
  <c r="L38" i="20"/>
  <c r="G38" i="20"/>
  <c r="O37" i="20"/>
  <c r="N37" i="20"/>
  <c r="M37" i="20"/>
  <c r="L37" i="20"/>
  <c r="G37" i="20"/>
  <c r="O36" i="20"/>
  <c r="N36" i="20"/>
  <c r="M36" i="20"/>
  <c r="L36" i="20"/>
  <c r="G36" i="20"/>
  <c r="O35" i="20"/>
  <c r="N35" i="20"/>
  <c r="M35" i="20"/>
  <c r="L35" i="20"/>
  <c r="G35" i="20"/>
  <c r="O34" i="20"/>
  <c r="N34" i="20"/>
  <c r="M34" i="20"/>
  <c r="L34" i="20"/>
  <c r="G34" i="20"/>
  <c r="O33" i="20"/>
  <c r="N33" i="20"/>
  <c r="M33" i="20"/>
  <c r="L33" i="20"/>
  <c r="G33" i="20"/>
  <c r="O32" i="20"/>
  <c r="N32" i="20"/>
  <c r="M32" i="20"/>
  <c r="L32" i="20"/>
  <c r="G32" i="20"/>
  <c r="O31" i="20"/>
  <c r="N31" i="20"/>
  <c r="M31" i="20"/>
  <c r="L31" i="20"/>
  <c r="G31" i="20"/>
  <c r="O30" i="20"/>
  <c r="N30" i="20"/>
  <c r="M30" i="20"/>
  <c r="L30" i="20"/>
  <c r="G30" i="20"/>
  <c r="O29" i="20"/>
  <c r="N29" i="20"/>
  <c r="M29" i="20"/>
  <c r="L29" i="20"/>
  <c r="G29" i="20"/>
  <c r="O28" i="20"/>
  <c r="N28" i="20"/>
  <c r="M28" i="20"/>
  <c r="L28" i="20"/>
  <c r="G28" i="20"/>
  <c r="O27" i="20"/>
  <c r="N27" i="20"/>
  <c r="M27" i="20"/>
  <c r="L27" i="20"/>
  <c r="G27" i="20"/>
  <c r="O26" i="20"/>
  <c r="N26" i="20"/>
  <c r="M26" i="20"/>
  <c r="L26" i="20"/>
  <c r="G26" i="20"/>
  <c r="O25" i="20"/>
  <c r="N25" i="20"/>
  <c r="M25" i="20"/>
  <c r="L25" i="20"/>
  <c r="G25" i="20"/>
  <c r="O24" i="20"/>
  <c r="N24" i="20"/>
  <c r="M24" i="20"/>
  <c r="L24" i="20"/>
  <c r="G24" i="20"/>
  <c r="O23" i="20"/>
  <c r="N23" i="20"/>
  <c r="M23" i="20"/>
  <c r="L23" i="20"/>
  <c r="G23" i="20"/>
  <c r="O22" i="20"/>
  <c r="N22" i="20"/>
  <c r="M22" i="20"/>
  <c r="L22" i="20"/>
  <c r="G22" i="20"/>
  <c r="O21" i="20"/>
  <c r="N21" i="20"/>
  <c r="M21" i="20"/>
  <c r="L21" i="20"/>
  <c r="G21" i="20"/>
  <c r="O20" i="20"/>
  <c r="N20" i="20"/>
  <c r="M20" i="20"/>
  <c r="L20" i="20"/>
  <c r="G20" i="20"/>
  <c r="O19" i="20"/>
  <c r="N19" i="20"/>
  <c r="M19" i="20"/>
  <c r="L19" i="20"/>
  <c r="G19" i="20"/>
  <c r="O18" i="20"/>
  <c r="N18" i="20"/>
  <c r="M18" i="20"/>
  <c r="L18" i="20"/>
  <c r="G18" i="20"/>
  <c r="O17" i="20"/>
  <c r="N17" i="20"/>
  <c r="M17" i="20"/>
  <c r="L17" i="20"/>
  <c r="G17" i="20"/>
  <c r="O16" i="20"/>
  <c r="N16" i="20"/>
  <c r="M16" i="20"/>
  <c r="L16" i="20"/>
  <c r="G16" i="20"/>
  <c r="O15" i="20"/>
  <c r="N15" i="20"/>
  <c r="M15" i="20"/>
  <c r="L15" i="20"/>
  <c r="G15" i="20"/>
  <c r="O14" i="20"/>
  <c r="N14" i="20"/>
  <c r="M14" i="20"/>
  <c r="L14" i="20"/>
  <c r="G14" i="20"/>
  <c r="O13" i="20"/>
  <c r="N13" i="20"/>
  <c r="M13" i="20"/>
  <c r="L13" i="20"/>
  <c r="G13" i="20"/>
  <c r="O12" i="20"/>
  <c r="N12" i="20"/>
  <c r="M12" i="20"/>
  <c r="L12" i="20"/>
  <c r="G12" i="20"/>
  <c r="O11" i="20"/>
  <c r="N11" i="20"/>
  <c r="M11" i="20"/>
  <c r="L11" i="20"/>
  <c r="G11" i="20"/>
  <c r="O10" i="20"/>
  <c r="N10" i="20"/>
  <c r="M10" i="20"/>
  <c r="L10" i="20"/>
  <c r="G10" i="20"/>
  <c r="O9" i="20"/>
  <c r="N9" i="20"/>
  <c r="M9" i="20"/>
  <c r="L9" i="20"/>
  <c r="G9" i="20"/>
  <c r="O8" i="20"/>
  <c r="N8" i="20"/>
  <c r="M8" i="20"/>
  <c r="L8" i="20"/>
  <c r="G8" i="20"/>
  <c r="O7" i="20"/>
  <c r="N7" i="20"/>
  <c r="M7" i="20"/>
  <c r="L7" i="20"/>
  <c r="G7" i="20"/>
  <c r="O6" i="20"/>
  <c r="N6" i="20"/>
  <c r="M6" i="20"/>
  <c r="L6" i="20"/>
  <c r="G6" i="20"/>
  <c r="O5" i="20"/>
  <c r="N5" i="20"/>
  <c r="M5" i="20"/>
  <c r="L5" i="20"/>
  <c r="G5" i="20"/>
  <c r="O184" i="80"/>
  <c r="L184" i="80"/>
  <c r="E180" i="80"/>
  <c r="O174" i="80"/>
  <c r="N174" i="80"/>
  <c r="M174" i="80"/>
  <c r="L174" i="80"/>
  <c r="K174" i="80"/>
  <c r="J174" i="80"/>
  <c r="I174" i="80"/>
  <c r="H174" i="80"/>
  <c r="G174" i="80"/>
  <c r="F174" i="80"/>
  <c r="E174" i="80"/>
  <c r="O173" i="80"/>
  <c r="N173" i="80"/>
  <c r="M173" i="80"/>
  <c r="L173" i="80"/>
  <c r="G173" i="80"/>
  <c r="O172" i="80"/>
  <c r="N172" i="80"/>
  <c r="M172" i="80"/>
  <c r="L172" i="80"/>
  <c r="G172" i="80"/>
  <c r="O171" i="80"/>
  <c r="N171" i="80"/>
  <c r="M171" i="80"/>
  <c r="L171" i="80"/>
  <c r="G171" i="80"/>
  <c r="O170" i="80"/>
  <c r="N170" i="80"/>
  <c r="M170" i="80"/>
  <c r="L170" i="80"/>
  <c r="G170" i="80"/>
  <c r="O169" i="80"/>
  <c r="N169" i="80"/>
  <c r="M169" i="80"/>
  <c r="L169" i="80"/>
  <c r="G169" i="80"/>
  <c r="O168" i="80"/>
  <c r="N168" i="80"/>
  <c r="M168" i="80"/>
  <c r="L168" i="80"/>
  <c r="G168" i="80"/>
  <c r="O167" i="80"/>
  <c r="N167" i="80"/>
  <c r="M167" i="80"/>
  <c r="L167" i="80"/>
  <c r="G167" i="80"/>
  <c r="O166" i="80"/>
  <c r="N166" i="80"/>
  <c r="M166" i="80"/>
  <c r="L166" i="80"/>
  <c r="G166" i="80"/>
  <c r="O165" i="80"/>
  <c r="N165" i="80"/>
  <c r="M165" i="80"/>
  <c r="L165" i="80"/>
  <c r="G165" i="80"/>
  <c r="O164" i="80"/>
  <c r="N164" i="80"/>
  <c r="M164" i="80"/>
  <c r="L164" i="80"/>
  <c r="G164" i="80"/>
  <c r="O163" i="80"/>
  <c r="N163" i="80"/>
  <c r="M163" i="80"/>
  <c r="L163" i="80"/>
  <c r="G163" i="80"/>
  <c r="O162" i="80"/>
  <c r="N162" i="80"/>
  <c r="M162" i="80"/>
  <c r="L162" i="80"/>
  <c r="G162" i="80"/>
  <c r="O161" i="80"/>
  <c r="N161" i="80"/>
  <c r="M161" i="80"/>
  <c r="L161" i="80"/>
  <c r="G161" i="80"/>
  <c r="O160" i="80"/>
  <c r="N160" i="80"/>
  <c r="M160" i="80"/>
  <c r="L160" i="80"/>
  <c r="G160" i="80"/>
  <c r="O159" i="80"/>
  <c r="N159" i="80"/>
  <c r="M159" i="80"/>
  <c r="L159" i="80"/>
  <c r="G159" i="80"/>
  <c r="O158" i="80"/>
  <c r="N158" i="80"/>
  <c r="M158" i="80"/>
  <c r="L158" i="80"/>
  <c r="G158" i="80"/>
  <c r="O157" i="80"/>
  <c r="N157" i="80"/>
  <c r="M157" i="80"/>
  <c r="L157" i="80"/>
  <c r="G157" i="80"/>
  <c r="O156" i="80"/>
  <c r="N156" i="80"/>
  <c r="M156" i="80"/>
  <c r="L156" i="80"/>
  <c r="G156" i="80"/>
  <c r="O155" i="80"/>
  <c r="N155" i="80"/>
  <c r="M155" i="80"/>
  <c r="L155" i="80"/>
  <c r="G155" i="80"/>
  <c r="O154" i="80"/>
  <c r="N154" i="80"/>
  <c r="M154" i="80"/>
  <c r="L154" i="80"/>
  <c r="G154" i="80"/>
  <c r="O153" i="80"/>
  <c r="N153" i="80"/>
  <c r="M153" i="80"/>
  <c r="L153" i="80"/>
  <c r="G153" i="80"/>
  <c r="O152" i="80"/>
  <c r="N152" i="80"/>
  <c r="M152" i="80"/>
  <c r="L152" i="80"/>
  <c r="G152" i="80"/>
  <c r="O151" i="80"/>
  <c r="N151" i="80"/>
  <c r="M151" i="80"/>
  <c r="L151" i="80"/>
  <c r="G151" i="80"/>
  <c r="O150" i="80"/>
  <c r="N150" i="80"/>
  <c r="M150" i="80"/>
  <c r="L150" i="80"/>
  <c r="G150" i="80"/>
  <c r="O149" i="80"/>
  <c r="N149" i="80"/>
  <c r="M149" i="80"/>
  <c r="L149" i="80"/>
  <c r="G149" i="80"/>
  <c r="O148" i="80"/>
  <c r="N148" i="80"/>
  <c r="M148" i="80"/>
  <c r="L148" i="80"/>
  <c r="G148" i="80"/>
  <c r="O147" i="80"/>
  <c r="N147" i="80"/>
  <c r="M147" i="80"/>
  <c r="L147" i="80"/>
  <c r="G147" i="80"/>
  <c r="O146" i="80"/>
  <c r="N146" i="80"/>
  <c r="M146" i="80"/>
  <c r="L146" i="80"/>
  <c r="G146" i="80"/>
  <c r="O145" i="80"/>
  <c r="N145" i="80"/>
  <c r="M145" i="80"/>
  <c r="L145" i="80"/>
  <c r="G145" i="80"/>
  <c r="O144" i="80"/>
  <c r="N144" i="80"/>
  <c r="M144" i="80"/>
  <c r="L144" i="80"/>
  <c r="G144" i="80"/>
  <c r="O143" i="80"/>
  <c r="N143" i="80"/>
  <c r="M143" i="80"/>
  <c r="L143" i="80"/>
  <c r="G143" i="80"/>
  <c r="O142" i="80"/>
  <c r="N142" i="80"/>
  <c r="M142" i="80"/>
  <c r="L142" i="80"/>
  <c r="G142" i="80"/>
  <c r="O141" i="80"/>
  <c r="N141" i="80"/>
  <c r="M141" i="80"/>
  <c r="L141" i="80"/>
  <c r="G141" i="80"/>
  <c r="O140" i="80"/>
  <c r="N140" i="80"/>
  <c r="M140" i="80"/>
  <c r="L140" i="80"/>
  <c r="G140" i="80"/>
  <c r="O139" i="80"/>
  <c r="N139" i="80"/>
  <c r="M139" i="80"/>
  <c r="L139" i="80"/>
  <c r="G139" i="80"/>
  <c r="O138" i="80"/>
  <c r="N138" i="80"/>
  <c r="M138" i="80"/>
  <c r="L138" i="80"/>
  <c r="G138" i="80"/>
  <c r="O137" i="80"/>
  <c r="N137" i="80"/>
  <c r="M137" i="80"/>
  <c r="L137" i="80"/>
  <c r="G137" i="80"/>
  <c r="O136" i="80"/>
  <c r="N136" i="80"/>
  <c r="M136" i="80"/>
  <c r="L136" i="80"/>
  <c r="G136" i="80"/>
  <c r="O135" i="80"/>
  <c r="N135" i="80"/>
  <c r="M135" i="80"/>
  <c r="L135" i="80"/>
  <c r="G135" i="80"/>
  <c r="O134" i="80"/>
  <c r="N134" i="80"/>
  <c r="M134" i="80"/>
  <c r="L134" i="80"/>
  <c r="G134" i="80"/>
  <c r="O133" i="80"/>
  <c r="N133" i="80"/>
  <c r="M133" i="80"/>
  <c r="L133" i="80"/>
  <c r="G133" i="80"/>
  <c r="O132" i="80"/>
  <c r="N132" i="80"/>
  <c r="M132" i="80"/>
  <c r="L132" i="80"/>
  <c r="G132" i="80"/>
  <c r="O131" i="80"/>
  <c r="N131" i="80"/>
  <c r="M131" i="80"/>
  <c r="L131" i="80"/>
  <c r="G131" i="80"/>
  <c r="O130" i="80"/>
  <c r="N130" i="80"/>
  <c r="M130" i="80"/>
  <c r="L130" i="80"/>
  <c r="G130" i="80"/>
  <c r="O129" i="80"/>
  <c r="N129" i="80"/>
  <c r="M129" i="80"/>
  <c r="L129" i="80"/>
  <c r="G129" i="80"/>
  <c r="O128" i="80"/>
  <c r="N128" i="80"/>
  <c r="M128" i="80"/>
  <c r="L128" i="80"/>
  <c r="G128" i="80"/>
  <c r="O127" i="80"/>
  <c r="N127" i="80"/>
  <c r="M127" i="80"/>
  <c r="L127" i="80"/>
  <c r="G127" i="80"/>
  <c r="O126" i="80"/>
  <c r="N126" i="80"/>
  <c r="M126" i="80"/>
  <c r="L126" i="80"/>
  <c r="G126" i="80"/>
  <c r="O125" i="80"/>
  <c r="N125" i="80"/>
  <c r="M125" i="80"/>
  <c r="L125" i="80"/>
  <c r="G125" i="80"/>
  <c r="O124" i="80"/>
  <c r="N124" i="80"/>
  <c r="M124" i="80"/>
  <c r="L124" i="80"/>
  <c r="G124" i="80"/>
  <c r="O123" i="80"/>
  <c r="N123" i="80"/>
  <c r="M123" i="80"/>
  <c r="L123" i="80"/>
  <c r="G123" i="80"/>
  <c r="O122" i="80"/>
  <c r="N122" i="80"/>
  <c r="M122" i="80"/>
  <c r="L122" i="80"/>
  <c r="G122" i="80"/>
  <c r="O121" i="80"/>
  <c r="N121" i="80"/>
  <c r="M121" i="80"/>
  <c r="L121" i="80"/>
  <c r="G121" i="80"/>
  <c r="O120" i="80"/>
  <c r="N120" i="80"/>
  <c r="M120" i="80"/>
  <c r="L120" i="80"/>
  <c r="G120" i="80"/>
  <c r="O119" i="80"/>
  <c r="N119" i="80"/>
  <c r="M119" i="80"/>
  <c r="L119" i="80"/>
  <c r="G119" i="80"/>
  <c r="O118" i="80"/>
  <c r="N118" i="80"/>
  <c r="M118" i="80"/>
  <c r="L118" i="80"/>
  <c r="G118" i="80"/>
  <c r="O117" i="80"/>
  <c r="N117" i="80"/>
  <c r="M117" i="80"/>
  <c r="L117" i="80"/>
  <c r="G117" i="80"/>
  <c r="O116" i="80"/>
  <c r="N116" i="80"/>
  <c r="M116" i="80"/>
  <c r="L116" i="80"/>
  <c r="G116" i="80"/>
  <c r="O115" i="80"/>
  <c r="N115" i="80"/>
  <c r="M115" i="80"/>
  <c r="L115" i="80"/>
  <c r="G115" i="80"/>
  <c r="O114" i="80"/>
  <c r="N114" i="80"/>
  <c r="M114" i="80"/>
  <c r="L114" i="80"/>
  <c r="G114" i="80"/>
  <c r="O113" i="80"/>
  <c r="N113" i="80"/>
  <c r="M113" i="80"/>
  <c r="L113" i="80"/>
  <c r="G113" i="80"/>
  <c r="O112" i="80"/>
  <c r="N112" i="80"/>
  <c r="M112" i="80"/>
  <c r="L112" i="80"/>
  <c r="G112" i="80"/>
  <c r="O111" i="80"/>
  <c r="N111" i="80"/>
  <c r="M111" i="80"/>
  <c r="L111" i="80"/>
  <c r="G111" i="80"/>
  <c r="O110" i="80"/>
  <c r="N110" i="80"/>
  <c r="M110" i="80"/>
  <c r="L110" i="80"/>
  <c r="G110" i="80"/>
  <c r="O109" i="80"/>
  <c r="N109" i="80"/>
  <c r="M109" i="80"/>
  <c r="L109" i="80"/>
  <c r="G109" i="80"/>
  <c r="O108" i="80"/>
  <c r="N108" i="80"/>
  <c r="M108" i="80"/>
  <c r="L108" i="80"/>
  <c r="G108" i="80"/>
  <c r="O107" i="80"/>
  <c r="N107" i="80"/>
  <c r="M107" i="80"/>
  <c r="L107" i="80"/>
  <c r="G107" i="80"/>
  <c r="O106" i="80"/>
  <c r="N106" i="80"/>
  <c r="M106" i="80"/>
  <c r="L106" i="80"/>
  <c r="G106" i="80"/>
  <c r="O105" i="80"/>
  <c r="N105" i="80"/>
  <c r="M105" i="80"/>
  <c r="L105" i="80"/>
  <c r="G105" i="80"/>
  <c r="O104" i="80"/>
  <c r="N104" i="80"/>
  <c r="M104" i="80"/>
  <c r="L104" i="80"/>
  <c r="G104" i="80"/>
  <c r="O103" i="80"/>
  <c r="N103" i="80"/>
  <c r="M103" i="80"/>
  <c r="L103" i="80"/>
  <c r="G103" i="80"/>
  <c r="O102" i="80"/>
  <c r="N102" i="80"/>
  <c r="M102" i="80"/>
  <c r="L102" i="80"/>
  <c r="G102" i="80"/>
  <c r="O101" i="80"/>
  <c r="N101" i="80"/>
  <c r="M101" i="80"/>
  <c r="L101" i="80"/>
  <c r="G101" i="80"/>
  <c r="O100" i="80"/>
  <c r="N100" i="80"/>
  <c r="M100" i="80"/>
  <c r="L100" i="80"/>
  <c r="G100" i="80"/>
  <c r="O99" i="80"/>
  <c r="N99" i="80"/>
  <c r="M99" i="80"/>
  <c r="L99" i="80"/>
  <c r="G99" i="80"/>
  <c r="O98" i="80"/>
  <c r="N98" i="80"/>
  <c r="M98" i="80"/>
  <c r="L98" i="80"/>
  <c r="G98" i="80"/>
  <c r="O97" i="80"/>
  <c r="N97" i="80"/>
  <c r="M97" i="80"/>
  <c r="L97" i="80"/>
  <c r="G97" i="80"/>
  <c r="O96" i="80"/>
  <c r="N96" i="80"/>
  <c r="M96" i="80"/>
  <c r="L96" i="80"/>
  <c r="G96" i="80"/>
  <c r="O95" i="80"/>
  <c r="N95" i="80"/>
  <c r="M95" i="80"/>
  <c r="L95" i="80"/>
  <c r="G95" i="80"/>
  <c r="O94" i="80"/>
  <c r="N94" i="80"/>
  <c r="M94" i="80"/>
  <c r="L94" i="80"/>
  <c r="G94" i="80"/>
  <c r="O93" i="80"/>
  <c r="N93" i="80"/>
  <c r="M93" i="80"/>
  <c r="L93" i="80"/>
  <c r="G93" i="80"/>
  <c r="O92" i="80"/>
  <c r="N92" i="80"/>
  <c r="M92" i="80"/>
  <c r="L92" i="80"/>
  <c r="G92" i="80"/>
  <c r="O91" i="80"/>
  <c r="N91" i="80"/>
  <c r="M91" i="80"/>
  <c r="L91" i="80"/>
  <c r="G91" i="80"/>
  <c r="O90" i="80"/>
  <c r="N90" i="80"/>
  <c r="M90" i="80"/>
  <c r="L90" i="80"/>
  <c r="G90" i="80"/>
  <c r="O89" i="80"/>
  <c r="N89" i="80"/>
  <c r="M89" i="80"/>
  <c r="L89" i="80"/>
  <c r="G89" i="80"/>
  <c r="O88" i="80"/>
  <c r="N88" i="80"/>
  <c r="M88" i="80"/>
  <c r="L88" i="80"/>
  <c r="G88" i="80"/>
  <c r="O87" i="80"/>
  <c r="N87" i="80"/>
  <c r="M87" i="80"/>
  <c r="L87" i="80"/>
  <c r="G87" i="80"/>
  <c r="O86" i="80"/>
  <c r="N86" i="80"/>
  <c r="M86" i="80"/>
  <c r="L86" i="80"/>
  <c r="G86" i="80"/>
  <c r="O85" i="80"/>
  <c r="N85" i="80"/>
  <c r="M85" i="80"/>
  <c r="L85" i="80"/>
  <c r="G85" i="80"/>
  <c r="O84" i="80"/>
  <c r="N84" i="80"/>
  <c r="M84" i="80"/>
  <c r="L84" i="80"/>
  <c r="G84" i="80"/>
  <c r="O83" i="80"/>
  <c r="N83" i="80"/>
  <c r="M83" i="80"/>
  <c r="L83" i="80"/>
  <c r="G83" i="80"/>
  <c r="O82" i="80"/>
  <c r="N82" i="80"/>
  <c r="M82" i="80"/>
  <c r="L82" i="80"/>
  <c r="G82" i="80"/>
  <c r="O81" i="80"/>
  <c r="N81" i="80"/>
  <c r="M81" i="80"/>
  <c r="L81" i="80"/>
  <c r="G81" i="80"/>
  <c r="O80" i="80"/>
  <c r="N80" i="80"/>
  <c r="M80" i="80"/>
  <c r="L80" i="80"/>
  <c r="G80" i="80"/>
  <c r="O79" i="80"/>
  <c r="N79" i="80"/>
  <c r="M79" i="80"/>
  <c r="L79" i="80"/>
  <c r="G79" i="80"/>
  <c r="O78" i="80"/>
  <c r="N78" i="80"/>
  <c r="M78" i="80"/>
  <c r="L78" i="80"/>
  <c r="G78" i="80"/>
  <c r="O77" i="80"/>
  <c r="N77" i="80"/>
  <c r="M77" i="80"/>
  <c r="L77" i="80"/>
  <c r="G77" i="80"/>
  <c r="O76" i="80"/>
  <c r="N76" i="80"/>
  <c r="M76" i="80"/>
  <c r="L76" i="80"/>
  <c r="G76" i="80"/>
  <c r="O75" i="80"/>
  <c r="N75" i="80"/>
  <c r="M75" i="80"/>
  <c r="L75" i="80"/>
  <c r="G75" i="80"/>
  <c r="O74" i="80"/>
  <c r="N74" i="80"/>
  <c r="M74" i="80"/>
  <c r="L74" i="80"/>
  <c r="G74" i="80"/>
  <c r="O73" i="80"/>
  <c r="N73" i="80"/>
  <c r="M73" i="80"/>
  <c r="L73" i="80"/>
  <c r="G73" i="80"/>
  <c r="O72" i="80"/>
  <c r="N72" i="80"/>
  <c r="M72" i="80"/>
  <c r="L72" i="80"/>
  <c r="G72" i="80"/>
  <c r="O71" i="80"/>
  <c r="N71" i="80"/>
  <c r="M71" i="80"/>
  <c r="L71" i="80"/>
  <c r="G71" i="80"/>
  <c r="O70" i="80"/>
  <c r="N70" i="80"/>
  <c r="M70" i="80"/>
  <c r="L70" i="80"/>
  <c r="G70" i="80"/>
  <c r="O69" i="80"/>
  <c r="N69" i="80"/>
  <c r="M69" i="80"/>
  <c r="L69" i="80"/>
  <c r="G69" i="80"/>
  <c r="O68" i="80"/>
  <c r="N68" i="80"/>
  <c r="M68" i="80"/>
  <c r="L68" i="80"/>
  <c r="G68" i="80"/>
  <c r="O67" i="80"/>
  <c r="N67" i="80"/>
  <c r="M67" i="80"/>
  <c r="L67" i="80"/>
  <c r="G67" i="80"/>
  <c r="O66" i="80"/>
  <c r="N66" i="80"/>
  <c r="M66" i="80"/>
  <c r="L66" i="80"/>
  <c r="G66" i="80"/>
  <c r="O65" i="80"/>
  <c r="N65" i="80"/>
  <c r="M65" i="80"/>
  <c r="L65" i="80"/>
  <c r="G65" i="80"/>
  <c r="O64" i="80"/>
  <c r="N64" i="80"/>
  <c r="M64" i="80"/>
  <c r="L64" i="80"/>
  <c r="G64" i="80"/>
  <c r="O63" i="80"/>
  <c r="N63" i="80"/>
  <c r="M63" i="80"/>
  <c r="L63" i="80"/>
  <c r="G63" i="80"/>
  <c r="O62" i="80"/>
  <c r="N62" i="80"/>
  <c r="M62" i="80"/>
  <c r="L62" i="80"/>
  <c r="G62" i="80"/>
  <c r="O61" i="80"/>
  <c r="N61" i="80"/>
  <c r="M61" i="80"/>
  <c r="L61" i="80"/>
  <c r="G61" i="80"/>
  <c r="O60" i="80"/>
  <c r="N60" i="80"/>
  <c r="M60" i="80"/>
  <c r="L60" i="80"/>
  <c r="G60" i="80"/>
  <c r="O59" i="80"/>
  <c r="N59" i="80"/>
  <c r="M59" i="80"/>
  <c r="L59" i="80"/>
  <c r="G59" i="80"/>
  <c r="O58" i="80"/>
  <c r="N58" i="80"/>
  <c r="M58" i="80"/>
  <c r="L58" i="80"/>
  <c r="G58" i="80"/>
  <c r="O57" i="80"/>
  <c r="N57" i="80"/>
  <c r="M57" i="80"/>
  <c r="L57" i="80"/>
  <c r="G57" i="80"/>
  <c r="O56" i="80"/>
  <c r="N56" i="80"/>
  <c r="M56" i="80"/>
  <c r="L56" i="80"/>
  <c r="G56" i="80"/>
  <c r="O55" i="80"/>
  <c r="N55" i="80"/>
  <c r="M55" i="80"/>
  <c r="L55" i="80"/>
  <c r="G55" i="80"/>
  <c r="O54" i="80"/>
  <c r="N54" i="80"/>
  <c r="M54" i="80"/>
  <c r="L54" i="80"/>
  <c r="G54" i="80"/>
  <c r="O53" i="80"/>
  <c r="N53" i="80"/>
  <c r="M53" i="80"/>
  <c r="L53" i="80"/>
  <c r="G53" i="80"/>
  <c r="O52" i="80"/>
  <c r="N52" i="80"/>
  <c r="M52" i="80"/>
  <c r="L52" i="80"/>
  <c r="G52" i="80"/>
  <c r="O51" i="80"/>
  <c r="N51" i="80"/>
  <c r="M51" i="80"/>
  <c r="L51" i="80"/>
  <c r="G51" i="80"/>
  <c r="O50" i="80"/>
  <c r="N50" i="80"/>
  <c r="M50" i="80"/>
  <c r="L50" i="80"/>
  <c r="G50" i="80"/>
  <c r="O49" i="80"/>
  <c r="N49" i="80"/>
  <c r="M49" i="80"/>
  <c r="L49" i="80"/>
  <c r="G49" i="80"/>
  <c r="O48" i="80"/>
  <c r="N48" i="80"/>
  <c r="M48" i="80"/>
  <c r="L48" i="80"/>
  <c r="G48" i="80"/>
  <c r="O47" i="80"/>
  <c r="N47" i="80"/>
  <c r="M47" i="80"/>
  <c r="L47" i="80"/>
  <c r="G47" i="80"/>
  <c r="O46" i="80"/>
  <c r="N46" i="80"/>
  <c r="M46" i="80"/>
  <c r="L46" i="80"/>
  <c r="G46" i="80"/>
  <c r="O45" i="80"/>
  <c r="N45" i="80"/>
  <c r="M45" i="80"/>
  <c r="L45" i="80"/>
  <c r="G45" i="80"/>
  <c r="O44" i="80"/>
  <c r="N44" i="80"/>
  <c r="M44" i="80"/>
  <c r="L44" i="80"/>
  <c r="G44" i="80"/>
  <c r="O43" i="80"/>
  <c r="N43" i="80"/>
  <c r="M43" i="80"/>
  <c r="L43" i="80"/>
  <c r="G43" i="80"/>
  <c r="O42" i="80"/>
  <c r="N42" i="80"/>
  <c r="M42" i="80"/>
  <c r="L42" i="80"/>
  <c r="G42" i="80"/>
  <c r="O41" i="80"/>
  <c r="N41" i="80"/>
  <c r="M41" i="80"/>
  <c r="L41" i="80"/>
  <c r="G41" i="80"/>
  <c r="O40" i="80"/>
  <c r="N40" i="80"/>
  <c r="M40" i="80"/>
  <c r="L40" i="80"/>
  <c r="G40" i="80"/>
  <c r="O39" i="80"/>
  <c r="N39" i="80"/>
  <c r="M39" i="80"/>
  <c r="L39" i="80"/>
  <c r="G39" i="80"/>
  <c r="O38" i="80"/>
  <c r="N38" i="80"/>
  <c r="M38" i="80"/>
  <c r="L38" i="80"/>
  <c r="G38" i="80"/>
  <c r="O37" i="80"/>
  <c r="N37" i="80"/>
  <c r="M37" i="80"/>
  <c r="L37" i="80"/>
  <c r="G37" i="80"/>
  <c r="O36" i="80"/>
  <c r="N36" i="80"/>
  <c r="M36" i="80"/>
  <c r="L36" i="80"/>
  <c r="G36" i="80"/>
  <c r="O35" i="80"/>
  <c r="N35" i="80"/>
  <c r="M35" i="80"/>
  <c r="L35" i="80"/>
  <c r="G35" i="80"/>
  <c r="O34" i="80"/>
  <c r="N34" i="80"/>
  <c r="M34" i="80"/>
  <c r="L34" i="80"/>
  <c r="G34" i="80"/>
  <c r="O33" i="80"/>
  <c r="N33" i="80"/>
  <c r="M33" i="80"/>
  <c r="L33" i="80"/>
  <c r="G33" i="80"/>
  <c r="O32" i="80"/>
  <c r="N32" i="80"/>
  <c r="M32" i="80"/>
  <c r="L32" i="80"/>
  <c r="G32" i="80"/>
  <c r="O31" i="80"/>
  <c r="N31" i="80"/>
  <c r="M31" i="80"/>
  <c r="L31" i="80"/>
  <c r="G31" i="80"/>
  <c r="O30" i="80"/>
  <c r="N30" i="80"/>
  <c r="M30" i="80"/>
  <c r="L30" i="80"/>
  <c r="G30" i="80"/>
  <c r="O29" i="80"/>
  <c r="N29" i="80"/>
  <c r="M29" i="80"/>
  <c r="L29" i="80"/>
  <c r="G29" i="80"/>
  <c r="O28" i="80"/>
  <c r="N28" i="80"/>
  <c r="M28" i="80"/>
  <c r="L28" i="80"/>
  <c r="G28" i="80"/>
  <c r="O27" i="80"/>
  <c r="N27" i="80"/>
  <c r="M27" i="80"/>
  <c r="L27" i="80"/>
  <c r="G27" i="80"/>
  <c r="O26" i="80"/>
  <c r="N26" i="80"/>
  <c r="M26" i="80"/>
  <c r="L26" i="80"/>
  <c r="G26" i="80"/>
  <c r="O25" i="80"/>
  <c r="N25" i="80"/>
  <c r="M25" i="80"/>
  <c r="L25" i="80"/>
  <c r="G25" i="80"/>
  <c r="O24" i="80"/>
  <c r="N24" i="80"/>
  <c r="M24" i="80"/>
  <c r="L24" i="80"/>
  <c r="G24" i="80"/>
  <c r="O23" i="80"/>
  <c r="N23" i="80"/>
  <c r="M23" i="80"/>
  <c r="L23" i="80"/>
  <c r="G23" i="80"/>
  <c r="O22" i="80"/>
  <c r="N22" i="80"/>
  <c r="M22" i="80"/>
  <c r="L22" i="80"/>
  <c r="G22" i="80"/>
  <c r="O21" i="80"/>
  <c r="N21" i="80"/>
  <c r="M21" i="80"/>
  <c r="L21" i="80"/>
  <c r="G21" i="80"/>
  <c r="O20" i="80"/>
  <c r="N20" i="80"/>
  <c r="M20" i="80"/>
  <c r="L20" i="80"/>
  <c r="O19" i="80"/>
  <c r="N19" i="80"/>
  <c r="M19" i="80"/>
  <c r="L19" i="80"/>
  <c r="O18" i="80"/>
  <c r="N18" i="80"/>
  <c r="M18" i="80"/>
  <c r="L18" i="80"/>
  <c r="O17" i="80"/>
  <c r="N17" i="80"/>
  <c r="M17" i="80"/>
  <c r="L17" i="80"/>
  <c r="O16" i="80"/>
  <c r="N16" i="80"/>
  <c r="M16" i="80"/>
  <c r="L16" i="80"/>
  <c r="G16" i="80"/>
  <c r="O15" i="80"/>
  <c r="N15" i="80"/>
  <c r="M15" i="80"/>
  <c r="L15" i="80"/>
  <c r="G15" i="80"/>
  <c r="O14" i="80"/>
  <c r="N14" i="80"/>
  <c r="M14" i="80"/>
  <c r="L14" i="80"/>
  <c r="G14" i="80"/>
  <c r="O13" i="80"/>
  <c r="N13" i="80"/>
  <c r="M13" i="80"/>
  <c r="L13" i="80"/>
  <c r="G13" i="80"/>
  <c r="O12" i="80"/>
  <c r="N12" i="80"/>
  <c r="M12" i="80"/>
  <c r="L12" i="80"/>
  <c r="G12" i="80"/>
  <c r="O11" i="80"/>
  <c r="N11" i="80"/>
  <c r="M11" i="80"/>
  <c r="L11" i="80"/>
  <c r="G11" i="80"/>
  <c r="O10" i="80"/>
  <c r="N10" i="80"/>
  <c r="M10" i="80"/>
  <c r="L10" i="80"/>
  <c r="G10" i="80"/>
  <c r="O9" i="80"/>
  <c r="N9" i="80"/>
  <c r="M9" i="80"/>
  <c r="L9" i="80"/>
  <c r="G9" i="80"/>
  <c r="O8" i="80"/>
  <c r="N8" i="80"/>
  <c r="M8" i="80"/>
  <c r="L8" i="80"/>
  <c r="G8" i="80"/>
  <c r="O7" i="80"/>
  <c r="N7" i="80"/>
  <c r="M7" i="80"/>
  <c r="L7" i="80"/>
  <c r="G7" i="80"/>
  <c r="O6" i="80"/>
  <c r="N6" i="80"/>
  <c r="M6" i="80"/>
  <c r="L6" i="80"/>
  <c r="G6" i="80"/>
  <c r="O5" i="80"/>
  <c r="N5" i="80"/>
  <c r="M5" i="80"/>
  <c r="L5" i="80"/>
  <c r="G5" i="80"/>
  <c r="O4" i="80"/>
  <c r="N4" i="80"/>
  <c r="M4" i="80"/>
  <c r="L4" i="80"/>
  <c r="G4" i="80"/>
  <c r="E227" i="19"/>
  <c r="K21" i="33"/>
  <c r="J21" i="33"/>
  <c r="I21" i="33"/>
  <c r="H21" i="33"/>
  <c r="G21" i="33"/>
  <c r="F21" i="33"/>
  <c r="E21" i="33"/>
  <c r="D21" i="33"/>
  <c r="C21" i="33"/>
  <c r="K20" i="33"/>
  <c r="J20" i="33"/>
  <c r="I20" i="33"/>
  <c r="H20" i="33"/>
  <c r="G20" i="33"/>
  <c r="F20" i="33"/>
  <c r="E20" i="33"/>
  <c r="D20" i="33"/>
  <c r="C20" i="33"/>
  <c r="K19" i="33"/>
  <c r="J19" i="33"/>
  <c r="I19" i="33"/>
  <c r="H19" i="33"/>
  <c r="G19" i="33"/>
  <c r="F19" i="33"/>
  <c r="E19" i="33"/>
  <c r="D19" i="33"/>
  <c r="K18" i="33"/>
  <c r="J18" i="33"/>
  <c r="I18" i="33"/>
  <c r="H18" i="33"/>
  <c r="G18" i="33"/>
  <c r="F18" i="33"/>
  <c r="E18" i="33"/>
  <c r="D18" i="33"/>
  <c r="K17" i="33"/>
  <c r="J17" i="33"/>
  <c r="I17" i="33"/>
  <c r="H17" i="33"/>
  <c r="G17" i="33"/>
  <c r="F17" i="33"/>
  <c r="E17" i="33"/>
  <c r="D17" i="33"/>
  <c r="C17" i="33"/>
  <c r="K16" i="33"/>
  <c r="J16" i="33"/>
  <c r="I16" i="33"/>
  <c r="H16" i="33"/>
  <c r="G16" i="33"/>
  <c r="F16" i="33"/>
  <c r="E16" i="33"/>
  <c r="D16" i="33"/>
  <c r="C16" i="33"/>
  <c r="K14" i="33"/>
  <c r="J14" i="33"/>
  <c r="I14" i="33"/>
  <c r="H14" i="33"/>
  <c r="G14" i="33"/>
  <c r="F14" i="33"/>
  <c r="E14" i="33"/>
  <c r="D14" i="33"/>
  <c r="C14" i="33"/>
  <c r="K11" i="33"/>
  <c r="J11" i="33"/>
  <c r="I11" i="33"/>
  <c r="H11" i="33"/>
  <c r="G11" i="33"/>
  <c r="F11" i="33"/>
  <c r="E11" i="33"/>
  <c r="D11" i="33"/>
  <c r="C11" i="33"/>
  <c r="A3" i="33"/>
  <c r="H21" i="13"/>
  <c r="L20" i="13"/>
  <c r="H20" i="13"/>
  <c r="E20" i="13"/>
  <c r="D20" i="13"/>
  <c r="L19" i="13"/>
  <c r="H19" i="13"/>
  <c r="E19" i="13"/>
  <c r="D19" i="13"/>
  <c r="H17" i="13"/>
  <c r="D17" i="13"/>
  <c r="M16" i="13"/>
  <c r="L16" i="13"/>
  <c r="K16" i="13"/>
  <c r="J16" i="13"/>
  <c r="I16" i="13"/>
  <c r="H16" i="13"/>
  <c r="G16" i="13"/>
  <c r="F16" i="13"/>
  <c r="E16" i="13"/>
  <c r="D16" i="13"/>
  <c r="C16" i="13"/>
  <c r="C15" i="13"/>
  <c r="C17" i="13" s="1"/>
  <c r="C5" i="13"/>
  <c r="J99" i="16"/>
  <c r="G99" i="16"/>
  <c r="J98" i="16"/>
  <c r="G98" i="16"/>
  <c r="J97" i="16"/>
  <c r="G97" i="16"/>
  <c r="J96" i="16"/>
  <c r="G96" i="16"/>
  <c r="J95" i="16"/>
  <c r="G95" i="16"/>
  <c r="J94" i="16"/>
  <c r="G94" i="16"/>
  <c r="J93" i="16"/>
  <c r="G93" i="16"/>
  <c r="J91" i="16"/>
  <c r="G91" i="16"/>
  <c r="J90" i="16"/>
  <c r="G90" i="16"/>
  <c r="J89" i="16"/>
  <c r="G89" i="16"/>
  <c r="J88" i="16"/>
  <c r="G88" i="16"/>
  <c r="J87" i="16"/>
  <c r="G87" i="16"/>
  <c r="J85" i="16"/>
  <c r="G85" i="16"/>
  <c r="J84" i="16"/>
  <c r="G84" i="16"/>
  <c r="J83" i="16"/>
  <c r="G83" i="16"/>
  <c r="J82" i="16"/>
  <c r="G82" i="16"/>
  <c r="J81" i="16"/>
  <c r="G81" i="16"/>
  <c r="J80" i="16"/>
  <c r="G80" i="16"/>
  <c r="J79" i="16"/>
  <c r="G79" i="16"/>
  <c r="J75" i="16"/>
  <c r="G75" i="16"/>
  <c r="J74" i="16"/>
  <c r="G74" i="16"/>
  <c r="J73" i="16"/>
  <c r="G73" i="16"/>
  <c r="J72" i="16"/>
  <c r="G72" i="16"/>
  <c r="J69" i="16"/>
  <c r="G69" i="16"/>
  <c r="J68" i="16"/>
  <c r="G68" i="16"/>
  <c r="J67" i="16"/>
  <c r="G67" i="16"/>
  <c r="J66" i="16"/>
  <c r="G66" i="16"/>
  <c r="J65" i="16"/>
  <c r="G65" i="16"/>
  <c r="J64" i="16"/>
  <c r="G64" i="16"/>
  <c r="J63" i="16"/>
  <c r="G63" i="16"/>
  <c r="J62" i="16"/>
  <c r="G62" i="16"/>
  <c r="J61" i="16"/>
  <c r="G61" i="16"/>
  <c r="J59" i="16"/>
  <c r="G59" i="16"/>
  <c r="J58" i="16"/>
  <c r="G58" i="16"/>
  <c r="J57" i="16"/>
  <c r="G57" i="16"/>
  <c r="J56" i="16"/>
  <c r="G56" i="16"/>
  <c r="J55" i="16"/>
  <c r="G55" i="16"/>
  <c r="J54" i="16"/>
  <c r="G54" i="16"/>
  <c r="J53" i="16"/>
  <c r="G53" i="16"/>
  <c r="J52" i="16"/>
  <c r="G52" i="16"/>
  <c r="J51" i="16"/>
  <c r="G51" i="16"/>
  <c r="J50" i="16"/>
  <c r="G50" i="16"/>
  <c r="J49" i="16"/>
  <c r="G49" i="16"/>
  <c r="J47" i="16"/>
  <c r="G47" i="16"/>
  <c r="J46" i="16"/>
  <c r="G46" i="16"/>
  <c r="J45" i="16"/>
  <c r="G45" i="16"/>
  <c r="J44" i="16"/>
  <c r="G44" i="16"/>
  <c r="J43" i="16"/>
  <c r="G43" i="16"/>
  <c r="J42" i="16"/>
  <c r="G42" i="16"/>
  <c r="J41" i="16"/>
  <c r="G41" i="16"/>
  <c r="J40" i="16"/>
  <c r="G40" i="16"/>
  <c r="J39" i="16"/>
  <c r="G39" i="16"/>
  <c r="J38" i="16"/>
  <c r="G38" i="16"/>
  <c r="J37" i="16"/>
  <c r="G37" i="16"/>
  <c r="J35" i="16"/>
  <c r="G35" i="16"/>
  <c r="J34" i="16"/>
  <c r="G34" i="16"/>
  <c r="J33" i="16"/>
  <c r="G33" i="16"/>
  <c r="J32" i="16"/>
  <c r="G32" i="16"/>
  <c r="J31" i="16"/>
  <c r="G31" i="16"/>
  <c r="J30" i="16"/>
  <c r="G30" i="16"/>
  <c r="J29" i="16"/>
  <c r="G29" i="16"/>
  <c r="J28" i="16"/>
  <c r="G28" i="16"/>
  <c r="J27" i="16"/>
  <c r="G27" i="16"/>
  <c r="J26" i="16"/>
  <c r="G26" i="16"/>
  <c r="J25" i="16"/>
  <c r="G25" i="16"/>
  <c r="J21" i="16"/>
  <c r="G21" i="16"/>
  <c r="J20" i="16"/>
  <c r="G20" i="16"/>
  <c r="J19" i="16"/>
  <c r="G19" i="16"/>
  <c r="J18" i="16"/>
  <c r="G18" i="16"/>
  <c r="J17" i="16"/>
  <c r="G17" i="16"/>
  <c r="J16" i="16"/>
  <c r="G16" i="16"/>
  <c r="J15" i="16"/>
  <c r="G15" i="16"/>
  <c r="J14" i="16"/>
  <c r="G14" i="16"/>
  <c r="J13" i="16"/>
  <c r="G13" i="16"/>
  <c r="J12" i="16"/>
  <c r="G12" i="16"/>
  <c r="J11" i="16"/>
  <c r="G11" i="16"/>
  <c r="W21" i="15"/>
  <c r="W20" i="15"/>
  <c r="W19" i="15"/>
  <c r="W18" i="15"/>
  <c r="W17" i="15"/>
  <c r="W16" i="15"/>
  <c r="W15" i="15"/>
  <c r="W14" i="15"/>
  <c r="W13" i="15"/>
  <c r="W12" i="15"/>
  <c r="W11" i="15"/>
  <c r="W10" i="15"/>
  <c r="W9" i="15"/>
  <c r="W8" i="15"/>
  <c r="W7" i="15"/>
  <c r="W6" i="15"/>
  <c r="W5" i="15"/>
  <c r="W4" i="15"/>
  <c r="F56" i="14"/>
  <c r="F55" i="14"/>
  <c r="J54" i="14"/>
  <c r="I54" i="14"/>
  <c r="H54" i="14"/>
  <c r="G54" i="14"/>
  <c r="F54" i="14"/>
  <c r="E54" i="14"/>
  <c r="C54" i="14"/>
  <c r="I53" i="14"/>
  <c r="H53" i="14"/>
  <c r="G53" i="14"/>
  <c r="F53" i="14"/>
  <c r="I52" i="14"/>
  <c r="H52" i="14"/>
  <c r="G52" i="14"/>
  <c r="F52" i="14"/>
  <c r="M51" i="14"/>
  <c r="L51" i="14"/>
  <c r="K51" i="14"/>
  <c r="J51" i="14"/>
  <c r="E51" i="14"/>
  <c r="C51" i="14"/>
  <c r="M48" i="14"/>
  <c r="J48" i="14"/>
  <c r="I48" i="14"/>
  <c r="F48" i="14"/>
  <c r="E48" i="14"/>
  <c r="D48" i="14"/>
  <c r="C48" i="14"/>
  <c r="M47" i="14"/>
  <c r="L47" i="14"/>
  <c r="I47" i="14"/>
  <c r="H47" i="14"/>
  <c r="E47" i="14"/>
  <c r="D47" i="14"/>
  <c r="C47" i="14"/>
  <c r="M46" i="14"/>
  <c r="K46" i="14"/>
  <c r="I46" i="14"/>
  <c r="G46" i="14"/>
  <c r="E46" i="14"/>
  <c r="D46" i="14"/>
  <c r="C46" i="14"/>
  <c r="M45" i="14"/>
  <c r="L45" i="14"/>
  <c r="K45" i="14"/>
  <c r="J45" i="14"/>
  <c r="I45" i="14"/>
  <c r="H45" i="14"/>
  <c r="G45" i="14"/>
  <c r="F45" i="14"/>
  <c r="E45" i="14"/>
  <c r="D45" i="14"/>
  <c r="C45" i="14"/>
  <c r="M44" i="14"/>
  <c r="L44" i="14"/>
  <c r="K44" i="14"/>
  <c r="J44" i="14"/>
  <c r="I44" i="14"/>
  <c r="H44" i="14"/>
  <c r="G44" i="14"/>
  <c r="F44" i="14"/>
  <c r="E44" i="14"/>
  <c r="D44" i="14"/>
  <c r="C44" i="14"/>
  <c r="M43" i="14"/>
  <c r="L43" i="14"/>
  <c r="K43" i="14"/>
  <c r="J43" i="14"/>
  <c r="I43" i="14"/>
  <c r="H43" i="14"/>
  <c r="G43" i="14"/>
  <c r="F43" i="14"/>
  <c r="E43" i="14"/>
  <c r="D43" i="14"/>
  <c r="C43" i="14"/>
  <c r="M42" i="14"/>
  <c r="L42" i="14"/>
  <c r="K42" i="14"/>
  <c r="J42" i="14"/>
  <c r="I42" i="14"/>
  <c r="H42" i="14"/>
  <c r="G42" i="14"/>
  <c r="F42" i="14"/>
  <c r="E42" i="14"/>
  <c r="D42" i="14"/>
  <c r="C42" i="14"/>
  <c r="M41" i="14"/>
  <c r="L41" i="14"/>
  <c r="K41" i="14"/>
  <c r="J41" i="14"/>
  <c r="I41" i="14"/>
  <c r="H41" i="14"/>
  <c r="G41" i="14"/>
  <c r="F41" i="14"/>
  <c r="E41" i="14"/>
  <c r="D41" i="14"/>
  <c r="C41" i="14"/>
  <c r="M40" i="14"/>
  <c r="L40" i="14"/>
  <c r="K40" i="14"/>
  <c r="J40" i="14"/>
  <c r="I40" i="14"/>
  <c r="H40" i="14"/>
  <c r="G40" i="14"/>
  <c r="F40" i="14"/>
  <c r="E40" i="14"/>
  <c r="D40" i="14"/>
  <c r="C40" i="14"/>
  <c r="M37" i="14"/>
  <c r="L37" i="14"/>
  <c r="K37" i="14"/>
  <c r="J37" i="14"/>
  <c r="I37" i="14"/>
  <c r="H37" i="14"/>
  <c r="G37" i="14"/>
  <c r="F37" i="14"/>
  <c r="E37" i="14"/>
  <c r="M35" i="14"/>
  <c r="L35" i="14"/>
  <c r="K35" i="14"/>
  <c r="J35" i="14"/>
  <c r="I35" i="14"/>
  <c r="H35" i="14"/>
  <c r="G35" i="14"/>
  <c r="F35" i="14"/>
  <c r="E35" i="14"/>
  <c r="D35" i="14"/>
  <c r="C35" i="14"/>
  <c r="J34" i="14"/>
  <c r="F34" i="14"/>
  <c r="M32" i="14"/>
  <c r="L32" i="14"/>
  <c r="K32" i="14"/>
  <c r="J32" i="14"/>
  <c r="I32" i="14"/>
  <c r="H32" i="14"/>
  <c r="G32" i="14"/>
  <c r="F32" i="14"/>
  <c r="E32" i="14"/>
  <c r="D32" i="14"/>
  <c r="C32" i="14"/>
  <c r="J31" i="14"/>
  <c r="F31" i="14"/>
  <c r="M28" i="14"/>
  <c r="L28" i="14"/>
  <c r="K28" i="14"/>
  <c r="J28" i="14"/>
  <c r="I28" i="14"/>
  <c r="H28" i="14"/>
  <c r="G28" i="14"/>
  <c r="F28" i="14"/>
  <c r="E28" i="14"/>
  <c r="M26" i="14"/>
  <c r="L26" i="14"/>
  <c r="K26" i="14"/>
  <c r="J26" i="14"/>
  <c r="I26" i="14"/>
  <c r="H26" i="14"/>
  <c r="G26" i="14"/>
  <c r="F26" i="14"/>
  <c r="E26" i="14"/>
  <c r="D26" i="14"/>
  <c r="C26" i="14"/>
  <c r="J25" i="14"/>
  <c r="F25" i="14"/>
  <c r="J22" i="14"/>
  <c r="F22" i="14"/>
  <c r="J21" i="14"/>
  <c r="F21" i="14"/>
  <c r="F20" i="14"/>
  <c r="E17" i="14"/>
  <c r="I16" i="14"/>
  <c r="H16" i="14"/>
  <c r="G16" i="14"/>
  <c r="F16" i="14"/>
  <c r="E15" i="14"/>
  <c r="M14" i="14"/>
  <c r="L14" i="14"/>
  <c r="K14" i="14"/>
  <c r="J14" i="14"/>
  <c r="I14" i="14"/>
  <c r="H14" i="14"/>
  <c r="G14" i="14"/>
  <c r="F14" i="14"/>
  <c r="E14" i="14"/>
  <c r="E13" i="14"/>
  <c r="M12" i="14"/>
  <c r="L12" i="14"/>
  <c r="K12" i="14"/>
  <c r="J12" i="14"/>
  <c r="I12" i="14"/>
  <c r="H12" i="14"/>
  <c r="G12" i="14"/>
  <c r="F12" i="14"/>
  <c r="E12" i="14"/>
  <c r="J11" i="14"/>
  <c r="F11" i="14"/>
  <c r="M7" i="14"/>
  <c r="L7" i="14"/>
  <c r="K7" i="14"/>
  <c r="J7" i="14"/>
  <c r="I7" i="14"/>
  <c r="H7" i="14"/>
  <c r="G7" i="14"/>
  <c r="F7" i="14"/>
  <c r="E7" i="14"/>
  <c r="J6" i="14"/>
  <c r="F6" i="14"/>
  <c r="J5" i="14"/>
  <c r="F5" i="14"/>
  <c r="A3" i="14"/>
  <c r="D19" i="42"/>
  <c r="A2" i="42"/>
  <c r="G23" i="41"/>
  <c r="E23" i="41"/>
  <c r="A2" i="41"/>
  <c r="I3" i="41" s="1"/>
  <c r="Z27" i="76"/>
  <c r="Y27" i="76"/>
  <c r="X27" i="76"/>
  <c r="W27" i="76"/>
  <c r="S27" i="76"/>
  <c r="K27" i="76"/>
  <c r="I27" i="76"/>
  <c r="AI16" i="76"/>
  <c r="Y16" i="76"/>
  <c r="X16" i="76"/>
  <c r="W16" i="76"/>
  <c r="V16" i="76"/>
  <c r="U16" i="76"/>
  <c r="T16" i="76"/>
  <c r="S16" i="76"/>
  <c r="I16" i="76"/>
  <c r="AI8" i="76"/>
  <c r="Y8" i="76"/>
  <c r="X8" i="76"/>
  <c r="W8" i="76"/>
  <c r="V8" i="76"/>
  <c r="U8" i="76"/>
  <c r="T8" i="76"/>
  <c r="S8" i="76"/>
  <c r="I8" i="76"/>
  <c r="CW6" i="76"/>
  <c r="CV6" i="76"/>
  <c r="AJ6" i="76"/>
  <c r="AI6" i="76"/>
  <c r="AF6" i="76"/>
  <c r="AC6" i="76"/>
  <c r="Y6" i="76"/>
  <c r="X6" i="76"/>
  <c r="W6" i="76"/>
  <c r="V6" i="76"/>
  <c r="U6" i="76"/>
  <c r="T6" i="76"/>
  <c r="S6" i="76"/>
  <c r="Q6" i="76"/>
  <c r="N6" i="76"/>
  <c r="I6" i="76"/>
  <c r="F6" i="76"/>
  <c r="B6" i="76"/>
  <c r="CW5" i="76"/>
  <c r="CV5" i="76"/>
  <c r="AJ5" i="76"/>
  <c r="AI5" i="76"/>
  <c r="AC5" i="76"/>
  <c r="Y5" i="76"/>
  <c r="X5" i="76"/>
  <c r="W5" i="76"/>
  <c r="V5" i="76"/>
  <c r="U5" i="76"/>
  <c r="T5" i="76"/>
  <c r="S5" i="76"/>
  <c r="I5" i="76"/>
  <c r="F5" i="76"/>
  <c r="Q1" i="76"/>
  <c r="AI1" i="76" s="1"/>
  <c r="F32" i="24"/>
  <c r="E32" i="24"/>
  <c r="D32" i="24"/>
  <c r="F31" i="24"/>
  <c r="E31" i="24"/>
  <c r="D31" i="24"/>
  <c r="F30" i="24"/>
  <c r="E30" i="24"/>
  <c r="D30" i="24"/>
  <c r="F29" i="24"/>
  <c r="E29" i="24"/>
  <c r="D29" i="24"/>
  <c r="F27" i="24"/>
  <c r="E27" i="24"/>
  <c r="D27" i="24"/>
  <c r="F26" i="24"/>
  <c r="E26" i="24"/>
  <c r="D26" i="24"/>
  <c r="F25" i="24"/>
  <c r="E25" i="24"/>
  <c r="D25" i="24"/>
  <c r="F24" i="24"/>
  <c r="E24" i="24"/>
  <c r="D24" i="24"/>
  <c r="F22" i="24"/>
  <c r="E22" i="24"/>
  <c r="D22" i="24"/>
  <c r="F21" i="24"/>
  <c r="E21" i="24"/>
  <c r="D21" i="24"/>
  <c r="F20" i="24"/>
  <c r="E20" i="24"/>
  <c r="D20" i="24"/>
  <c r="F19" i="24"/>
  <c r="E19" i="24"/>
  <c r="D19" i="24"/>
  <c r="F17" i="24"/>
  <c r="E17" i="24"/>
  <c r="D17" i="24"/>
  <c r="F16" i="24"/>
  <c r="E16" i="24"/>
  <c r="D16" i="24"/>
  <c r="F15" i="24"/>
  <c r="E15" i="24"/>
  <c r="D15" i="24"/>
  <c r="F14" i="24"/>
  <c r="E14" i="24"/>
  <c r="D14" i="24"/>
  <c r="F12" i="24"/>
  <c r="E12" i="24"/>
  <c r="D12" i="24"/>
  <c r="F11" i="24"/>
  <c r="E11" i="24"/>
  <c r="D11" i="24"/>
  <c r="F10" i="24"/>
  <c r="E10" i="24"/>
  <c r="D10" i="24"/>
  <c r="F9" i="24"/>
  <c r="E9" i="24"/>
  <c r="D9" i="24"/>
  <c r="F6" i="24"/>
  <c r="E6" i="24"/>
  <c r="D6" i="24"/>
  <c r="F5" i="24"/>
  <c r="E5" i="24"/>
  <c r="D5" i="24"/>
  <c r="A2" i="24"/>
  <c r="J99" i="23"/>
  <c r="G99" i="23"/>
  <c r="J98" i="23"/>
  <c r="G98" i="23"/>
  <c r="J97" i="23"/>
  <c r="G97" i="23"/>
  <c r="J96" i="23"/>
  <c r="G96" i="23"/>
  <c r="J95" i="23"/>
  <c r="G95" i="23"/>
  <c r="J94" i="23"/>
  <c r="G94" i="23"/>
  <c r="J93" i="23"/>
  <c r="G93" i="23"/>
  <c r="J91" i="23"/>
  <c r="G91" i="23"/>
  <c r="J90" i="23"/>
  <c r="G90" i="23"/>
  <c r="J89" i="23"/>
  <c r="G89" i="23"/>
  <c r="J88" i="23"/>
  <c r="G88" i="23"/>
  <c r="J87" i="23"/>
  <c r="G87" i="23"/>
  <c r="J85" i="23"/>
  <c r="G85" i="23"/>
  <c r="J84" i="23"/>
  <c r="G84" i="23"/>
  <c r="J83" i="23"/>
  <c r="G83" i="23"/>
  <c r="J82" i="23"/>
  <c r="G82" i="23"/>
  <c r="J81" i="23"/>
  <c r="G81" i="23"/>
  <c r="J80" i="23"/>
  <c r="G80" i="23"/>
  <c r="J79" i="23"/>
  <c r="G79" i="23"/>
  <c r="J75" i="23"/>
  <c r="G75" i="23"/>
  <c r="J74" i="23"/>
  <c r="G74" i="23"/>
  <c r="J73" i="23"/>
  <c r="G73" i="23"/>
  <c r="J72" i="23"/>
  <c r="G72" i="23"/>
  <c r="J69" i="23"/>
  <c r="I69" i="23"/>
  <c r="G69" i="23"/>
  <c r="F69" i="23"/>
  <c r="E69" i="23"/>
  <c r="J68" i="23"/>
  <c r="I68" i="23"/>
  <c r="G68" i="23"/>
  <c r="F68" i="23"/>
  <c r="E68" i="23"/>
  <c r="J67" i="23"/>
  <c r="I67" i="23"/>
  <c r="G67" i="23"/>
  <c r="F67" i="23"/>
  <c r="E67" i="23"/>
  <c r="J66" i="23"/>
  <c r="I66" i="23"/>
  <c r="G66" i="23"/>
  <c r="F66" i="23"/>
  <c r="E66" i="23"/>
  <c r="J65" i="23"/>
  <c r="I65" i="23"/>
  <c r="G65" i="23"/>
  <c r="F65" i="23"/>
  <c r="E65" i="23"/>
  <c r="J64" i="23"/>
  <c r="I64" i="23"/>
  <c r="G64" i="23"/>
  <c r="F64" i="23"/>
  <c r="E64" i="23"/>
  <c r="J63" i="23"/>
  <c r="I63" i="23"/>
  <c r="G63" i="23"/>
  <c r="F63" i="23"/>
  <c r="E63" i="23"/>
  <c r="J62" i="23"/>
  <c r="I62" i="23"/>
  <c r="G62" i="23"/>
  <c r="F62" i="23"/>
  <c r="E62" i="23"/>
  <c r="J61" i="23"/>
  <c r="I61" i="23"/>
  <c r="G61" i="23"/>
  <c r="F61" i="23"/>
  <c r="E61" i="23"/>
  <c r="J59" i="23"/>
  <c r="I59" i="23"/>
  <c r="G59" i="23"/>
  <c r="F59" i="23"/>
  <c r="E59" i="23"/>
  <c r="J58" i="23"/>
  <c r="I58" i="23"/>
  <c r="G58" i="23"/>
  <c r="F58" i="23"/>
  <c r="E58" i="23"/>
  <c r="J57" i="23"/>
  <c r="I57" i="23"/>
  <c r="G57" i="23"/>
  <c r="F57" i="23"/>
  <c r="E57" i="23"/>
  <c r="J56" i="23"/>
  <c r="I56" i="23"/>
  <c r="G56" i="23"/>
  <c r="F56" i="23"/>
  <c r="E56" i="23"/>
  <c r="J55" i="23"/>
  <c r="I55" i="23"/>
  <c r="G55" i="23"/>
  <c r="F55" i="23"/>
  <c r="E55" i="23"/>
  <c r="J54" i="23"/>
  <c r="I54" i="23"/>
  <c r="G54" i="23"/>
  <c r="F54" i="23"/>
  <c r="E54" i="23"/>
  <c r="J53" i="23"/>
  <c r="I53" i="23"/>
  <c r="G53" i="23"/>
  <c r="F53" i="23"/>
  <c r="E53" i="23"/>
  <c r="J52" i="23"/>
  <c r="I52" i="23"/>
  <c r="G52" i="23"/>
  <c r="F52" i="23"/>
  <c r="E52" i="23"/>
  <c r="J51" i="23"/>
  <c r="G51" i="23"/>
  <c r="J50" i="23"/>
  <c r="I50" i="23"/>
  <c r="G50" i="23"/>
  <c r="F50" i="23"/>
  <c r="E50" i="23"/>
  <c r="J49" i="23"/>
  <c r="I49" i="23"/>
  <c r="G49" i="23"/>
  <c r="F49" i="23"/>
  <c r="E49" i="23"/>
  <c r="J47" i="23"/>
  <c r="I47" i="23"/>
  <c r="G47" i="23"/>
  <c r="F47" i="23"/>
  <c r="E47" i="23"/>
  <c r="J46" i="23"/>
  <c r="I46" i="23"/>
  <c r="G46" i="23"/>
  <c r="F46" i="23"/>
  <c r="E46" i="23"/>
  <c r="J45" i="23"/>
  <c r="I45" i="23"/>
  <c r="G45" i="23"/>
  <c r="F45" i="23"/>
  <c r="E45" i="23"/>
  <c r="J44" i="23"/>
  <c r="I44" i="23"/>
  <c r="G44" i="23"/>
  <c r="F44" i="23"/>
  <c r="E44" i="23"/>
  <c r="J43" i="23"/>
  <c r="I43" i="23"/>
  <c r="G43" i="23"/>
  <c r="F43" i="23"/>
  <c r="E43" i="23"/>
  <c r="J42" i="23"/>
  <c r="I42" i="23"/>
  <c r="G42" i="23"/>
  <c r="F42" i="23"/>
  <c r="E42" i="23"/>
  <c r="J41" i="23"/>
  <c r="I41" i="23"/>
  <c r="G41" i="23"/>
  <c r="F41" i="23"/>
  <c r="E41" i="23"/>
  <c r="J40" i="23"/>
  <c r="I40" i="23"/>
  <c r="G40" i="23"/>
  <c r="F40" i="23"/>
  <c r="E40" i="23"/>
  <c r="J39" i="23"/>
  <c r="G39" i="23"/>
  <c r="J38" i="23"/>
  <c r="I38" i="23"/>
  <c r="G38" i="23"/>
  <c r="F38" i="23"/>
  <c r="E38" i="23"/>
  <c r="J37" i="23"/>
  <c r="I37" i="23"/>
  <c r="G37" i="23"/>
  <c r="F37" i="23"/>
  <c r="E37" i="23"/>
  <c r="J35" i="23"/>
  <c r="I35" i="23"/>
  <c r="G35" i="23"/>
  <c r="F35" i="23"/>
  <c r="E35" i="23"/>
  <c r="J34" i="23"/>
  <c r="I34" i="23"/>
  <c r="G34" i="23"/>
  <c r="F34" i="23"/>
  <c r="E34" i="23"/>
  <c r="J33" i="23"/>
  <c r="I33" i="23"/>
  <c r="G33" i="23"/>
  <c r="F33" i="23"/>
  <c r="E33" i="23"/>
  <c r="J32" i="23"/>
  <c r="I32" i="23"/>
  <c r="G32" i="23"/>
  <c r="F32" i="23"/>
  <c r="E32" i="23"/>
  <c r="J31" i="23"/>
  <c r="I31" i="23"/>
  <c r="G31" i="23"/>
  <c r="F31" i="23"/>
  <c r="E31" i="23"/>
  <c r="J30" i="23"/>
  <c r="I30" i="23"/>
  <c r="G30" i="23"/>
  <c r="F30" i="23"/>
  <c r="E30" i="23"/>
  <c r="J29" i="23"/>
  <c r="I29" i="23"/>
  <c r="G29" i="23"/>
  <c r="F29" i="23"/>
  <c r="E29" i="23"/>
  <c r="J28" i="23"/>
  <c r="I28" i="23"/>
  <c r="G28" i="23"/>
  <c r="F28" i="23"/>
  <c r="E28" i="23"/>
  <c r="J27" i="23"/>
  <c r="G27" i="23"/>
  <c r="J26" i="23"/>
  <c r="I26" i="23"/>
  <c r="G26" i="23"/>
  <c r="F26" i="23"/>
  <c r="E26" i="23"/>
  <c r="J25" i="23"/>
  <c r="I25" i="23"/>
  <c r="G25" i="23"/>
  <c r="F25" i="23"/>
  <c r="E25" i="23"/>
  <c r="J21" i="23"/>
  <c r="I21" i="23"/>
  <c r="G21" i="23"/>
  <c r="F21" i="23"/>
  <c r="E21" i="23"/>
  <c r="J20" i="23"/>
  <c r="I20" i="23"/>
  <c r="G20" i="23"/>
  <c r="F20" i="23"/>
  <c r="E20" i="23"/>
  <c r="J19" i="23"/>
  <c r="I19" i="23"/>
  <c r="G19" i="23"/>
  <c r="F19" i="23"/>
  <c r="E19" i="23"/>
  <c r="J18" i="23"/>
  <c r="I18" i="23"/>
  <c r="G18" i="23"/>
  <c r="F18" i="23"/>
  <c r="E18" i="23"/>
  <c r="J17" i="23"/>
  <c r="I17" i="23"/>
  <c r="G17" i="23"/>
  <c r="F17" i="23"/>
  <c r="E17" i="23"/>
  <c r="J16" i="23"/>
  <c r="I16" i="23"/>
  <c r="G16" i="23"/>
  <c r="F16" i="23"/>
  <c r="E16" i="23"/>
  <c r="J15" i="23"/>
  <c r="I15" i="23"/>
  <c r="G15" i="23"/>
  <c r="F15" i="23"/>
  <c r="E15" i="23"/>
  <c r="J14" i="23"/>
  <c r="I14" i="23"/>
  <c r="G14" i="23"/>
  <c r="F14" i="23"/>
  <c r="E14" i="23"/>
  <c r="J13" i="23"/>
  <c r="I13" i="23"/>
  <c r="G13" i="23"/>
  <c r="F13" i="23"/>
  <c r="E13" i="23"/>
  <c r="J12" i="23"/>
  <c r="I12" i="23"/>
  <c r="G12" i="23"/>
  <c r="F12" i="23"/>
  <c r="E12" i="23"/>
  <c r="J11" i="23"/>
  <c r="I11" i="23"/>
  <c r="G11" i="23"/>
  <c r="F11" i="23"/>
  <c r="E11" i="23"/>
  <c r="J59" i="22"/>
  <c r="G59" i="22"/>
  <c r="M58" i="22"/>
  <c r="L58" i="22"/>
  <c r="K58" i="22"/>
  <c r="J58" i="22"/>
  <c r="I58" i="22"/>
  <c r="H58" i="22"/>
  <c r="G58" i="22"/>
  <c r="F58" i="22"/>
  <c r="E58" i="22"/>
  <c r="M57" i="22"/>
  <c r="L57" i="22"/>
  <c r="K57" i="22"/>
  <c r="J57" i="22"/>
  <c r="I57" i="22"/>
  <c r="H57" i="22"/>
  <c r="G57" i="22"/>
  <c r="F57" i="22"/>
  <c r="E57" i="22"/>
  <c r="C57" i="22"/>
  <c r="J56" i="22"/>
  <c r="F56" i="22"/>
  <c r="C56" i="22"/>
  <c r="M54" i="22"/>
  <c r="L54" i="22"/>
  <c r="K54" i="22"/>
  <c r="J54" i="22"/>
  <c r="I54" i="22"/>
  <c r="H54" i="22"/>
  <c r="G54" i="22"/>
  <c r="F54" i="22"/>
  <c r="E54" i="22"/>
  <c r="C54" i="22"/>
  <c r="M53" i="22"/>
  <c r="L53" i="22"/>
  <c r="K53" i="22"/>
  <c r="J53" i="22"/>
  <c r="I53" i="22"/>
  <c r="H53" i="22"/>
  <c r="G53" i="22"/>
  <c r="F53" i="22"/>
  <c r="E53" i="22"/>
  <c r="C53" i="22"/>
  <c r="M41" i="22"/>
  <c r="L41" i="22"/>
  <c r="K41" i="22"/>
  <c r="J41" i="22"/>
  <c r="I41" i="22"/>
  <c r="H41" i="22"/>
  <c r="G41" i="22"/>
  <c r="F41" i="22"/>
  <c r="E41" i="22"/>
  <c r="C41" i="22"/>
  <c r="M40" i="22"/>
  <c r="L40" i="22"/>
  <c r="K40" i="22"/>
  <c r="J40" i="22"/>
  <c r="I40" i="22"/>
  <c r="H40" i="22"/>
  <c r="G40" i="22"/>
  <c r="F40" i="22"/>
  <c r="E40" i="22"/>
  <c r="C40" i="22"/>
  <c r="I39" i="22"/>
  <c r="H39" i="22"/>
  <c r="G39" i="22"/>
  <c r="F39" i="22"/>
  <c r="H38" i="22"/>
  <c r="F38" i="22"/>
  <c r="H37" i="22"/>
  <c r="G37" i="22"/>
  <c r="F37" i="22"/>
  <c r="H36" i="22"/>
  <c r="F36" i="22"/>
  <c r="A36" i="22"/>
  <c r="M28" i="22"/>
  <c r="L28" i="22"/>
  <c r="K28" i="22"/>
  <c r="J28" i="22"/>
  <c r="G28" i="22"/>
  <c r="M27" i="22"/>
  <c r="L27" i="22"/>
  <c r="K27" i="22"/>
  <c r="J27" i="22"/>
  <c r="I27" i="22"/>
  <c r="H27" i="22"/>
  <c r="G27" i="22"/>
  <c r="F27" i="22"/>
  <c r="E27" i="22"/>
  <c r="C27" i="22"/>
  <c r="C26" i="22"/>
  <c r="I24" i="22"/>
  <c r="H24" i="22"/>
  <c r="G24" i="22"/>
  <c r="F24" i="22"/>
  <c r="C24" i="22"/>
  <c r="I23" i="22"/>
  <c r="H23" i="22"/>
  <c r="G23" i="22"/>
  <c r="F23" i="22"/>
  <c r="C23" i="22"/>
  <c r="I22" i="22"/>
  <c r="H22" i="22"/>
  <c r="G22" i="22"/>
  <c r="F22" i="22"/>
  <c r="C22" i="22"/>
  <c r="I20" i="22"/>
  <c r="H20" i="22"/>
  <c r="G20" i="22"/>
  <c r="F20" i="22"/>
  <c r="C20" i="22"/>
  <c r="I19" i="22"/>
  <c r="H19" i="22"/>
  <c r="G19" i="22"/>
  <c r="F19" i="22"/>
  <c r="C19" i="22"/>
  <c r="I18" i="22"/>
  <c r="H18" i="22"/>
  <c r="G18" i="22"/>
  <c r="F18" i="22"/>
  <c r="C18" i="22"/>
  <c r="I17" i="22"/>
  <c r="H17" i="22"/>
  <c r="G17" i="22"/>
  <c r="F17" i="22"/>
  <c r="I16" i="22"/>
  <c r="H16" i="22"/>
  <c r="G16" i="22"/>
  <c r="F16" i="22"/>
  <c r="I15" i="22"/>
  <c r="H15" i="22"/>
  <c r="G15" i="22"/>
  <c r="F15" i="22"/>
  <c r="I14" i="22"/>
  <c r="H14" i="22"/>
  <c r="G14" i="22"/>
  <c r="F14" i="22"/>
  <c r="I13" i="22"/>
  <c r="H13" i="22"/>
  <c r="G13" i="22"/>
  <c r="F13" i="22"/>
  <c r="I12" i="22"/>
  <c r="H12" i="22"/>
  <c r="G12" i="22"/>
  <c r="F12" i="22"/>
  <c r="M11" i="22"/>
  <c r="L11" i="22"/>
  <c r="K11" i="22"/>
  <c r="J11" i="22"/>
  <c r="E11" i="22"/>
  <c r="M10" i="22"/>
  <c r="L10" i="22"/>
  <c r="K10" i="22"/>
  <c r="J10" i="22"/>
  <c r="E10" i="22"/>
  <c r="M9" i="22"/>
  <c r="L9" i="22"/>
  <c r="K9" i="22"/>
  <c r="J9" i="22"/>
  <c r="E9" i="22"/>
  <c r="M8" i="22"/>
  <c r="L8" i="22"/>
  <c r="K8" i="22"/>
  <c r="J8" i="22"/>
  <c r="E8" i="22"/>
  <c r="M7" i="22"/>
  <c r="L7" i="22"/>
  <c r="K7" i="22"/>
  <c r="J7" i="22"/>
  <c r="E7" i="22"/>
  <c r="M6" i="22"/>
  <c r="L6" i="22"/>
  <c r="K6" i="22"/>
  <c r="J6" i="22"/>
  <c r="E6" i="22"/>
  <c r="A6" i="22"/>
  <c r="D52" i="10"/>
  <c r="X16" i="10"/>
  <c r="J16" i="79" s="1"/>
  <c r="Y15" i="10"/>
  <c r="M34" i="14" s="1"/>
  <c r="X15" i="10"/>
  <c r="G16" i="79" s="1"/>
  <c r="W15" i="10"/>
  <c r="I8" i="33" s="1"/>
  <c r="I13" i="33" s="1"/>
  <c r="S15" i="10"/>
  <c r="E34" i="14" s="1"/>
  <c r="I15" i="10"/>
  <c r="N21" i="79" s="1"/>
  <c r="AI13" i="10"/>
  <c r="AF13" i="10"/>
  <c r="AC13" i="10"/>
  <c r="Y13" i="10"/>
  <c r="X13" i="10"/>
  <c r="W13" i="10"/>
  <c r="V13" i="10"/>
  <c r="U13" i="10"/>
  <c r="T13" i="10"/>
  <c r="S13" i="10"/>
  <c r="Q13" i="10"/>
  <c r="N13" i="10"/>
  <c r="I13" i="10"/>
  <c r="F13" i="10"/>
  <c r="B13" i="10"/>
  <c r="AI12" i="10"/>
  <c r="AC12" i="10"/>
  <c r="Y12" i="10"/>
  <c r="X12" i="10"/>
  <c r="W12" i="10"/>
  <c r="V12" i="10"/>
  <c r="U12" i="10"/>
  <c r="T12" i="10"/>
  <c r="S12" i="10"/>
  <c r="I12" i="10"/>
  <c r="F12" i="10"/>
  <c r="Y8" i="10"/>
  <c r="Y16" i="10" s="1"/>
  <c r="X8" i="10"/>
  <c r="W8" i="10"/>
  <c r="W16" i="10" s="1"/>
  <c r="K25" i="14" s="1"/>
  <c r="S8" i="10"/>
  <c r="S16" i="10" s="1"/>
  <c r="I8" i="10"/>
  <c r="I16" i="10" s="1"/>
  <c r="AI6" i="10"/>
  <c r="AF6" i="10"/>
  <c r="AC6" i="10"/>
  <c r="Y6" i="10"/>
  <c r="X6" i="10"/>
  <c r="W6" i="10"/>
  <c r="V6" i="10"/>
  <c r="U6" i="10"/>
  <c r="T6" i="10"/>
  <c r="S6" i="10"/>
  <c r="Q6" i="10"/>
  <c r="N6" i="10"/>
  <c r="I6" i="10"/>
  <c r="F6" i="10"/>
  <c r="B6" i="10"/>
  <c r="AI5" i="10"/>
  <c r="AC5" i="10"/>
  <c r="Y5" i="10"/>
  <c r="X5" i="10"/>
  <c r="W5" i="10"/>
  <c r="V5" i="10"/>
  <c r="U5" i="10"/>
  <c r="T5" i="10"/>
  <c r="S5" i="10"/>
  <c r="I5" i="10"/>
  <c r="F5" i="10"/>
  <c r="AH1" i="10"/>
  <c r="G30" i="56"/>
  <c r="F30" i="56"/>
  <c r="E30" i="56"/>
  <c r="C30" i="56"/>
  <c r="G29" i="56"/>
  <c r="F29" i="56"/>
  <c r="E29" i="56"/>
  <c r="C29" i="56"/>
  <c r="F28" i="56"/>
  <c r="E28" i="56"/>
  <c r="F27" i="56"/>
  <c r="E27" i="56"/>
  <c r="F26" i="56"/>
  <c r="E26" i="56"/>
  <c r="F25" i="56"/>
  <c r="E25" i="56"/>
  <c r="G23" i="56"/>
  <c r="E23" i="56"/>
  <c r="C23" i="56"/>
  <c r="G22" i="56"/>
  <c r="E22" i="56"/>
  <c r="C22" i="56"/>
  <c r="E20" i="56"/>
  <c r="E19" i="56"/>
  <c r="E18" i="56"/>
  <c r="H16" i="56"/>
  <c r="G16" i="56"/>
  <c r="F16" i="56"/>
  <c r="E16" i="56"/>
  <c r="D16" i="56"/>
  <c r="C16" i="56"/>
  <c r="H15" i="56"/>
  <c r="G15" i="56"/>
  <c r="F15" i="56"/>
  <c r="E15" i="56"/>
  <c r="D15" i="56"/>
  <c r="C15" i="56"/>
  <c r="H14" i="56"/>
  <c r="G14" i="56"/>
  <c r="F14" i="56"/>
  <c r="E14" i="56"/>
  <c r="D14" i="56"/>
  <c r="C14" i="56"/>
  <c r="H13" i="56"/>
  <c r="G13" i="56"/>
  <c r="F13" i="56"/>
  <c r="E13" i="56"/>
  <c r="D13" i="56"/>
  <c r="C13" i="56"/>
  <c r="H12" i="56"/>
  <c r="G12" i="56"/>
  <c r="F12" i="56"/>
  <c r="E12" i="56"/>
  <c r="D12" i="56"/>
  <c r="C12" i="56"/>
  <c r="H11" i="56"/>
  <c r="G11" i="56"/>
  <c r="F11" i="56"/>
  <c r="E11" i="56"/>
  <c r="D11" i="56"/>
  <c r="C11" i="56"/>
  <c r="H9" i="56"/>
  <c r="G9" i="56"/>
  <c r="E9" i="56"/>
  <c r="C9" i="56"/>
  <c r="H8" i="56"/>
  <c r="G8" i="56"/>
  <c r="E8" i="56"/>
  <c r="C8" i="56"/>
  <c r="H7" i="56"/>
  <c r="G7" i="56"/>
  <c r="H6" i="56"/>
  <c r="G6" i="56"/>
  <c r="H5" i="56"/>
  <c r="G5" i="56"/>
  <c r="H4" i="56"/>
  <c r="G4" i="56"/>
  <c r="G2" i="56"/>
  <c r="D2" i="56" s="1"/>
  <c r="L60" i="51"/>
  <c r="K60" i="51"/>
  <c r="J60" i="51"/>
  <c r="F60" i="51"/>
  <c r="L59" i="51"/>
  <c r="K59" i="51"/>
  <c r="J59" i="51"/>
  <c r="F59" i="51"/>
  <c r="K58" i="51"/>
  <c r="L57" i="51"/>
  <c r="K57" i="51"/>
  <c r="J57" i="51"/>
  <c r="F57" i="51"/>
  <c r="L56" i="51"/>
  <c r="K56" i="51"/>
  <c r="J56" i="51"/>
  <c r="F56" i="51"/>
  <c r="L55" i="51"/>
  <c r="K55" i="51"/>
  <c r="J55" i="51"/>
  <c r="F55" i="51"/>
  <c r="L54" i="51"/>
  <c r="K54" i="51"/>
  <c r="J54" i="51"/>
  <c r="F54" i="51"/>
  <c r="L53" i="51"/>
  <c r="K53" i="51"/>
  <c r="J53" i="51"/>
  <c r="F53" i="51"/>
  <c r="K52" i="51"/>
  <c r="L51" i="51"/>
  <c r="K51" i="51"/>
  <c r="J51" i="51"/>
  <c r="F51" i="51"/>
  <c r="E51" i="51"/>
  <c r="D51" i="51"/>
  <c r="L50" i="51"/>
  <c r="K50" i="51"/>
  <c r="J50" i="51"/>
  <c r="F50" i="51"/>
  <c r="E50" i="51"/>
  <c r="D50" i="51"/>
  <c r="K49" i="51"/>
  <c r="E49" i="51"/>
  <c r="U24" i="51"/>
  <c r="P24" i="51"/>
  <c r="N24" i="51"/>
  <c r="W23" i="51"/>
  <c r="V23" i="51"/>
  <c r="U23" i="51"/>
  <c r="T23" i="51"/>
  <c r="S23" i="51"/>
  <c r="Q23" i="51"/>
  <c r="P23" i="51"/>
  <c r="O23" i="51"/>
  <c r="N23" i="51"/>
  <c r="L23" i="51"/>
  <c r="J23" i="51"/>
  <c r="I23" i="51"/>
  <c r="G23" i="51"/>
  <c r="F23" i="51"/>
  <c r="W22" i="51"/>
  <c r="V22" i="51"/>
  <c r="U22" i="51"/>
  <c r="T22" i="51"/>
  <c r="S22" i="51"/>
  <c r="Q22" i="51"/>
  <c r="P22" i="51"/>
  <c r="O22" i="51"/>
  <c r="N22" i="51"/>
  <c r="L22" i="51"/>
  <c r="J22" i="51"/>
  <c r="I22" i="51"/>
  <c r="G22" i="51"/>
  <c r="F22" i="51"/>
  <c r="U21" i="51"/>
  <c r="P21" i="51"/>
  <c r="N21" i="51"/>
  <c r="W20" i="51"/>
  <c r="V20" i="51"/>
  <c r="U20" i="51"/>
  <c r="T20" i="51"/>
  <c r="S20" i="51"/>
  <c r="P20" i="51"/>
  <c r="N20" i="51"/>
  <c r="W19" i="51"/>
  <c r="V19" i="51"/>
  <c r="U19" i="51"/>
  <c r="T19" i="51"/>
  <c r="S19" i="51"/>
  <c r="Q19" i="51"/>
  <c r="P19" i="51"/>
  <c r="O19" i="51"/>
  <c r="N19" i="51"/>
  <c r="W18" i="51"/>
  <c r="V18" i="51"/>
  <c r="U18" i="51"/>
  <c r="T18" i="51"/>
  <c r="S18" i="51"/>
  <c r="Q18" i="51"/>
  <c r="P18" i="51"/>
  <c r="O18" i="51"/>
  <c r="N18" i="51"/>
  <c r="W17" i="51"/>
  <c r="V17" i="51"/>
  <c r="U17" i="51"/>
  <c r="T17" i="51"/>
  <c r="S17" i="51"/>
  <c r="P17" i="51"/>
  <c r="N17" i="51"/>
  <c r="W16" i="51"/>
  <c r="V16" i="51"/>
  <c r="U16" i="51"/>
  <c r="T16" i="51"/>
  <c r="S16" i="51"/>
  <c r="P16" i="51"/>
  <c r="N16" i="51"/>
  <c r="W15" i="51"/>
  <c r="V15" i="51"/>
  <c r="U15" i="51"/>
  <c r="T15" i="51"/>
  <c r="S15" i="51"/>
  <c r="Q15" i="51"/>
  <c r="P15" i="51"/>
  <c r="O15" i="51"/>
  <c r="N15" i="51"/>
  <c r="L15" i="51"/>
  <c r="J15" i="51"/>
  <c r="I15" i="51"/>
  <c r="G15" i="51"/>
  <c r="F15" i="51"/>
  <c r="E15" i="51"/>
  <c r="D15" i="51"/>
  <c r="W14" i="51"/>
  <c r="V14" i="51"/>
  <c r="U14" i="51"/>
  <c r="T14" i="51"/>
  <c r="S14" i="51"/>
  <c r="Q14" i="51"/>
  <c r="P14" i="51"/>
  <c r="O14" i="51"/>
  <c r="N14" i="51"/>
  <c r="L14" i="51"/>
  <c r="J14" i="51"/>
  <c r="I14" i="51"/>
  <c r="G14" i="51"/>
  <c r="F14" i="51"/>
  <c r="E14" i="51"/>
  <c r="D14" i="51"/>
  <c r="W13" i="51"/>
  <c r="V13" i="51"/>
  <c r="U13" i="51"/>
  <c r="T13" i="51"/>
  <c r="S13" i="51"/>
  <c r="P13" i="51"/>
  <c r="N13" i="51"/>
  <c r="AM10" i="51"/>
  <c r="AL10" i="51"/>
  <c r="AJ10" i="51"/>
  <c r="AH10" i="51"/>
  <c r="AF10" i="51"/>
  <c r="AE10" i="51"/>
  <c r="AD10" i="51"/>
  <c r="AC10" i="51"/>
  <c r="AB10" i="51"/>
  <c r="Z10" i="51"/>
  <c r="X10" i="51"/>
  <c r="W10" i="51"/>
  <c r="V10" i="51"/>
  <c r="U10" i="51"/>
  <c r="T10" i="51"/>
  <c r="P10" i="51"/>
  <c r="E10" i="51"/>
  <c r="AM9" i="51"/>
  <c r="AL9" i="51"/>
  <c r="AK9" i="51"/>
  <c r="AJ9" i="51"/>
  <c r="AI9" i="51"/>
  <c r="AH9" i="51"/>
  <c r="AG9" i="51"/>
  <c r="AF9" i="51"/>
  <c r="AE9" i="51"/>
  <c r="AD9" i="51"/>
  <c r="AC9" i="51"/>
  <c r="AB9" i="51"/>
  <c r="AA9" i="51"/>
  <c r="Z9" i="51"/>
  <c r="Y9" i="51"/>
  <c r="X9" i="51"/>
  <c r="W9" i="51"/>
  <c r="V9" i="51"/>
  <c r="U9" i="51"/>
  <c r="T9" i="51"/>
  <c r="S9" i="51"/>
  <c r="R9" i="51"/>
  <c r="Q9" i="51"/>
  <c r="P9" i="51"/>
  <c r="O9" i="51"/>
  <c r="N9" i="51"/>
  <c r="L9" i="51"/>
  <c r="J9" i="51"/>
  <c r="I9" i="51"/>
  <c r="H9" i="51"/>
  <c r="G9" i="51"/>
  <c r="F9" i="51"/>
  <c r="E9" i="51"/>
  <c r="D9" i="51"/>
  <c r="AM8" i="51"/>
  <c r="AL8" i="51"/>
  <c r="AK8" i="51"/>
  <c r="AJ8" i="51"/>
  <c r="AI8" i="51"/>
  <c r="AH8" i="51"/>
  <c r="AG8" i="51"/>
  <c r="AF8" i="51"/>
  <c r="AE8" i="51"/>
  <c r="AD8" i="51"/>
  <c r="AC8" i="51"/>
  <c r="AB8" i="51"/>
  <c r="AA8" i="51"/>
  <c r="Z8" i="51"/>
  <c r="Y8" i="51"/>
  <c r="X8" i="51"/>
  <c r="W8" i="51"/>
  <c r="V8" i="51"/>
  <c r="U8" i="51"/>
  <c r="T8" i="51"/>
  <c r="S8" i="51"/>
  <c r="R8" i="51"/>
  <c r="Q8" i="51"/>
  <c r="P8" i="51"/>
  <c r="O8" i="51"/>
  <c r="N8" i="51"/>
  <c r="L8" i="51"/>
  <c r="J8" i="51"/>
  <c r="I8" i="51"/>
  <c r="H8" i="51"/>
  <c r="G8" i="51"/>
  <c r="F8" i="51"/>
  <c r="E8" i="51"/>
  <c r="D8" i="51"/>
  <c r="AM7" i="51"/>
  <c r="AL7" i="51"/>
  <c r="AJ7" i="51"/>
  <c r="AH7" i="51"/>
  <c r="AF7" i="51"/>
  <c r="AE7" i="51"/>
  <c r="AD7" i="51"/>
  <c r="AC7" i="51"/>
  <c r="AB7" i="51"/>
  <c r="Z7" i="51"/>
  <c r="X7" i="51"/>
  <c r="W7" i="51"/>
  <c r="V7" i="51"/>
  <c r="U7" i="51"/>
  <c r="T7" i="51"/>
  <c r="P7" i="51"/>
  <c r="E7" i="51"/>
  <c r="O4" i="51"/>
  <c r="J4" i="51"/>
  <c r="O3" i="51"/>
  <c r="L60" i="6"/>
  <c r="K60" i="6"/>
  <c r="J60" i="6"/>
  <c r="F60" i="6"/>
  <c r="L59" i="6"/>
  <c r="K59" i="6"/>
  <c r="J59" i="6"/>
  <c r="F59" i="6"/>
  <c r="K58" i="6"/>
  <c r="L57" i="6"/>
  <c r="K57" i="6"/>
  <c r="J57" i="6"/>
  <c r="F57" i="6"/>
  <c r="L56" i="6"/>
  <c r="K56" i="6"/>
  <c r="J56" i="6"/>
  <c r="F56" i="6"/>
  <c r="L55" i="6"/>
  <c r="K55" i="6"/>
  <c r="J55" i="6"/>
  <c r="F55" i="6"/>
  <c r="L54" i="6"/>
  <c r="K54" i="6"/>
  <c r="J54" i="6"/>
  <c r="F54" i="6"/>
  <c r="L53" i="6"/>
  <c r="K53" i="6"/>
  <c r="J53" i="6"/>
  <c r="F53" i="6"/>
  <c r="K52" i="6"/>
  <c r="L51" i="6"/>
  <c r="K51" i="6"/>
  <c r="J51" i="6"/>
  <c r="F51" i="6"/>
  <c r="E51" i="6"/>
  <c r="D51" i="6"/>
  <c r="L50" i="6"/>
  <c r="K50" i="6"/>
  <c r="J50" i="6"/>
  <c r="F50" i="6"/>
  <c r="E50" i="6"/>
  <c r="D50" i="6"/>
  <c r="K49" i="6"/>
  <c r="E49" i="6"/>
  <c r="U24" i="6"/>
  <c r="P24" i="6"/>
  <c r="N24" i="6"/>
  <c r="W23" i="6"/>
  <c r="V23" i="6"/>
  <c r="U23" i="6"/>
  <c r="T23" i="6"/>
  <c r="S23" i="6"/>
  <c r="Q23" i="6"/>
  <c r="P23" i="6"/>
  <c r="O23" i="6"/>
  <c r="N23" i="6"/>
  <c r="L23" i="6"/>
  <c r="J23" i="6"/>
  <c r="I23" i="6"/>
  <c r="G23" i="6"/>
  <c r="F23" i="6"/>
  <c r="W22" i="6"/>
  <c r="V22" i="6"/>
  <c r="U22" i="6"/>
  <c r="T22" i="6"/>
  <c r="S22" i="6"/>
  <c r="Q22" i="6"/>
  <c r="P22" i="6"/>
  <c r="O22" i="6"/>
  <c r="N22" i="6"/>
  <c r="L22" i="6"/>
  <c r="J22" i="6"/>
  <c r="I22" i="6"/>
  <c r="G22" i="6"/>
  <c r="F22" i="6"/>
  <c r="U21" i="6"/>
  <c r="P21" i="6"/>
  <c r="N21" i="6"/>
  <c r="W20" i="6"/>
  <c r="V20" i="6"/>
  <c r="U20" i="6"/>
  <c r="T20" i="6"/>
  <c r="S20" i="6"/>
  <c r="P20" i="6"/>
  <c r="N20" i="6"/>
  <c r="W19" i="6"/>
  <c r="V19" i="6"/>
  <c r="U19" i="6"/>
  <c r="T19" i="6"/>
  <c r="S19" i="6"/>
  <c r="Q19" i="6"/>
  <c r="P19" i="6"/>
  <c r="O19" i="6"/>
  <c r="N19" i="6"/>
  <c r="W18" i="6"/>
  <c r="V18" i="6"/>
  <c r="U18" i="6"/>
  <c r="T18" i="6"/>
  <c r="S18" i="6"/>
  <c r="Q18" i="6"/>
  <c r="P18" i="6"/>
  <c r="O18" i="6"/>
  <c r="N18" i="6"/>
  <c r="W17" i="6"/>
  <c r="V17" i="6"/>
  <c r="U17" i="6"/>
  <c r="T17" i="6"/>
  <c r="S17" i="6"/>
  <c r="P17" i="6"/>
  <c r="N17" i="6"/>
  <c r="W16" i="6"/>
  <c r="V16" i="6"/>
  <c r="U16" i="6"/>
  <c r="T16" i="6"/>
  <c r="S16" i="6"/>
  <c r="P16" i="6"/>
  <c r="N16" i="6"/>
  <c r="W15" i="6"/>
  <c r="V15" i="6"/>
  <c r="U15" i="6"/>
  <c r="T15" i="6"/>
  <c r="S15" i="6"/>
  <c r="Q15" i="6"/>
  <c r="P15" i="6"/>
  <c r="O15" i="6"/>
  <c r="N15" i="6"/>
  <c r="L15" i="6"/>
  <c r="J15" i="6"/>
  <c r="I15" i="6"/>
  <c r="G15" i="6"/>
  <c r="F15" i="6"/>
  <c r="E15" i="6"/>
  <c r="D15" i="6"/>
  <c r="W14" i="6"/>
  <c r="V14" i="6"/>
  <c r="U14" i="6"/>
  <c r="T14" i="6"/>
  <c r="S14" i="6"/>
  <c r="Q14" i="6"/>
  <c r="P14" i="6"/>
  <c r="O14" i="6"/>
  <c r="N14" i="6"/>
  <c r="L14" i="6"/>
  <c r="J14" i="6"/>
  <c r="I14" i="6"/>
  <c r="G14" i="6"/>
  <c r="F14" i="6"/>
  <c r="E14" i="6"/>
  <c r="D14" i="6"/>
  <c r="W13" i="6"/>
  <c r="V13" i="6"/>
  <c r="U13" i="6"/>
  <c r="T13" i="6"/>
  <c r="S13" i="6"/>
  <c r="P13" i="6"/>
  <c r="N13" i="6"/>
  <c r="AM10" i="6"/>
  <c r="AL10" i="6"/>
  <c r="AJ10" i="6"/>
  <c r="AH10" i="6"/>
  <c r="AF10" i="6"/>
  <c r="AE10" i="6"/>
  <c r="AD10" i="6"/>
  <c r="AC10" i="6"/>
  <c r="AB10" i="6"/>
  <c r="Z10" i="6"/>
  <c r="X10" i="6"/>
  <c r="W10" i="6"/>
  <c r="V10" i="6"/>
  <c r="U10" i="6"/>
  <c r="T10" i="6"/>
  <c r="R10" i="6"/>
  <c r="P10" i="6"/>
  <c r="E10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L9" i="6"/>
  <c r="J9" i="6"/>
  <c r="I9" i="6"/>
  <c r="G9" i="6"/>
  <c r="F9" i="6"/>
  <c r="E9" i="6"/>
  <c r="D9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L8" i="6"/>
  <c r="J8" i="6"/>
  <c r="I8" i="6"/>
  <c r="G8" i="6"/>
  <c r="F8" i="6"/>
  <c r="E8" i="6"/>
  <c r="D8" i="6"/>
  <c r="AM7" i="6"/>
  <c r="AL7" i="6"/>
  <c r="AJ7" i="6"/>
  <c r="AH7" i="6"/>
  <c r="AF7" i="6"/>
  <c r="AE7" i="6"/>
  <c r="AD7" i="6"/>
  <c r="AC7" i="6"/>
  <c r="AB7" i="6"/>
  <c r="Z7" i="6"/>
  <c r="X7" i="6"/>
  <c r="W7" i="6"/>
  <c r="V7" i="6"/>
  <c r="U7" i="6"/>
  <c r="T7" i="6"/>
  <c r="R7" i="6"/>
  <c r="P7" i="6"/>
  <c r="E7" i="6"/>
  <c r="O4" i="6"/>
  <c r="J4" i="6"/>
  <c r="O3" i="6"/>
  <c r="L60" i="5"/>
  <c r="K60" i="5"/>
  <c r="J60" i="5"/>
  <c r="F60" i="5"/>
  <c r="L59" i="5"/>
  <c r="K59" i="5"/>
  <c r="J59" i="5"/>
  <c r="F59" i="5"/>
  <c r="K58" i="5"/>
  <c r="L57" i="5"/>
  <c r="K57" i="5"/>
  <c r="J57" i="5"/>
  <c r="F57" i="5"/>
  <c r="L56" i="5"/>
  <c r="K56" i="5"/>
  <c r="J56" i="5"/>
  <c r="F56" i="5"/>
  <c r="L55" i="5"/>
  <c r="K55" i="5"/>
  <c r="J55" i="5"/>
  <c r="F55" i="5"/>
  <c r="L54" i="5"/>
  <c r="K54" i="5"/>
  <c r="J54" i="5"/>
  <c r="F54" i="5"/>
  <c r="L53" i="5"/>
  <c r="K53" i="5"/>
  <c r="J53" i="5"/>
  <c r="F53" i="5"/>
  <c r="K52" i="5"/>
  <c r="L51" i="5"/>
  <c r="K51" i="5"/>
  <c r="J51" i="5"/>
  <c r="F51" i="5"/>
  <c r="E51" i="5"/>
  <c r="D51" i="5"/>
  <c r="L50" i="5"/>
  <c r="K50" i="5"/>
  <c r="J50" i="5"/>
  <c r="F50" i="5"/>
  <c r="E50" i="5"/>
  <c r="D50" i="5"/>
  <c r="K49" i="5"/>
  <c r="E49" i="5"/>
  <c r="U24" i="5"/>
  <c r="P24" i="5"/>
  <c r="N24" i="5"/>
  <c r="W23" i="5"/>
  <c r="V23" i="5"/>
  <c r="U23" i="5"/>
  <c r="T23" i="5"/>
  <c r="S23" i="5"/>
  <c r="Q23" i="5"/>
  <c r="P23" i="5"/>
  <c r="O23" i="5"/>
  <c r="N23" i="5"/>
  <c r="L23" i="5"/>
  <c r="J23" i="5"/>
  <c r="I23" i="5"/>
  <c r="G23" i="5"/>
  <c r="F23" i="5"/>
  <c r="W22" i="5"/>
  <c r="V22" i="5"/>
  <c r="U22" i="5"/>
  <c r="T22" i="5"/>
  <c r="S22" i="5"/>
  <c r="Q22" i="5"/>
  <c r="P22" i="5"/>
  <c r="O22" i="5"/>
  <c r="N22" i="5"/>
  <c r="L22" i="5"/>
  <c r="J22" i="5"/>
  <c r="I22" i="5"/>
  <c r="G22" i="5"/>
  <c r="F22" i="5"/>
  <c r="U21" i="5"/>
  <c r="P21" i="5"/>
  <c r="N21" i="5"/>
  <c r="W20" i="5"/>
  <c r="V20" i="5"/>
  <c r="U20" i="5"/>
  <c r="T20" i="5"/>
  <c r="S20" i="5"/>
  <c r="P20" i="5"/>
  <c r="N20" i="5"/>
  <c r="W19" i="5"/>
  <c r="V19" i="5"/>
  <c r="U19" i="5"/>
  <c r="T19" i="5"/>
  <c r="S19" i="5"/>
  <c r="Q19" i="5"/>
  <c r="P19" i="5"/>
  <c r="O19" i="5"/>
  <c r="N19" i="5"/>
  <c r="W18" i="5"/>
  <c r="V18" i="5"/>
  <c r="U18" i="5"/>
  <c r="T18" i="5"/>
  <c r="S18" i="5"/>
  <c r="Q18" i="5"/>
  <c r="P18" i="5"/>
  <c r="O18" i="5"/>
  <c r="N18" i="5"/>
  <c r="W17" i="5"/>
  <c r="V17" i="5"/>
  <c r="U17" i="5"/>
  <c r="T17" i="5"/>
  <c r="S17" i="5"/>
  <c r="P17" i="5"/>
  <c r="N17" i="5"/>
  <c r="W16" i="5"/>
  <c r="V16" i="5"/>
  <c r="U16" i="5"/>
  <c r="T16" i="5"/>
  <c r="S16" i="5"/>
  <c r="P16" i="5"/>
  <c r="N16" i="5"/>
  <c r="W15" i="5"/>
  <c r="V15" i="5"/>
  <c r="U15" i="5"/>
  <c r="T15" i="5"/>
  <c r="S15" i="5"/>
  <c r="Q15" i="5"/>
  <c r="P15" i="5"/>
  <c r="O15" i="5"/>
  <c r="N15" i="5"/>
  <c r="L15" i="5"/>
  <c r="J15" i="5"/>
  <c r="I15" i="5"/>
  <c r="G15" i="5"/>
  <c r="F15" i="5"/>
  <c r="E15" i="5"/>
  <c r="D15" i="5"/>
  <c r="W14" i="5"/>
  <c r="V14" i="5"/>
  <c r="U14" i="5"/>
  <c r="T14" i="5"/>
  <c r="S14" i="5"/>
  <c r="Q14" i="5"/>
  <c r="P14" i="5"/>
  <c r="O14" i="5"/>
  <c r="N14" i="5"/>
  <c r="L14" i="5"/>
  <c r="J14" i="5"/>
  <c r="I14" i="5"/>
  <c r="G14" i="5"/>
  <c r="F14" i="5"/>
  <c r="E14" i="5"/>
  <c r="D14" i="5"/>
  <c r="W13" i="5"/>
  <c r="V13" i="5"/>
  <c r="U13" i="5"/>
  <c r="T13" i="5"/>
  <c r="S13" i="5"/>
  <c r="P13" i="5"/>
  <c r="N13" i="5"/>
  <c r="AM10" i="5"/>
  <c r="AL10" i="5"/>
  <c r="AJ10" i="5"/>
  <c r="AH10" i="5"/>
  <c r="AF10" i="5"/>
  <c r="AE10" i="5"/>
  <c r="AD10" i="5"/>
  <c r="AC10" i="5"/>
  <c r="AB10" i="5"/>
  <c r="Z10" i="5"/>
  <c r="X10" i="5"/>
  <c r="W10" i="5"/>
  <c r="V10" i="5"/>
  <c r="U10" i="5"/>
  <c r="T10" i="5"/>
  <c r="R10" i="5"/>
  <c r="P10" i="5"/>
  <c r="E10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L9" i="5"/>
  <c r="J9" i="5"/>
  <c r="I9" i="5"/>
  <c r="G9" i="5"/>
  <c r="F9" i="5"/>
  <c r="E9" i="5"/>
  <c r="D9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L8" i="5"/>
  <c r="J8" i="5"/>
  <c r="I8" i="5"/>
  <c r="G8" i="5"/>
  <c r="F8" i="5"/>
  <c r="E8" i="5"/>
  <c r="D8" i="5"/>
  <c r="AM7" i="5"/>
  <c r="AL7" i="5"/>
  <c r="AJ7" i="5"/>
  <c r="AH7" i="5"/>
  <c r="AF7" i="5"/>
  <c r="AE7" i="5"/>
  <c r="AD7" i="5"/>
  <c r="AC7" i="5"/>
  <c r="AB7" i="5"/>
  <c r="Z7" i="5"/>
  <c r="X7" i="5"/>
  <c r="W7" i="5"/>
  <c r="V7" i="5"/>
  <c r="U7" i="5"/>
  <c r="T7" i="5"/>
  <c r="R7" i="5"/>
  <c r="P7" i="5"/>
  <c r="E7" i="5"/>
  <c r="O4" i="5"/>
  <c r="J4" i="5"/>
  <c r="O3" i="5"/>
  <c r="J48" i="4"/>
  <c r="K47" i="4"/>
  <c r="J47" i="4"/>
  <c r="I47" i="4"/>
  <c r="D47" i="4"/>
  <c r="J46" i="4"/>
  <c r="N45" i="4"/>
  <c r="L45" i="4"/>
  <c r="E45" i="4"/>
  <c r="K26" i="4"/>
  <c r="I26" i="4"/>
  <c r="H26" i="4"/>
  <c r="F26" i="4"/>
  <c r="D26" i="4"/>
  <c r="K25" i="4"/>
  <c r="I25" i="4"/>
  <c r="H25" i="4"/>
  <c r="F25" i="4"/>
  <c r="D25" i="4"/>
  <c r="H24" i="4"/>
  <c r="F24" i="4"/>
  <c r="T16" i="4"/>
  <c r="S16" i="4"/>
  <c r="O16" i="4"/>
  <c r="N16" i="4"/>
  <c r="M16" i="4"/>
  <c r="L16" i="4"/>
  <c r="K16" i="4"/>
  <c r="I16" i="4"/>
  <c r="H16" i="4"/>
  <c r="F16" i="4"/>
  <c r="D16" i="4"/>
  <c r="T15" i="4"/>
  <c r="S15" i="4"/>
  <c r="O15" i="4"/>
  <c r="N15" i="4"/>
  <c r="M15" i="4"/>
  <c r="L15" i="4"/>
  <c r="K15" i="4"/>
  <c r="I15" i="4"/>
  <c r="H15" i="4"/>
  <c r="F15" i="4"/>
  <c r="D15" i="4"/>
  <c r="T14" i="4"/>
  <c r="S14" i="4"/>
  <c r="O14" i="4"/>
  <c r="N14" i="4"/>
  <c r="M14" i="4"/>
  <c r="L14" i="4"/>
  <c r="H14" i="4"/>
  <c r="F14" i="4"/>
  <c r="E11" i="4"/>
  <c r="E10" i="4"/>
  <c r="O9" i="4"/>
  <c r="M9" i="4"/>
  <c r="K9" i="4"/>
  <c r="I9" i="4"/>
  <c r="H9" i="4"/>
  <c r="G9" i="4"/>
  <c r="F9" i="4"/>
  <c r="E9" i="4"/>
  <c r="D9" i="4"/>
  <c r="O8" i="4"/>
  <c r="M8" i="4"/>
  <c r="K8" i="4"/>
  <c r="I8" i="4"/>
  <c r="H8" i="4"/>
  <c r="G8" i="4"/>
  <c r="F8" i="4"/>
  <c r="E8" i="4"/>
  <c r="D8" i="4"/>
  <c r="K7" i="4"/>
  <c r="I7" i="4"/>
  <c r="G7" i="4"/>
  <c r="F7" i="4"/>
  <c r="C39" i="22" s="1"/>
  <c r="E7" i="4"/>
  <c r="D7" i="4"/>
  <c r="M4" i="4"/>
  <c r="K60" i="50"/>
  <c r="K59" i="50"/>
  <c r="K58" i="50"/>
  <c r="L57" i="50"/>
  <c r="K57" i="50"/>
  <c r="J57" i="50"/>
  <c r="F57" i="50"/>
  <c r="L56" i="50"/>
  <c r="K56" i="50"/>
  <c r="J56" i="50"/>
  <c r="F56" i="50"/>
  <c r="L55" i="50"/>
  <c r="K55" i="50"/>
  <c r="J55" i="50"/>
  <c r="F55" i="50"/>
  <c r="K54" i="50"/>
  <c r="K53" i="50"/>
  <c r="K52" i="50"/>
  <c r="K51" i="50"/>
  <c r="K50" i="50"/>
  <c r="K49" i="50"/>
  <c r="U24" i="50"/>
  <c r="P24" i="50"/>
  <c r="N24" i="50"/>
  <c r="U23" i="50"/>
  <c r="P23" i="50"/>
  <c r="N23" i="50"/>
  <c r="U22" i="50"/>
  <c r="P22" i="50"/>
  <c r="N22" i="50"/>
  <c r="U21" i="50"/>
  <c r="P21" i="50"/>
  <c r="N21" i="50"/>
  <c r="W20" i="50"/>
  <c r="V20" i="50"/>
  <c r="U20" i="50"/>
  <c r="T20" i="50"/>
  <c r="S20" i="50"/>
  <c r="P20" i="50"/>
  <c r="N20" i="50"/>
  <c r="W19" i="50"/>
  <c r="V19" i="50"/>
  <c r="U19" i="50"/>
  <c r="T19" i="50"/>
  <c r="S19" i="50"/>
  <c r="P19" i="50"/>
  <c r="N19" i="50"/>
  <c r="W18" i="50"/>
  <c r="V18" i="50"/>
  <c r="U18" i="50"/>
  <c r="T18" i="50"/>
  <c r="S18" i="50"/>
  <c r="P18" i="50"/>
  <c r="N18" i="50"/>
  <c r="W17" i="50"/>
  <c r="V17" i="50"/>
  <c r="U17" i="50"/>
  <c r="T17" i="50"/>
  <c r="S17" i="50"/>
  <c r="P17" i="50"/>
  <c r="N17" i="50"/>
  <c r="W16" i="50"/>
  <c r="V16" i="50"/>
  <c r="U16" i="50"/>
  <c r="T16" i="50"/>
  <c r="S16" i="50"/>
  <c r="P16" i="50"/>
  <c r="N16" i="50"/>
  <c r="W15" i="50"/>
  <c r="V15" i="50"/>
  <c r="U15" i="50"/>
  <c r="T15" i="50"/>
  <c r="S15" i="50"/>
  <c r="P15" i="50"/>
  <c r="N15" i="50"/>
  <c r="W14" i="50"/>
  <c r="V14" i="50"/>
  <c r="U14" i="50"/>
  <c r="T14" i="50"/>
  <c r="S14" i="50"/>
  <c r="P14" i="50"/>
  <c r="N14" i="50"/>
  <c r="W13" i="50"/>
  <c r="V13" i="50"/>
  <c r="U13" i="50"/>
  <c r="T13" i="50"/>
  <c r="S13" i="50"/>
  <c r="P13" i="50"/>
  <c r="N13" i="50"/>
  <c r="AM10" i="50"/>
  <c r="AL10" i="50"/>
  <c r="AJ10" i="50"/>
  <c r="AH10" i="50"/>
  <c r="AF10" i="50"/>
  <c r="AE10" i="50"/>
  <c r="AD10" i="50"/>
  <c r="AC10" i="50"/>
  <c r="AB10" i="50"/>
  <c r="Z10" i="50"/>
  <c r="X10" i="50"/>
  <c r="W10" i="50"/>
  <c r="V10" i="50"/>
  <c r="U10" i="50"/>
  <c r="T10" i="50"/>
  <c r="R10" i="50"/>
  <c r="P10" i="50"/>
  <c r="AM9" i="50"/>
  <c r="AL9" i="50"/>
  <c r="AJ9" i="50"/>
  <c r="AH9" i="50"/>
  <c r="AF9" i="50"/>
  <c r="AE9" i="50"/>
  <c r="AD9" i="50"/>
  <c r="AC9" i="50"/>
  <c r="AB9" i="50"/>
  <c r="Z9" i="50"/>
  <c r="X9" i="50"/>
  <c r="W9" i="50"/>
  <c r="V9" i="50"/>
  <c r="U9" i="50"/>
  <c r="T9" i="50"/>
  <c r="R9" i="50"/>
  <c r="P9" i="50"/>
  <c r="AM8" i="50"/>
  <c r="AL8" i="50"/>
  <c r="AJ8" i="50"/>
  <c r="AH8" i="50"/>
  <c r="AF8" i="50"/>
  <c r="AE8" i="50"/>
  <c r="AD8" i="50"/>
  <c r="AC8" i="50"/>
  <c r="AB8" i="50"/>
  <c r="Z8" i="50"/>
  <c r="X8" i="50"/>
  <c r="W8" i="50"/>
  <c r="V8" i="50"/>
  <c r="U8" i="50"/>
  <c r="T8" i="50"/>
  <c r="R8" i="50"/>
  <c r="P8" i="50"/>
  <c r="AM7" i="50"/>
  <c r="AL7" i="50"/>
  <c r="AJ7" i="50"/>
  <c r="AH7" i="50"/>
  <c r="AF7" i="50"/>
  <c r="AE7" i="50"/>
  <c r="AD7" i="50"/>
  <c r="AC7" i="50"/>
  <c r="AB7" i="50"/>
  <c r="Z7" i="50"/>
  <c r="X7" i="50"/>
  <c r="W7" i="50"/>
  <c r="V7" i="50"/>
  <c r="U7" i="50"/>
  <c r="T7" i="50"/>
  <c r="R7" i="50"/>
  <c r="P7" i="50"/>
  <c r="J4" i="50"/>
  <c r="K60" i="8"/>
  <c r="K59" i="8"/>
  <c r="K58" i="8"/>
  <c r="L57" i="8"/>
  <c r="K57" i="8"/>
  <c r="J57" i="8"/>
  <c r="F57" i="8"/>
  <c r="L56" i="8"/>
  <c r="K56" i="8"/>
  <c r="J56" i="8"/>
  <c r="F56" i="8"/>
  <c r="L55" i="8"/>
  <c r="K55" i="8"/>
  <c r="J55" i="8"/>
  <c r="F55" i="8"/>
  <c r="K54" i="8"/>
  <c r="K53" i="8"/>
  <c r="K52" i="8"/>
  <c r="K51" i="8"/>
  <c r="K50" i="8"/>
  <c r="K49" i="8"/>
  <c r="U24" i="8"/>
  <c r="P24" i="8"/>
  <c r="N24" i="8"/>
  <c r="U23" i="8"/>
  <c r="P23" i="8"/>
  <c r="N23" i="8"/>
  <c r="U22" i="8"/>
  <c r="P22" i="8"/>
  <c r="N22" i="8"/>
  <c r="U21" i="8"/>
  <c r="P21" i="8"/>
  <c r="N21" i="8"/>
  <c r="W20" i="8"/>
  <c r="V20" i="8"/>
  <c r="U20" i="8"/>
  <c r="T20" i="8"/>
  <c r="S20" i="8"/>
  <c r="P20" i="8"/>
  <c r="N20" i="8"/>
  <c r="W19" i="8"/>
  <c r="V19" i="8"/>
  <c r="U19" i="8"/>
  <c r="T19" i="8"/>
  <c r="S19" i="8"/>
  <c r="P19" i="8"/>
  <c r="N19" i="8"/>
  <c r="W18" i="8"/>
  <c r="V18" i="8"/>
  <c r="U18" i="8"/>
  <c r="T18" i="8"/>
  <c r="S18" i="8"/>
  <c r="P18" i="8"/>
  <c r="N18" i="8"/>
  <c r="W17" i="8"/>
  <c r="V17" i="8"/>
  <c r="U17" i="8"/>
  <c r="T17" i="8"/>
  <c r="S17" i="8"/>
  <c r="P17" i="8"/>
  <c r="N17" i="8"/>
  <c r="W16" i="8"/>
  <c r="V16" i="8"/>
  <c r="U16" i="8"/>
  <c r="T16" i="8"/>
  <c r="S16" i="8"/>
  <c r="P16" i="8"/>
  <c r="N16" i="8"/>
  <c r="W15" i="8"/>
  <c r="V15" i="8"/>
  <c r="U15" i="8"/>
  <c r="T15" i="8"/>
  <c r="S15" i="8"/>
  <c r="P15" i="8"/>
  <c r="N15" i="8"/>
  <c r="W14" i="8"/>
  <c r="V14" i="8"/>
  <c r="U14" i="8"/>
  <c r="T14" i="8"/>
  <c r="S14" i="8"/>
  <c r="P14" i="8"/>
  <c r="N14" i="8"/>
  <c r="W13" i="8"/>
  <c r="V13" i="8"/>
  <c r="U13" i="8"/>
  <c r="T13" i="8"/>
  <c r="S13" i="8"/>
  <c r="P13" i="8"/>
  <c r="N13" i="8"/>
  <c r="AM10" i="8"/>
  <c r="AL10" i="8"/>
  <c r="AJ10" i="8"/>
  <c r="AH10" i="8"/>
  <c r="AF10" i="8"/>
  <c r="AE10" i="8"/>
  <c r="AD10" i="8"/>
  <c r="AC10" i="8"/>
  <c r="AB10" i="8"/>
  <c r="Z10" i="8"/>
  <c r="X10" i="8"/>
  <c r="W10" i="8"/>
  <c r="V10" i="8"/>
  <c r="U10" i="8"/>
  <c r="T10" i="8"/>
  <c r="R10" i="8"/>
  <c r="P10" i="8"/>
  <c r="AM9" i="8"/>
  <c r="AL9" i="8"/>
  <c r="AJ9" i="8"/>
  <c r="AH9" i="8"/>
  <c r="AF9" i="8"/>
  <c r="AE9" i="8"/>
  <c r="AD9" i="8"/>
  <c r="AC9" i="8"/>
  <c r="AB9" i="8"/>
  <c r="Z9" i="8"/>
  <c r="X9" i="8"/>
  <c r="W9" i="8"/>
  <c r="V9" i="8"/>
  <c r="U9" i="8"/>
  <c r="T9" i="8"/>
  <c r="R9" i="8"/>
  <c r="P9" i="8"/>
  <c r="AM8" i="8"/>
  <c r="AL8" i="8"/>
  <c r="AJ8" i="8"/>
  <c r="AH8" i="8"/>
  <c r="AF8" i="8"/>
  <c r="AE8" i="8"/>
  <c r="AD8" i="8"/>
  <c r="AC8" i="8"/>
  <c r="AB8" i="8"/>
  <c r="Z8" i="8"/>
  <c r="X8" i="8"/>
  <c r="W8" i="8"/>
  <c r="V8" i="8"/>
  <c r="U8" i="8"/>
  <c r="T8" i="8"/>
  <c r="R8" i="8"/>
  <c r="P8" i="8"/>
  <c r="AM7" i="8"/>
  <c r="AL7" i="8"/>
  <c r="AJ7" i="8"/>
  <c r="AH7" i="8"/>
  <c r="AF7" i="8"/>
  <c r="AE7" i="8"/>
  <c r="AD7" i="8"/>
  <c r="AC7" i="8"/>
  <c r="AB7" i="8"/>
  <c r="Z7" i="8"/>
  <c r="X7" i="8"/>
  <c r="W7" i="8"/>
  <c r="V7" i="8"/>
  <c r="U7" i="8"/>
  <c r="T7" i="8"/>
  <c r="R7" i="8"/>
  <c r="P7" i="8"/>
  <c r="J4" i="8"/>
  <c r="K60" i="9"/>
  <c r="K59" i="9"/>
  <c r="K58" i="9"/>
  <c r="L57" i="9"/>
  <c r="K57" i="9"/>
  <c r="J57" i="9"/>
  <c r="F57" i="9"/>
  <c r="L56" i="9"/>
  <c r="K56" i="9"/>
  <c r="J56" i="9"/>
  <c r="F56" i="9"/>
  <c r="L55" i="9"/>
  <c r="K55" i="9"/>
  <c r="J55" i="9"/>
  <c r="F55" i="9"/>
  <c r="K54" i="9"/>
  <c r="K53" i="9"/>
  <c r="K52" i="9"/>
  <c r="K51" i="9"/>
  <c r="K50" i="9"/>
  <c r="K49" i="9"/>
  <c r="U24" i="9"/>
  <c r="P24" i="9"/>
  <c r="N24" i="9"/>
  <c r="U23" i="9"/>
  <c r="P23" i="9"/>
  <c r="N23" i="9"/>
  <c r="U22" i="9"/>
  <c r="P22" i="9"/>
  <c r="N22" i="9"/>
  <c r="U21" i="9"/>
  <c r="P21" i="9"/>
  <c r="N21" i="9"/>
  <c r="W20" i="9"/>
  <c r="V20" i="9"/>
  <c r="U20" i="9"/>
  <c r="T20" i="9"/>
  <c r="S20" i="9"/>
  <c r="P20" i="9"/>
  <c r="N20" i="9"/>
  <c r="W19" i="9"/>
  <c r="V19" i="9"/>
  <c r="U19" i="9"/>
  <c r="T19" i="9"/>
  <c r="S19" i="9"/>
  <c r="P19" i="9"/>
  <c r="N19" i="9"/>
  <c r="W18" i="9"/>
  <c r="V18" i="9"/>
  <c r="U18" i="9"/>
  <c r="T18" i="9"/>
  <c r="S18" i="9"/>
  <c r="P18" i="9"/>
  <c r="N18" i="9"/>
  <c r="W17" i="9"/>
  <c r="V17" i="9"/>
  <c r="U17" i="9"/>
  <c r="T17" i="9"/>
  <c r="S17" i="9"/>
  <c r="P17" i="9"/>
  <c r="N17" i="9"/>
  <c r="W16" i="9"/>
  <c r="V16" i="9"/>
  <c r="U16" i="9"/>
  <c r="T16" i="9"/>
  <c r="S16" i="9"/>
  <c r="P16" i="9"/>
  <c r="N16" i="9"/>
  <c r="W15" i="9"/>
  <c r="V15" i="9"/>
  <c r="U15" i="9"/>
  <c r="T15" i="9"/>
  <c r="S15" i="9"/>
  <c r="P15" i="9"/>
  <c r="N15" i="9"/>
  <c r="W14" i="9"/>
  <c r="V14" i="9"/>
  <c r="U14" i="9"/>
  <c r="T14" i="9"/>
  <c r="S14" i="9"/>
  <c r="P14" i="9"/>
  <c r="N14" i="9"/>
  <c r="W13" i="9"/>
  <c r="V13" i="9"/>
  <c r="U13" i="9"/>
  <c r="T13" i="9"/>
  <c r="S13" i="9"/>
  <c r="P13" i="9"/>
  <c r="N13" i="9"/>
  <c r="AM10" i="9"/>
  <c r="AL10" i="9"/>
  <c r="AJ10" i="9"/>
  <c r="AH10" i="9"/>
  <c r="AF10" i="9"/>
  <c r="AE10" i="9"/>
  <c r="AD10" i="9"/>
  <c r="AC10" i="9"/>
  <c r="AB10" i="9"/>
  <c r="Z10" i="9"/>
  <c r="X10" i="9"/>
  <c r="W10" i="9"/>
  <c r="V10" i="9"/>
  <c r="U10" i="9"/>
  <c r="T10" i="9"/>
  <c r="R10" i="9"/>
  <c r="P10" i="9"/>
  <c r="AM9" i="9"/>
  <c r="AL9" i="9"/>
  <c r="AJ9" i="9"/>
  <c r="AH9" i="9"/>
  <c r="AF9" i="9"/>
  <c r="AE9" i="9"/>
  <c r="AD9" i="9"/>
  <c r="AC9" i="9"/>
  <c r="AB9" i="9"/>
  <c r="Z9" i="9"/>
  <c r="X9" i="9"/>
  <c r="W9" i="9"/>
  <c r="V9" i="9"/>
  <c r="U9" i="9"/>
  <c r="T9" i="9"/>
  <c r="R9" i="9"/>
  <c r="P9" i="9"/>
  <c r="AM8" i="9"/>
  <c r="AL8" i="9"/>
  <c r="AJ8" i="9"/>
  <c r="AH8" i="9"/>
  <c r="AF8" i="9"/>
  <c r="AE8" i="9"/>
  <c r="AD8" i="9"/>
  <c r="AC8" i="9"/>
  <c r="AB8" i="9"/>
  <c r="Z8" i="9"/>
  <c r="X8" i="9"/>
  <c r="W8" i="9"/>
  <c r="V8" i="9"/>
  <c r="U8" i="9"/>
  <c r="T8" i="9"/>
  <c r="R8" i="9"/>
  <c r="P8" i="9"/>
  <c r="AM7" i="9"/>
  <c r="AL7" i="9"/>
  <c r="AJ7" i="9"/>
  <c r="AH7" i="9"/>
  <c r="AF7" i="9"/>
  <c r="AE7" i="9"/>
  <c r="AD7" i="9"/>
  <c r="AC7" i="9"/>
  <c r="AB7" i="9"/>
  <c r="Z7" i="9"/>
  <c r="X7" i="9"/>
  <c r="W7" i="9"/>
  <c r="V7" i="9"/>
  <c r="U7" i="9"/>
  <c r="T7" i="9"/>
  <c r="R7" i="9"/>
  <c r="P7" i="9"/>
  <c r="J4" i="9"/>
  <c r="K47" i="7"/>
  <c r="J47" i="7"/>
  <c r="I47" i="7"/>
  <c r="D47" i="7"/>
  <c r="N45" i="7"/>
  <c r="L45" i="7"/>
  <c r="H26" i="7"/>
  <c r="F26" i="7"/>
  <c r="H25" i="7"/>
  <c r="F25" i="7"/>
  <c r="H24" i="7"/>
  <c r="F24" i="7"/>
  <c r="H16" i="7"/>
  <c r="G16" i="7"/>
  <c r="F16" i="7"/>
  <c r="O15" i="7"/>
  <c r="H15" i="7"/>
  <c r="G15" i="7"/>
  <c r="F15" i="7"/>
  <c r="H14" i="7"/>
  <c r="G14" i="7"/>
  <c r="F14" i="7"/>
  <c r="K9" i="7"/>
  <c r="I38" i="22" s="1"/>
  <c r="I9" i="7"/>
  <c r="G38" i="22" s="1"/>
  <c r="G9" i="7"/>
  <c r="F9" i="7"/>
  <c r="H9" i="7" s="1"/>
  <c r="E9" i="7"/>
  <c r="E9" i="9" s="1"/>
  <c r="D9" i="7"/>
  <c r="K8" i="7"/>
  <c r="I8" i="7"/>
  <c r="G8" i="7"/>
  <c r="F8" i="7"/>
  <c r="H8" i="7" s="1"/>
  <c r="E8" i="7"/>
  <c r="E8" i="9" s="1"/>
  <c r="D8" i="7"/>
  <c r="K7" i="7"/>
  <c r="I36" i="22" s="1"/>
  <c r="I7" i="7"/>
  <c r="G36" i="22" s="1"/>
  <c r="G7" i="7"/>
  <c r="F7" i="7"/>
  <c r="C36" i="22" s="1"/>
  <c r="E36" i="22" s="1"/>
  <c r="E7" i="7"/>
  <c r="E7" i="8" s="1"/>
  <c r="D7" i="7"/>
  <c r="M4" i="7"/>
  <c r="G67" i="1"/>
  <c r="F67" i="1"/>
  <c r="E67" i="1"/>
  <c r="D67" i="1"/>
  <c r="C67" i="1"/>
  <c r="B67" i="1"/>
  <c r="G64" i="1"/>
  <c r="F64" i="1"/>
  <c r="E64" i="1"/>
  <c r="D64" i="1"/>
  <c r="C64" i="1"/>
  <c r="B64" i="1"/>
  <c r="G63" i="1"/>
  <c r="F63" i="1"/>
  <c r="E63" i="1"/>
  <c r="D63" i="1"/>
  <c r="C63" i="1"/>
  <c r="B63" i="1"/>
  <c r="G61" i="1"/>
  <c r="F61" i="1"/>
  <c r="E61" i="1"/>
  <c r="D61" i="1"/>
  <c r="C61" i="1"/>
  <c r="B61" i="1"/>
  <c r="G60" i="1"/>
  <c r="F60" i="1"/>
  <c r="E60" i="1"/>
  <c r="D60" i="1"/>
  <c r="C60" i="1"/>
  <c r="B60" i="1"/>
  <c r="G59" i="1"/>
  <c r="F59" i="1"/>
  <c r="E59" i="1"/>
  <c r="D59" i="1"/>
  <c r="C59" i="1"/>
  <c r="B59" i="1"/>
  <c r="G58" i="1"/>
  <c r="F58" i="1"/>
  <c r="E58" i="1"/>
  <c r="D58" i="1"/>
  <c r="C58" i="1"/>
  <c r="B58" i="1"/>
  <c r="G57" i="1"/>
  <c r="F57" i="1"/>
  <c r="P35" i="1"/>
  <c r="N34" i="1"/>
  <c r="F34" i="1"/>
  <c r="P30" i="1"/>
  <c r="P28" i="1"/>
  <c r="N22" i="1"/>
  <c r="F22" i="1"/>
  <c r="P18" i="1"/>
  <c r="P16" i="1"/>
  <c r="N10" i="1"/>
  <c r="F10" i="1"/>
  <c r="P6" i="1"/>
  <c r="P4" i="1"/>
  <c r="T16" i="7" l="1"/>
  <c r="S16" i="7"/>
  <c r="N16" i="7" s="1"/>
  <c r="T14" i="7"/>
  <c r="S15" i="7"/>
  <c r="T15" i="7"/>
  <c r="H7" i="7"/>
  <c r="B57" i="1" s="1"/>
  <c r="E9" i="71"/>
  <c r="E51" i="9"/>
  <c r="D57" i="1"/>
  <c r="F9" i="9"/>
  <c r="F9" i="8"/>
  <c r="F9" i="50"/>
  <c r="M9" i="7"/>
  <c r="J9" i="50" s="1"/>
  <c r="O19" i="50" s="1"/>
  <c r="E9" i="50"/>
  <c r="E9" i="8"/>
  <c r="C38" i="22"/>
  <c r="E8" i="71"/>
  <c r="E50" i="9"/>
  <c r="C57" i="1"/>
  <c r="F8" i="9"/>
  <c r="F8" i="8"/>
  <c r="F8" i="50"/>
  <c r="M8" i="7"/>
  <c r="J8" i="8" s="1"/>
  <c r="G8" i="8" s="1"/>
  <c r="Q8" i="8" s="1"/>
  <c r="E8" i="50"/>
  <c r="C37" i="22"/>
  <c r="E8" i="8"/>
  <c r="E10" i="8" s="1"/>
  <c r="E10" i="7"/>
  <c r="B5" i="76" s="1"/>
  <c r="B8" i="76" s="1"/>
  <c r="B16" i="76" s="1"/>
  <c r="B27" i="76" s="1"/>
  <c r="L9" i="70"/>
  <c r="O9" i="7"/>
  <c r="O16" i="7"/>
  <c r="N15" i="7"/>
  <c r="D15" i="7" s="1"/>
  <c r="O8" i="7"/>
  <c r="I37" i="22"/>
  <c r="E39" i="22"/>
  <c r="C52" i="22"/>
  <c r="H7" i="4"/>
  <c r="F10" i="4"/>
  <c r="F10" i="7"/>
  <c r="F11" i="7" s="1"/>
  <c r="F45" i="7" s="1"/>
  <c r="O14" i="7"/>
  <c r="S14" i="7"/>
  <c r="N14" i="7" s="1"/>
  <c r="M14" i="7" s="1"/>
  <c r="S10" i="7"/>
  <c r="D10" i="7"/>
  <c r="F7" i="50"/>
  <c r="D7" i="50" s="1"/>
  <c r="H10" i="7"/>
  <c r="C48" i="22"/>
  <c r="F7" i="8"/>
  <c r="D7" i="8" s="1"/>
  <c r="O7" i="7"/>
  <c r="F7" i="9"/>
  <c r="M36" i="22"/>
  <c r="M48" i="22" s="1"/>
  <c r="L36" i="22"/>
  <c r="L48" i="22" s="1"/>
  <c r="K36" i="22"/>
  <c r="K48" i="22" s="1"/>
  <c r="J36" i="22"/>
  <c r="J48" i="22" s="1"/>
  <c r="E49" i="8"/>
  <c r="E7" i="50"/>
  <c r="E7" i="72"/>
  <c r="E7" i="9"/>
  <c r="G227" i="19"/>
  <c r="G228" i="19" s="1"/>
  <c r="E6" i="13" s="1"/>
  <c r="E228" i="19"/>
  <c r="U15" i="10"/>
  <c r="G8" i="33" s="1"/>
  <c r="G13" i="33" s="1"/>
  <c r="G15" i="33" s="1"/>
  <c r="W31" i="10"/>
  <c r="W32" i="10" s="1"/>
  <c r="E8" i="33"/>
  <c r="V15" i="10"/>
  <c r="K36" i="79" s="1"/>
  <c r="X31" i="10"/>
  <c r="X32" i="10" s="1"/>
  <c r="J8" i="33"/>
  <c r="J13" i="33" s="1"/>
  <c r="Y31" i="10"/>
  <c r="Y32" i="10" s="1"/>
  <c r="K8" i="33"/>
  <c r="K13" i="33" s="1"/>
  <c r="AI15" i="10"/>
  <c r="H55" i="14" s="1"/>
  <c r="G36" i="79"/>
  <c r="I31" i="10"/>
  <c r="V8" i="10"/>
  <c r="AI8" i="10"/>
  <c r="L56" i="22"/>
  <c r="L59" i="22" s="1"/>
  <c r="G40" i="79"/>
  <c r="S43" i="10"/>
  <c r="I43" i="10"/>
  <c r="K16" i="79"/>
  <c r="L11" i="14"/>
  <c r="T8" i="10"/>
  <c r="U8" i="10"/>
  <c r="T15" i="10"/>
  <c r="S31" i="10"/>
  <c r="S32" i="10" s="1"/>
  <c r="J9" i="33"/>
  <c r="G23" i="33" s="1"/>
  <c r="K6" i="14"/>
  <c r="L21" i="14"/>
  <c r="H56" i="14" s="1"/>
  <c r="H16" i="79"/>
  <c r="L6" i="14"/>
  <c r="K34" i="14"/>
  <c r="U16" i="10"/>
  <c r="H22" i="13" s="1"/>
  <c r="H23" i="13" s="1"/>
  <c r="Y43" i="10"/>
  <c r="E6" i="14"/>
  <c r="E50" i="14" s="1"/>
  <c r="M6" i="14"/>
  <c r="L25" i="14"/>
  <c r="L34" i="14"/>
  <c r="L53" i="14" s="1"/>
  <c r="E53" i="14" s="1"/>
  <c r="C53" i="14" s="1"/>
  <c r="V16" i="10"/>
  <c r="E25" i="14"/>
  <c r="M25" i="14"/>
  <c r="K22" i="13"/>
  <c r="L22" i="13"/>
  <c r="M22" i="13"/>
  <c r="L25" i="13"/>
  <c r="AI16" i="10"/>
  <c r="H27" i="13" s="1"/>
  <c r="I32" i="10"/>
  <c r="E22" i="13"/>
  <c r="W43" i="10"/>
  <c r="T16" i="10"/>
  <c r="X43" i="10"/>
  <c r="C21" i="13"/>
  <c r="E17" i="13"/>
  <c r="M7" i="7" l="1"/>
  <c r="D16" i="7"/>
  <c r="I16" i="7" s="1"/>
  <c r="M16" i="7"/>
  <c r="H30" i="1" s="1"/>
  <c r="L16" i="7"/>
  <c r="H28" i="1" s="1"/>
  <c r="G9" i="50"/>
  <c r="D14" i="7"/>
  <c r="F13" i="9" s="1"/>
  <c r="D9" i="50"/>
  <c r="D51" i="50" s="1"/>
  <c r="J8" i="50"/>
  <c r="O18" i="50" s="1"/>
  <c r="J40" i="79"/>
  <c r="L8" i="72"/>
  <c r="Q14" i="72" s="1"/>
  <c r="W14" i="72" s="1"/>
  <c r="Y14" i="72" s="1"/>
  <c r="J51" i="50"/>
  <c r="J9" i="8"/>
  <c r="O19" i="8" s="1"/>
  <c r="J9" i="9"/>
  <c r="O19" i="9" s="1"/>
  <c r="J50" i="8"/>
  <c r="O18" i="8"/>
  <c r="J8" i="9"/>
  <c r="J50" i="9" s="1"/>
  <c r="O9" i="8"/>
  <c r="F9" i="72"/>
  <c r="F51" i="8"/>
  <c r="D9" i="8"/>
  <c r="E38" i="22"/>
  <c r="C50" i="22"/>
  <c r="E50" i="22" s="1"/>
  <c r="O9" i="9"/>
  <c r="F51" i="9"/>
  <c r="F9" i="71"/>
  <c r="E9" i="72"/>
  <c r="E51" i="8"/>
  <c r="E9" i="70"/>
  <c r="E51" i="50"/>
  <c r="F51" i="50"/>
  <c r="O9" i="50"/>
  <c r="F9" i="70"/>
  <c r="H9" i="70" s="1"/>
  <c r="S9" i="70" s="1"/>
  <c r="D9" i="9"/>
  <c r="F8" i="72"/>
  <c r="F50" i="8"/>
  <c r="O8" i="8"/>
  <c r="F8" i="71"/>
  <c r="F50" i="9"/>
  <c r="O8" i="9"/>
  <c r="F8" i="70"/>
  <c r="F50" i="50"/>
  <c r="O8" i="50"/>
  <c r="E8" i="72"/>
  <c r="E50" i="8"/>
  <c r="C49" i="22"/>
  <c r="E49" i="22" s="1"/>
  <c r="E37" i="22"/>
  <c r="D8" i="50"/>
  <c r="D8" i="8"/>
  <c r="B5" i="10"/>
  <c r="B8" i="10" s="1"/>
  <c r="B16" i="10" s="1"/>
  <c r="B43" i="10" s="1"/>
  <c r="E8" i="70"/>
  <c r="E50" i="50"/>
  <c r="E11" i="7"/>
  <c r="B12" i="10" s="1"/>
  <c r="B15" i="10" s="1"/>
  <c r="B31" i="10" s="1"/>
  <c r="D8" i="9"/>
  <c r="Q15" i="70"/>
  <c r="W15" i="70" s="1"/>
  <c r="Q23" i="70"/>
  <c r="V15" i="70" s="1"/>
  <c r="L9" i="50"/>
  <c r="L9" i="8"/>
  <c r="L9" i="9"/>
  <c r="C20" i="56"/>
  <c r="Q9" i="50"/>
  <c r="M15" i="7"/>
  <c r="L15" i="7"/>
  <c r="F14" i="8"/>
  <c r="F14" i="9"/>
  <c r="K15" i="7"/>
  <c r="J15" i="7"/>
  <c r="J25" i="7" s="1"/>
  <c r="D25" i="7"/>
  <c r="I15" i="7"/>
  <c r="F14" i="50"/>
  <c r="L8" i="9"/>
  <c r="L8" i="50"/>
  <c r="L8" i="8"/>
  <c r="G8" i="9"/>
  <c r="Q8" i="9" s="1"/>
  <c r="G8" i="50"/>
  <c r="C5" i="10"/>
  <c r="C8" i="10" s="1"/>
  <c r="C16" i="10" s="1"/>
  <c r="C43" i="10" s="1"/>
  <c r="O7" i="4"/>
  <c r="H10" i="4"/>
  <c r="M7" i="4"/>
  <c r="E57" i="1"/>
  <c r="F7" i="6"/>
  <c r="D14" i="4"/>
  <c r="D24" i="4" s="1"/>
  <c r="D10" i="4"/>
  <c r="F7" i="5"/>
  <c r="F7" i="71" s="1"/>
  <c r="F7" i="51"/>
  <c r="C6" i="10"/>
  <c r="F11" i="4"/>
  <c r="G10" i="4"/>
  <c r="C6" i="76"/>
  <c r="C5" i="76"/>
  <c r="C8" i="76" s="1"/>
  <c r="C16" i="76" s="1"/>
  <c r="C27" i="76" s="1"/>
  <c r="D7" i="51"/>
  <c r="D7" i="70" s="1"/>
  <c r="C55" i="22"/>
  <c r="E52" i="22"/>
  <c r="E55" i="22" s="1"/>
  <c r="M39" i="22"/>
  <c r="M52" i="22" s="1"/>
  <c r="L39" i="22"/>
  <c r="L52" i="22" s="1"/>
  <c r="K39" i="22"/>
  <c r="K52" i="22" s="1"/>
  <c r="J39" i="22"/>
  <c r="J52" i="22" s="1"/>
  <c r="L14" i="7"/>
  <c r="O7" i="8"/>
  <c r="D49" i="8"/>
  <c r="N7" i="8"/>
  <c r="F10" i="9"/>
  <c r="F49" i="9"/>
  <c r="J51" i="22"/>
  <c r="L7" i="8"/>
  <c r="O10" i="7"/>
  <c r="L7" i="50"/>
  <c r="L7" i="9"/>
  <c r="D5" i="10"/>
  <c r="H11" i="7"/>
  <c r="D11" i="7" s="1"/>
  <c r="D45" i="7" s="1"/>
  <c r="D5" i="76"/>
  <c r="D49" i="50"/>
  <c r="N7" i="50"/>
  <c r="F7" i="70"/>
  <c r="F49" i="50"/>
  <c r="F10" i="50"/>
  <c r="G10" i="7"/>
  <c r="J7" i="9"/>
  <c r="J7" i="8"/>
  <c r="M10" i="7"/>
  <c r="J7" i="50"/>
  <c r="F7" i="72"/>
  <c r="Q7" i="72" s="1"/>
  <c r="F49" i="8"/>
  <c r="F10" i="8"/>
  <c r="D7" i="9"/>
  <c r="E48" i="22"/>
  <c r="E7" i="71"/>
  <c r="E49" i="9"/>
  <c r="O7" i="9"/>
  <c r="E10" i="9"/>
  <c r="E10" i="50"/>
  <c r="E49" i="50"/>
  <c r="O7" i="50"/>
  <c r="E7" i="70"/>
  <c r="E23" i="14"/>
  <c r="O227" i="19"/>
  <c r="K227" i="19" s="1"/>
  <c r="N227" i="19"/>
  <c r="J227" i="19" s="1"/>
  <c r="L227" i="19"/>
  <c r="H227" i="19" s="1"/>
  <c r="L228" i="19"/>
  <c r="M227" i="19"/>
  <c r="I227" i="19" s="1"/>
  <c r="F227" i="19"/>
  <c r="C6" i="13"/>
  <c r="F228" i="19"/>
  <c r="C23" i="14"/>
  <c r="I34" i="14"/>
  <c r="H34" i="14"/>
  <c r="J36" i="79"/>
  <c r="H6" i="14"/>
  <c r="G22" i="33"/>
  <c r="H8" i="33"/>
  <c r="H13" i="33" s="1"/>
  <c r="H15" i="33" s="1"/>
  <c r="I6" i="14"/>
  <c r="E13" i="33"/>
  <c r="C13" i="33" s="1"/>
  <c r="C8" i="33"/>
  <c r="H25" i="14"/>
  <c r="M50" i="14"/>
  <c r="L50" i="14"/>
  <c r="K50" i="14"/>
  <c r="J50" i="14"/>
  <c r="C50" i="14"/>
  <c r="I36" i="79"/>
  <c r="F8" i="33"/>
  <c r="F13" i="33" s="1"/>
  <c r="F15" i="33" s="1"/>
  <c r="G34" i="14"/>
  <c r="G6" i="14"/>
  <c r="I25" i="14"/>
  <c r="I22" i="13"/>
  <c r="I23" i="13" s="1"/>
  <c r="K40" i="79"/>
  <c r="G22" i="13"/>
  <c r="G23" i="13" s="1"/>
  <c r="G25" i="14"/>
  <c r="I40" i="79"/>
  <c r="E21" i="13"/>
  <c r="L21" i="13" s="1"/>
  <c r="L17" i="13"/>
  <c r="D21" i="13"/>
  <c r="E45" i="7" l="1"/>
  <c r="F15" i="9"/>
  <c r="F16" i="9" s="1"/>
  <c r="I26" i="7"/>
  <c r="J23" i="50" s="1"/>
  <c r="J15" i="50"/>
  <c r="O15" i="50" s="1"/>
  <c r="J15" i="8"/>
  <c r="F15" i="8"/>
  <c r="F19" i="72" s="1"/>
  <c r="I19" i="72" s="1"/>
  <c r="AB9" i="72" s="1"/>
  <c r="D26" i="7"/>
  <c r="J16" i="7"/>
  <c r="J26" i="7" s="1"/>
  <c r="K16" i="7"/>
  <c r="L15" i="50" s="1"/>
  <c r="N19" i="70" s="1"/>
  <c r="F15" i="50"/>
  <c r="J50" i="50"/>
  <c r="L8" i="70"/>
  <c r="K14" i="7"/>
  <c r="K24" i="7" s="1"/>
  <c r="L21" i="8" s="1"/>
  <c r="D17" i="7"/>
  <c r="D18" i="7" s="1"/>
  <c r="F13" i="50"/>
  <c r="F52" i="50" s="1"/>
  <c r="D24" i="7"/>
  <c r="D27" i="7" s="1"/>
  <c r="I14" i="7"/>
  <c r="J13" i="8" s="1"/>
  <c r="F13" i="8"/>
  <c r="F16" i="8" s="1"/>
  <c r="J14" i="7"/>
  <c r="J24" i="7" s="1"/>
  <c r="D10" i="50"/>
  <c r="N10" i="50" s="1"/>
  <c r="N9" i="50"/>
  <c r="L9" i="71"/>
  <c r="L9" i="72"/>
  <c r="H9" i="72" s="1"/>
  <c r="S9" i="72" s="1"/>
  <c r="F54" i="8"/>
  <c r="J15" i="9"/>
  <c r="J54" i="9" s="1"/>
  <c r="C51" i="22"/>
  <c r="L8" i="71"/>
  <c r="H8" i="71" s="1"/>
  <c r="S8" i="71" s="1"/>
  <c r="H8" i="72"/>
  <c r="S8" i="72" s="1"/>
  <c r="E10" i="72"/>
  <c r="G9" i="8"/>
  <c r="Q9" i="8" s="1"/>
  <c r="J51" i="8"/>
  <c r="G9" i="9"/>
  <c r="Q9" i="9" s="1"/>
  <c r="J51" i="9"/>
  <c r="E51" i="22"/>
  <c r="F51" i="22" s="1"/>
  <c r="O18" i="9"/>
  <c r="N9" i="9"/>
  <c r="D9" i="71"/>
  <c r="P9" i="71" s="1"/>
  <c r="D51" i="9"/>
  <c r="Q9" i="70"/>
  <c r="I9" i="70"/>
  <c r="T9" i="70" s="1"/>
  <c r="L38" i="22"/>
  <c r="L50" i="22" s="1"/>
  <c r="H50" i="22" s="1"/>
  <c r="J38" i="22"/>
  <c r="J50" i="22" s="1"/>
  <c r="F50" i="22" s="1"/>
  <c r="M38" i="22"/>
  <c r="M50" i="22" s="1"/>
  <c r="I50" i="22" s="1"/>
  <c r="K38" i="22"/>
  <c r="K50" i="22" s="1"/>
  <c r="G50" i="22" s="1"/>
  <c r="D51" i="8"/>
  <c r="N9" i="8"/>
  <c r="D9" i="72"/>
  <c r="P9" i="72" s="1"/>
  <c r="D9" i="70"/>
  <c r="P9" i="70" s="1"/>
  <c r="Q9" i="71"/>
  <c r="I9" i="71"/>
  <c r="T9" i="71" s="1"/>
  <c r="Q9" i="72"/>
  <c r="I9" i="72"/>
  <c r="T9" i="72" s="1"/>
  <c r="D8" i="70"/>
  <c r="P8" i="70" s="1"/>
  <c r="N8" i="50"/>
  <c r="D50" i="50"/>
  <c r="N8" i="8"/>
  <c r="D8" i="72"/>
  <c r="P8" i="72" s="1"/>
  <c r="D50" i="8"/>
  <c r="N8" i="9"/>
  <c r="D8" i="71"/>
  <c r="P8" i="71" s="1"/>
  <c r="D50" i="9"/>
  <c r="J37" i="22"/>
  <c r="J49" i="22" s="1"/>
  <c r="F49" i="22" s="1"/>
  <c r="L37" i="22"/>
  <c r="L49" i="22" s="1"/>
  <c r="K37" i="22"/>
  <c r="K49" i="22" s="1"/>
  <c r="I8" i="71"/>
  <c r="T8" i="71" s="1"/>
  <c r="Q8" i="71"/>
  <c r="B32" i="10"/>
  <c r="M37" i="22"/>
  <c r="M49" i="22" s="1"/>
  <c r="I8" i="70"/>
  <c r="T8" i="70" s="1"/>
  <c r="Q8" i="70"/>
  <c r="D10" i="8"/>
  <c r="N10" i="8" s="1"/>
  <c r="I8" i="72"/>
  <c r="T8" i="72" s="1"/>
  <c r="Q8" i="72"/>
  <c r="Q19" i="9"/>
  <c r="T23" i="9" s="1"/>
  <c r="L51" i="9"/>
  <c r="I9" i="9"/>
  <c r="S9" i="9" s="1"/>
  <c r="N9" i="71"/>
  <c r="O4" i="8"/>
  <c r="L19" i="72"/>
  <c r="J54" i="8"/>
  <c r="G15" i="8"/>
  <c r="Y9" i="8" s="1"/>
  <c r="O15" i="8"/>
  <c r="D15" i="8"/>
  <c r="AK9" i="8" s="1"/>
  <c r="N9" i="72"/>
  <c r="L51" i="8"/>
  <c r="Q19" i="8"/>
  <c r="T23" i="8" s="1"/>
  <c r="I9" i="8"/>
  <c r="S9" i="8" s="1"/>
  <c r="L19" i="70"/>
  <c r="Q15" i="72"/>
  <c r="W15" i="72" s="1"/>
  <c r="Y15" i="72" s="1"/>
  <c r="L51" i="50"/>
  <c r="I9" i="50"/>
  <c r="N9" i="70"/>
  <c r="Q19" i="50"/>
  <c r="T23" i="50" s="1"/>
  <c r="H9" i="71"/>
  <c r="S9" i="71" s="1"/>
  <c r="Q15" i="71"/>
  <c r="W15" i="71" s="1"/>
  <c r="Q23" i="71"/>
  <c r="V15" i="71" s="1"/>
  <c r="J14" i="9"/>
  <c r="J14" i="50"/>
  <c r="J14" i="8"/>
  <c r="I25" i="7"/>
  <c r="Q22" i="71"/>
  <c r="V14" i="71" s="1"/>
  <c r="Q14" i="71"/>
  <c r="W14" i="71" s="1"/>
  <c r="F22" i="8"/>
  <c r="F22" i="9"/>
  <c r="F22" i="50"/>
  <c r="F53" i="50"/>
  <c r="F18" i="70"/>
  <c r="I18" i="70" s="1"/>
  <c r="AB8" i="70" s="1"/>
  <c r="Q8" i="50"/>
  <c r="C19" i="56"/>
  <c r="I8" i="8"/>
  <c r="S8" i="8" s="1"/>
  <c r="Q18" i="8"/>
  <c r="T22" i="8" s="1"/>
  <c r="L50" i="8"/>
  <c r="N8" i="72"/>
  <c r="L14" i="50"/>
  <c r="L14" i="8"/>
  <c r="L14" i="9"/>
  <c r="N8" i="70"/>
  <c r="L50" i="50"/>
  <c r="Q18" i="50"/>
  <c r="T22" i="50" s="1"/>
  <c r="I8" i="50"/>
  <c r="F18" i="71"/>
  <c r="I18" i="71" s="1"/>
  <c r="AB8" i="71" s="1"/>
  <c r="F53" i="9"/>
  <c r="Q22" i="70"/>
  <c r="V14" i="70" s="1"/>
  <c r="H8" i="70"/>
  <c r="S8" i="70" s="1"/>
  <c r="Q14" i="70"/>
  <c r="W14" i="70" s="1"/>
  <c r="N8" i="71"/>
  <c r="I8" i="9"/>
  <c r="S8" i="9" s="1"/>
  <c r="Q18" i="9"/>
  <c r="T22" i="9" s="1"/>
  <c r="L50" i="9"/>
  <c r="F53" i="8"/>
  <c r="F18" i="72"/>
  <c r="I18" i="72" s="1"/>
  <c r="AB8" i="72" s="1"/>
  <c r="K25" i="7"/>
  <c r="D7" i="5"/>
  <c r="D10" i="5" s="1"/>
  <c r="N10" i="5" s="1"/>
  <c r="D27" i="4"/>
  <c r="F21" i="6"/>
  <c r="F21" i="51"/>
  <c r="F21" i="5"/>
  <c r="K55" i="22"/>
  <c r="G55" i="22" s="1"/>
  <c r="G52" i="22"/>
  <c r="M55" i="22"/>
  <c r="I55" i="22" s="1"/>
  <c r="I52" i="22"/>
  <c r="F45" i="4"/>
  <c r="C15" i="10"/>
  <c r="C31" i="10" s="1"/>
  <c r="J7" i="5"/>
  <c r="J7" i="51"/>
  <c r="L7" i="70" s="1"/>
  <c r="J7" i="6"/>
  <c r="M10" i="4"/>
  <c r="F52" i="22"/>
  <c r="J55" i="22"/>
  <c r="F55" i="22" s="1"/>
  <c r="F49" i="6"/>
  <c r="O7" i="6"/>
  <c r="F10" i="6"/>
  <c r="O10" i="6" s="1"/>
  <c r="D7" i="6"/>
  <c r="H11" i="4"/>
  <c r="D6" i="76"/>
  <c r="D8" i="76" s="1"/>
  <c r="D6" i="10"/>
  <c r="D8" i="10" s="1"/>
  <c r="L55" i="22"/>
  <c r="H55" i="22" s="1"/>
  <c r="H52" i="22"/>
  <c r="F10" i="51"/>
  <c r="D10" i="51" s="1"/>
  <c r="N10" i="51" s="1"/>
  <c r="F49" i="51"/>
  <c r="H7" i="51"/>
  <c r="O7" i="51"/>
  <c r="L7" i="5"/>
  <c r="L7" i="51"/>
  <c r="L7" i="6"/>
  <c r="O10" i="4"/>
  <c r="N7" i="51"/>
  <c r="D49" i="51"/>
  <c r="F10" i="5"/>
  <c r="O10" i="5" s="1"/>
  <c r="F49" i="5"/>
  <c r="O7" i="5"/>
  <c r="F13" i="5"/>
  <c r="I14" i="4"/>
  <c r="I24" i="4" s="1"/>
  <c r="F13" i="6"/>
  <c r="D17" i="4"/>
  <c r="F13" i="51"/>
  <c r="K14" i="4"/>
  <c r="K24" i="4" s="1"/>
  <c r="D49" i="5"/>
  <c r="O10" i="8"/>
  <c r="H5" i="76"/>
  <c r="H5" i="10"/>
  <c r="M11" i="7"/>
  <c r="I10" i="7"/>
  <c r="F10" i="71"/>
  <c r="I10" i="71" s="1"/>
  <c r="T10" i="71" s="1"/>
  <c r="I7" i="71"/>
  <c r="T7" i="71" s="1"/>
  <c r="J49" i="50"/>
  <c r="J10" i="50"/>
  <c r="O17" i="50"/>
  <c r="G7" i="50"/>
  <c r="O10" i="9"/>
  <c r="L7" i="72"/>
  <c r="J10" i="8"/>
  <c r="G7" i="8"/>
  <c r="Q7" i="8" s="1"/>
  <c r="J49" i="8"/>
  <c r="O17" i="8"/>
  <c r="G48" i="22"/>
  <c r="N7" i="70"/>
  <c r="L10" i="50"/>
  <c r="I7" i="50"/>
  <c r="Q17" i="50"/>
  <c r="T21" i="50" s="1"/>
  <c r="L49" i="50"/>
  <c r="J13" i="50"/>
  <c r="J13" i="9"/>
  <c r="P7" i="70"/>
  <c r="D7" i="71"/>
  <c r="D49" i="9"/>
  <c r="D10" i="9"/>
  <c r="N10" i="9" s="1"/>
  <c r="N7" i="9"/>
  <c r="L7" i="71"/>
  <c r="J10" i="9"/>
  <c r="G7" i="9"/>
  <c r="Q7" i="9" s="1"/>
  <c r="O17" i="9"/>
  <c r="J49" i="9"/>
  <c r="J5" i="76"/>
  <c r="J5" i="10"/>
  <c r="O11" i="7"/>
  <c r="K10" i="7"/>
  <c r="N7" i="71"/>
  <c r="Q17" i="9"/>
  <c r="T21" i="9" s="1"/>
  <c r="I7" i="9"/>
  <c r="S7" i="9" s="1"/>
  <c r="L49" i="9"/>
  <c r="L10" i="9"/>
  <c r="N7" i="72"/>
  <c r="L10" i="8"/>
  <c r="Q17" i="8"/>
  <c r="T21" i="8" s="1"/>
  <c r="I7" i="8"/>
  <c r="S7" i="8" s="1"/>
  <c r="L49" i="8"/>
  <c r="O10" i="50"/>
  <c r="I48" i="22"/>
  <c r="F10" i="70"/>
  <c r="I10" i="70" s="1"/>
  <c r="I7" i="70"/>
  <c r="T7" i="70" s="1"/>
  <c r="F48" i="22"/>
  <c r="F17" i="71"/>
  <c r="F52" i="9"/>
  <c r="F10" i="72"/>
  <c r="I10" i="72" s="1"/>
  <c r="T10" i="72" s="1"/>
  <c r="I7" i="72"/>
  <c r="T7" i="72" s="1"/>
  <c r="D12" i="10"/>
  <c r="H45" i="7"/>
  <c r="G11" i="7"/>
  <c r="I24" i="7"/>
  <c r="H48" i="22"/>
  <c r="E10" i="70"/>
  <c r="Q7" i="70"/>
  <c r="E10" i="71"/>
  <c r="Q7" i="71"/>
  <c r="M228" i="19"/>
  <c r="J23" i="14"/>
  <c r="H228" i="19"/>
  <c r="N228" i="19"/>
  <c r="O228" i="19"/>
  <c r="D6" i="13"/>
  <c r="D23" i="14"/>
  <c r="C7" i="13"/>
  <c r="H26" i="13"/>
  <c r="H28" i="13" s="1"/>
  <c r="L23" i="13"/>
  <c r="E23" i="13" s="1"/>
  <c r="F21" i="9" l="1"/>
  <c r="F19" i="71"/>
  <c r="I19" i="71" s="1"/>
  <c r="AB9" i="71" s="1"/>
  <c r="F54" i="9"/>
  <c r="L15" i="9"/>
  <c r="Q15" i="9" s="1"/>
  <c r="S23" i="9" s="1"/>
  <c r="L15" i="8"/>
  <c r="I15" i="8" s="1"/>
  <c r="AA9" i="8" s="1"/>
  <c r="E15" i="50"/>
  <c r="G27" i="56" s="1"/>
  <c r="Q15" i="50"/>
  <c r="S23" i="50" s="1"/>
  <c r="J27" i="7"/>
  <c r="J28" i="7" s="1"/>
  <c r="G15" i="50"/>
  <c r="Y9" i="50" s="1"/>
  <c r="O23" i="50"/>
  <c r="O4" i="50"/>
  <c r="J54" i="50"/>
  <c r="J23" i="9"/>
  <c r="J60" i="50"/>
  <c r="I15" i="50"/>
  <c r="AA9" i="50" s="1"/>
  <c r="L27" i="70"/>
  <c r="Q27" i="70" s="1"/>
  <c r="X15" i="70" s="1"/>
  <c r="L54" i="50"/>
  <c r="D15" i="50"/>
  <c r="AK9" i="50" s="1"/>
  <c r="J23" i="8"/>
  <c r="J60" i="8" s="1"/>
  <c r="F54" i="50"/>
  <c r="F19" i="70"/>
  <c r="I19" i="70" s="1"/>
  <c r="AB9" i="70" s="1"/>
  <c r="F16" i="50"/>
  <c r="L19" i="71"/>
  <c r="D19" i="71" s="1"/>
  <c r="AM9" i="71" s="1"/>
  <c r="F23" i="8"/>
  <c r="F23" i="9"/>
  <c r="F24" i="9" s="1"/>
  <c r="F23" i="50"/>
  <c r="G23" i="50" s="1"/>
  <c r="L54" i="9"/>
  <c r="K26" i="7"/>
  <c r="K27" i="7" s="1"/>
  <c r="AG5" i="76" s="1"/>
  <c r="F17" i="72"/>
  <c r="F20" i="72" s="1"/>
  <c r="I20" i="72" s="1"/>
  <c r="AB10" i="72" s="1"/>
  <c r="L13" i="50"/>
  <c r="Q13" i="50" s="1"/>
  <c r="S21" i="50" s="1"/>
  <c r="F52" i="8"/>
  <c r="L21" i="9"/>
  <c r="L58" i="9" s="1"/>
  <c r="L5" i="10"/>
  <c r="L5" i="76"/>
  <c r="I17" i="7"/>
  <c r="P5" i="76" s="1"/>
  <c r="L21" i="50"/>
  <c r="Q21" i="50" s="1"/>
  <c r="V21" i="50" s="1"/>
  <c r="L13" i="9"/>
  <c r="I13" i="9" s="1"/>
  <c r="AA7" i="9" s="1"/>
  <c r="K17" i="7"/>
  <c r="R5" i="10" s="1"/>
  <c r="L13" i="8"/>
  <c r="E13" i="8" s="1"/>
  <c r="J17" i="7"/>
  <c r="J18" i="7" s="1"/>
  <c r="F21" i="50"/>
  <c r="F25" i="70" s="1"/>
  <c r="F17" i="70"/>
  <c r="I17" i="70" s="1"/>
  <c r="AB7" i="70" s="1"/>
  <c r="F21" i="8"/>
  <c r="F25" i="72" s="1"/>
  <c r="D15" i="9"/>
  <c r="AK9" i="9" s="1"/>
  <c r="O15" i="9"/>
  <c r="E15" i="8"/>
  <c r="G15" i="9"/>
  <c r="Y9" i="9" s="1"/>
  <c r="Q15" i="8"/>
  <c r="S23" i="8" s="1"/>
  <c r="O4" i="9"/>
  <c r="Q10" i="71"/>
  <c r="I49" i="22"/>
  <c r="M51" i="22"/>
  <c r="I51" i="22" s="1"/>
  <c r="G49" i="22"/>
  <c r="K51" i="22"/>
  <c r="G51" i="22" s="1"/>
  <c r="H49" i="22"/>
  <c r="L51" i="22"/>
  <c r="H51" i="22" s="1"/>
  <c r="S9" i="50"/>
  <c r="G20" i="56"/>
  <c r="H19" i="72"/>
  <c r="AA9" i="72" s="1"/>
  <c r="Q4" i="72"/>
  <c r="D19" i="72"/>
  <c r="AM9" i="72" s="1"/>
  <c r="J19" i="70"/>
  <c r="AC9" i="70" s="1"/>
  <c r="S19" i="70"/>
  <c r="U27" i="70" s="1"/>
  <c r="E19" i="70"/>
  <c r="E27" i="70" s="1"/>
  <c r="AO9" i="70" s="1"/>
  <c r="J9" i="71"/>
  <c r="U9" i="71" s="1"/>
  <c r="S15" i="71"/>
  <c r="W27" i="71" s="1"/>
  <c r="AL15" i="71" s="1"/>
  <c r="S23" i="71"/>
  <c r="V27" i="71" s="1"/>
  <c r="AK15" i="71" s="1"/>
  <c r="E23" i="71"/>
  <c r="Q4" i="70"/>
  <c r="Q19" i="70"/>
  <c r="U15" i="70" s="1"/>
  <c r="D19" i="70"/>
  <c r="AM9" i="70" s="1"/>
  <c r="J9" i="72"/>
  <c r="U9" i="72" s="1"/>
  <c r="E23" i="72"/>
  <c r="S15" i="72"/>
  <c r="J9" i="70"/>
  <c r="U9" i="70" s="1"/>
  <c r="S23" i="70"/>
  <c r="V27" i="70" s="1"/>
  <c r="AK15" i="70" s="1"/>
  <c r="E23" i="70"/>
  <c r="S15" i="70"/>
  <c r="W27" i="70" s="1"/>
  <c r="AL15" i="70" s="1"/>
  <c r="F26" i="72"/>
  <c r="I26" i="72" s="1"/>
  <c r="AJ8" i="72" s="1"/>
  <c r="F59" i="8"/>
  <c r="S22" i="71"/>
  <c r="V26" i="71" s="1"/>
  <c r="AK14" i="71" s="1"/>
  <c r="S14" i="71"/>
  <c r="W26" i="71" s="1"/>
  <c r="AL14" i="71" s="1"/>
  <c r="E22" i="71"/>
  <c r="J8" i="71"/>
  <c r="U8" i="71" s="1"/>
  <c r="S22" i="70"/>
  <c r="V26" i="70" s="1"/>
  <c r="AK14" i="70" s="1"/>
  <c r="J8" i="70"/>
  <c r="U8" i="70" s="1"/>
  <c r="S14" i="70"/>
  <c r="W26" i="70" s="1"/>
  <c r="AL14" i="70" s="1"/>
  <c r="E22" i="70"/>
  <c r="L22" i="50"/>
  <c r="L22" i="9"/>
  <c r="L22" i="8"/>
  <c r="I14" i="9"/>
  <c r="AA8" i="9" s="1"/>
  <c r="L53" i="9"/>
  <c r="Q14" i="9"/>
  <c r="S22" i="9" s="1"/>
  <c r="E14" i="9"/>
  <c r="N18" i="71"/>
  <c r="N18" i="72"/>
  <c r="L53" i="8"/>
  <c r="Q14" i="8"/>
  <c r="S22" i="8" s="1"/>
  <c r="E14" i="8"/>
  <c r="I14" i="8"/>
  <c r="AA8" i="8" s="1"/>
  <c r="J22" i="9"/>
  <c r="J22" i="50"/>
  <c r="J22" i="8"/>
  <c r="N18" i="70"/>
  <c r="E14" i="50"/>
  <c r="G26" i="56" s="1"/>
  <c r="I14" i="50"/>
  <c r="AA8" i="50" s="1"/>
  <c r="L53" i="50"/>
  <c r="Q14" i="50"/>
  <c r="S22" i="50" s="1"/>
  <c r="O3" i="8"/>
  <c r="L18" i="72"/>
  <c r="J53" i="8"/>
  <c r="O14" i="8"/>
  <c r="D14" i="8"/>
  <c r="AK8" i="8" s="1"/>
  <c r="G14" i="8"/>
  <c r="Y8" i="8" s="1"/>
  <c r="J8" i="72"/>
  <c r="U8" i="72" s="1"/>
  <c r="E22" i="72"/>
  <c r="S14" i="72"/>
  <c r="F59" i="50"/>
  <c r="F26" i="70"/>
  <c r="I26" i="70" s="1"/>
  <c r="AJ8" i="70" s="1"/>
  <c r="J53" i="50"/>
  <c r="O14" i="50"/>
  <c r="D14" i="50"/>
  <c r="L18" i="70"/>
  <c r="G14" i="50"/>
  <c r="O3" i="50"/>
  <c r="G19" i="56"/>
  <c r="S8" i="50"/>
  <c r="F59" i="9"/>
  <c r="F26" i="71"/>
  <c r="I26" i="71" s="1"/>
  <c r="AJ8" i="71" s="1"/>
  <c r="L18" i="71"/>
  <c r="G14" i="9"/>
  <c r="Y8" i="9" s="1"/>
  <c r="O3" i="9"/>
  <c r="J53" i="9"/>
  <c r="O14" i="9"/>
  <c r="D14" i="9"/>
  <c r="AK8" i="9" s="1"/>
  <c r="N7" i="5"/>
  <c r="B52" i="10"/>
  <c r="F8" i="10"/>
  <c r="H56" i="22" s="1"/>
  <c r="E12" i="41"/>
  <c r="D16" i="10"/>
  <c r="E25" i="13" s="1"/>
  <c r="E56" i="22"/>
  <c r="D5" i="42"/>
  <c r="D16" i="76"/>
  <c r="F16" i="76" s="1"/>
  <c r="F8" i="76"/>
  <c r="L21" i="51"/>
  <c r="L21" i="5"/>
  <c r="K27" i="4"/>
  <c r="L21" i="6"/>
  <c r="J21" i="6"/>
  <c r="J21" i="51"/>
  <c r="J21" i="5"/>
  <c r="I27" i="4"/>
  <c r="D13" i="10"/>
  <c r="D15" i="10" s="1"/>
  <c r="H45" i="4"/>
  <c r="D10" i="6"/>
  <c r="N10" i="6" s="1"/>
  <c r="D49" i="6"/>
  <c r="N7" i="6"/>
  <c r="F16" i="5"/>
  <c r="F52" i="5"/>
  <c r="O17" i="5"/>
  <c r="J49" i="5"/>
  <c r="G7" i="5"/>
  <c r="Q7" i="5" s="1"/>
  <c r="J10" i="5"/>
  <c r="J49" i="6"/>
  <c r="G7" i="6"/>
  <c r="Q7" i="6" s="1"/>
  <c r="J10" i="6"/>
  <c r="O17" i="6"/>
  <c r="O10" i="51"/>
  <c r="H10" i="51"/>
  <c r="R10" i="51" s="1"/>
  <c r="D7" i="72"/>
  <c r="D10" i="72" s="1"/>
  <c r="P10" i="72" s="1"/>
  <c r="L10" i="51"/>
  <c r="I7" i="51"/>
  <c r="Q17" i="51"/>
  <c r="T21" i="51" s="1"/>
  <c r="L49" i="51"/>
  <c r="C32" i="10"/>
  <c r="G21" i="79"/>
  <c r="F58" i="5"/>
  <c r="F24" i="5"/>
  <c r="L6" i="76"/>
  <c r="D18" i="4"/>
  <c r="L6" i="10"/>
  <c r="F52" i="6"/>
  <c r="F16" i="6"/>
  <c r="J13" i="6"/>
  <c r="L17" i="72" s="1"/>
  <c r="J13" i="51"/>
  <c r="J13" i="5"/>
  <c r="L17" i="71" s="1"/>
  <c r="I17" i="4"/>
  <c r="O11" i="4"/>
  <c r="J6" i="76"/>
  <c r="J8" i="76" s="1"/>
  <c r="J6" i="10"/>
  <c r="J8" i="10" s="1"/>
  <c r="K10" i="4"/>
  <c r="J49" i="51"/>
  <c r="G7" i="51"/>
  <c r="J10" i="51"/>
  <c r="O17" i="51"/>
  <c r="I7" i="6"/>
  <c r="S7" i="6" s="1"/>
  <c r="L10" i="6"/>
  <c r="Q17" i="6"/>
  <c r="T21" i="6" s="1"/>
  <c r="L49" i="6"/>
  <c r="L13" i="6"/>
  <c r="L13" i="51"/>
  <c r="L13" i="5"/>
  <c r="K17" i="4"/>
  <c r="Q17" i="5"/>
  <c r="T21" i="5" s="1"/>
  <c r="L49" i="5"/>
  <c r="I7" i="5"/>
  <c r="S7" i="5" s="1"/>
  <c r="L10" i="5"/>
  <c r="D11" i="4"/>
  <c r="D45" i="4" s="1"/>
  <c r="F58" i="51"/>
  <c r="F24" i="51"/>
  <c r="F52" i="51"/>
  <c r="F16" i="51"/>
  <c r="G11" i="4"/>
  <c r="F58" i="6"/>
  <c r="F24" i="6"/>
  <c r="R7" i="51"/>
  <c r="E21" i="56"/>
  <c r="H6" i="76"/>
  <c r="H8" i="76" s="1"/>
  <c r="H16" i="76" s="1"/>
  <c r="H6" i="10"/>
  <c r="H8" i="10" s="1"/>
  <c r="I10" i="4"/>
  <c r="M11" i="4"/>
  <c r="D28" i="4"/>
  <c r="AA6" i="76"/>
  <c r="AA6" i="10"/>
  <c r="Q10" i="70"/>
  <c r="J21" i="50"/>
  <c r="J21" i="9"/>
  <c r="I27" i="7"/>
  <c r="J21" i="8"/>
  <c r="J16" i="8"/>
  <c r="J52" i="8"/>
  <c r="G13" i="8"/>
  <c r="Y7" i="8" s="1"/>
  <c r="O2" i="8"/>
  <c r="O13" i="8"/>
  <c r="D13" i="8"/>
  <c r="AK7" i="8" s="1"/>
  <c r="F25" i="71"/>
  <c r="F58" i="9"/>
  <c r="P5" i="10"/>
  <c r="I18" i="7"/>
  <c r="F17" i="7"/>
  <c r="H12" i="10"/>
  <c r="M45" i="7"/>
  <c r="I11" i="7"/>
  <c r="E12" i="10" s="1"/>
  <c r="L52" i="9"/>
  <c r="L16" i="9"/>
  <c r="E21" i="71"/>
  <c r="N10" i="71"/>
  <c r="S21" i="71"/>
  <c r="V25" i="71" s="1"/>
  <c r="AK13" i="71" s="1"/>
  <c r="J7" i="71"/>
  <c r="U7" i="71" s="1"/>
  <c r="S13" i="71"/>
  <c r="W25" i="71" s="1"/>
  <c r="AL13" i="71" s="1"/>
  <c r="L12" i="10"/>
  <c r="D46" i="7"/>
  <c r="P7" i="71"/>
  <c r="D10" i="71"/>
  <c r="P10" i="71" s="1"/>
  <c r="N25" i="72"/>
  <c r="Q21" i="8"/>
  <c r="V21" i="8" s="1"/>
  <c r="L58" i="8"/>
  <c r="Q10" i="72"/>
  <c r="AT8" i="70"/>
  <c r="T10" i="70"/>
  <c r="I10" i="8"/>
  <c r="S10" i="8" s="1"/>
  <c r="Q20" i="8"/>
  <c r="T24" i="8" s="1"/>
  <c r="G18" i="56"/>
  <c r="S7" i="50"/>
  <c r="C18" i="56"/>
  <c r="Q7" i="50"/>
  <c r="AA5" i="76"/>
  <c r="AA5" i="10"/>
  <c r="D28" i="7"/>
  <c r="E21" i="72"/>
  <c r="N10" i="72"/>
  <c r="J7" i="72"/>
  <c r="U7" i="72" s="1"/>
  <c r="S13" i="72"/>
  <c r="D10" i="70"/>
  <c r="P10" i="70" s="1"/>
  <c r="I10" i="50"/>
  <c r="S10" i="50" s="1"/>
  <c r="Q20" i="50"/>
  <c r="T24" i="50" s="1"/>
  <c r="O20" i="8"/>
  <c r="G10" i="8"/>
  <c r="Q10" i="8" s="1"/>
  <c r="I10" i="9"/>
  <c r="S10" i="9" s="1"/>
  <c r="Q20" i="9"/>
  <c r="T24" i="9" s="1"/>
  <c r="G5" i="76"/>
  <c r="G5" i="10"/>
  <c r="O20" i="9"/>
  <c r="G10" i="9"/>
  <c r="Q10" i="9" s="1"/>
  <c r="G13" i="9"/>
  <c r="Y7" i="9" s="1"/>
  <c r="O2" i="9"/>
  <c r="J16" i="9"/>
  <c r="O13" i="9"/>
  <c r="D13" i="9"/>
  <c r="AK7" i="9" s="1"/>
  <c r="J52" i="9"/>
  <c r="J7" i="70"/>
  <c r="U7" i="70" s="1"/>
  <c r="E21" i="70"/>
  <c r="S13" i="70"/>
  <c r="W25" i="70" s="1"/>
  <c r="AL13" i="70" s="1"/>
  <c r="N10" i="70"/>
  <c r="S21" i="70"/>
  <c r="V25" i="70" s="1"/>
  <c r="AK13" i="70" s="1"/>
  <c r="Q13" i="72"/>
  <c r="W13" i="72" s="1"/>
  <c r="L10" i="72"/>
  <c r="H7" i="72"/>
  <c r="S7" i="72" s="1"/>
  <c r="O20" i="50"/>
  <c r="G10" i="50"/>
  <c r="Q10" i="50" s="1"/>
  <c r="I12" i="41"/>
  <c r="F20" i="71"/>
  <c r="I20" i="71" s="1"/>
  <c r="AB10" i="71" s="1"/>
  <c r="I17" i="71"/>
  <c r="AB7" i="71" s="1"/>
  <c r="K11" i="7"/>
  <c r="G12" i="10" s="1"/>
  <c r="J12" i="10"/>
  <c r="O45" i="7"/>
  <c r="Q21" i="71"/>
  <c r="V13" i="71" s="1"/>
  <c r="H7" i="71"/>
  <c r="S7" i="71" s="1"/>
  <c r="Q13" i="71"/>
  <c r="W13" i="71" s="1"/>
  <c r="L10" i="71"/>
  <c r="J52" i="50"/>
  <c r="D13" i="50"/>
  <c r="J16" i="50"/>
  <c r="O13" i="50"/>
  <c r="O2" i="50"/>
  <c r="G13" i="50"/>
  <c r="Q21" i="70"/>
  <c r="V13" i="70" s="1"/>
  <c r="H7" i="70"/>
  <c r="S7" i="70" s="1"/>
  <c r="Q13" i="70"/>
  <c r="W13" i="70" s="1"/>
  <c r="L10" i="70"/>
  <c r="E5" i="76"/>
  <c r="E5" i="10"/>
  <c r="K23" i="14"/>
  <c r="I228" i="19"/>
  <c r="K228" i="19"/>
  <c r="M23" i="14"/>
  <c r="L23" i="14"/>
  <c r="J228" i="19"/>
  <c r="F6" i="13"/>
  <c r="J6" i="13" s="1"/>
  <c r="F23" i="14"/>
  <c r="C11" i="13"/>
  <c r="AT15" i="70"/>
  <c r="I23" i="41"/>
  <c r="D7" i="13"/>
  <c r="D10" i="13" s="1"/>
  <c r="E10" i="13" s="1"/>
  <c r="D9" i="13"/>
  <c r="E9" i="13" s="1"/>
  <c r="L17" i="7" l="1"/>
  <c r="N19" i="71"/>
  <c r="E13" i="50"/>
  <c r="G25" i="56" s="1"/>
  <c r="L52" i="50"/>
  <c r="AF5" i="10"/>
  <c r="AF8" i="10" s="1"/>
  <c r="AF16" i="10" s="1"/>
  <c r="I17" i="72"/>
  <c r="AB7" i="72" s="1"/>
  <c r="AF5" i="76"/>
  <c r="AF8" i="76" s="1"/>
  <c r="I13" i="8"/>
  <c r="AA7" i="8" s="1"/>
  <c r="N25" i="71"/>
  <c r="I13" i="50"/>
  <c r="AA7" i="50" s="1"/>
  <c r="L16" i="50"/>
  <c r="I16" i="50" s="1"/>
  <c r="AA10" i="50" s="1"/>
  <c r="I21" i="9"/>
  <c r="AI7" i="9" s="1"/>
  <c r="Q21" i="9"/>
  <c r="V21" i="9" s="1"/>
  <c r="Q13" i="8"/>
  <c r="S21" i="8" s="1"/>
  <c r="W21" i="8" s="1"/>
  <c r="L27" i="72"/>
  <c r="E6" i="56"/>
  <c r="O23" i="8"/>
  <c r="C27" i="56"/>
  <c r="AG9" i="50"/>
  <c r="Q5" i="76"/>
  <c r="Q8" i="76" s="1"/>
  <c r="N19" i="72"/>
  <c r="L8" i="10"/>
  <c r="L16" i="10" s="1"/>
  <c r="L43" i="10" s="1"/>
  <c r="C6" i="56"/>
  <c r="L54" i="8"/>
  <c r="I15" i="9"/>
  <c r="AA9" i="9" s="1"/>
  <c r="E15" i="9"/>
  <c r="F27" i="72"/>
  <c r="I27" i="72" s="1"/>
  <c r="AJ9" i="72" s="1"/>
  <c r="F60" i="8"/>
  <c r="G23" i="9"/>
  <c r="AG9" i="9" s="1"/>
  <c r="J60" i="9"/>
  <c r="L27" i="71"/>
  <c r="H17" i="7"/>
  <c r="O5" i="76" s="1"/>
  <c r="Q19" i="71"/>
  <c r="U15" i="71" s="1"/>
  <c r="F20" i="70"/>
  <c r="I20" i="70" s="1"/>
  <c r="AB10" i="70" s="1"/>
  <c r="H19" i="71"/>
  <c r="AA9" i="71" s="1"/>
  <c r="G23" i="8"/>
  <c r="AG9" i="8" s="1"/>
  <c r="L23" i="9"/>
  <c r="L23" i="50"/>
  <c r="L24" i="50" s="1"/>
  <c r="Q24" i="50" s="1"/>
  <c r="V24" i="50" s="1"/>
  <c r="L23" i="8"/>
  <c r="L24" i="8" s="1"/>
  <c r="H19" i="70"/>
  <c r="AA9" i="70" s="1"/>
  <c r="Q4" i="71"/>
  <c r="O23" i="9"/>
  <c r="F27" i="70"/>
  <c r="F60" i="50"/>
  <c r="F27" i="71"/>
  <c r="I27" i="71" s="1"/>
  <c r="AJ9" i="71" s="1"/>
  <c r="F60" i="9"/>
  <c r="I21" i="8"/>
  <c r="AI7" i="8" s="1"/>
  <c r="F24" i="8"/>
  <c r="F58" i="8"/>
  <c r="N25" i="70"/>
  <c r="J25" i="70" s="1"/>
  <c r="AK7" i="70" s="1"/>
  <c r="L8" i="76"/>
  <c r="L16" i="76" s="1"/>
  <c r="L27" i="76" s="1"/>
  <c r="Q5" i="10"/>
  <c r="Q8" i="10" s="1"/>
  <c r="Q16" i="10" s="1"/>
  <c r="L52" i="8"/>
  <c r="L16" i="8"/>
  <c r="E16" i="8" s="1"/>
  <c r="E13" i="9"/>
  <c r="K18" i="7"/>
  <c r="K46" i="7" s="1"/>
  <c r="Q13" i="9"/>
  <c r="S21" i="9" s="1"/>
  <c r="K28" i="7"/>
  <c r="H28" i="7" s="1"/>
  <c r="AD12" i="10" s="1"/>
  <c r="AG5" i="10"/>
  <c r="R5" i="76"/>
  <c r="N17" i="71"/>
  <c r="J17" i="71" s="1"/>
  <c r="AC7" i="71" s="1"/>
  <c r="H27" i="7"/>
  <c r="AD5" i="10" s="1"/>
  <c r="M17" i="7"/>
  <c r="AJ5" i="10" s="1"/>
  <c r="I21" i="50"/>
  <c r="AI7" i="50" s="1"/>
  <c r="L58" i="50"/>
  <c r="F58" i="50"/>
  <c r="F24" i="50"/>
  <c r="G17" i="7"/>
  <c r="N5" i="76" s="1"/>
  <c r="P7" i="72"/>
  <c r="D43" i="10"/>
  <c r="F52" i="10"/>
  <c r="I52" i="10" s="1"/>
  <c r="I54" i="10" s="1"/>
  <c r="W21" i="50"/>
  <c r="E11" i="14"/>
  <c r="E16" i="14" s="1"/>
  <c r="K16" i="14" s="1"/>
  <c r="B54" i="10"/>
  <c r="I13" i="41" s="1"/>
  <c r="I11" i="41" s="1"/>
  <c r="I9" i="41" s="1"/>
  <c r="D18" i="42" s="1"/>
  <c r="F16" i="10"/>
  <c r="H25" i="13" s="1"/>
  <c r="F5" i="42"/>
  <c r="Y15" i="70"/>
  <c r="D27" i="76"/>
  <c r="AJ15" i="70"/>
  <c r="Y8" i="50"/>
  <c r="E5" i="56"/>
  <c r="N26" i="70"/>
  <c r="L59" i="50"/>
  <c r="I22" i="50"/>
  <c r="AI8" i="50" s="1"/>
  <c r="Q22" i="50"/>
  <c r="V22" i="50" s="1"/>
  <c r="W22" i="50" s="1"/>
  <c r="D18" i="70"/>
  <c r="AM8" i="70" s="1"/>
  <c r="Q3" i="70"/>
  <c r="Q18" i="70"/>
  <c r="U14" i="70" s="1"/>
  <c r="H18" i="70"/>
  <c r="AA8" i="70" s="1"/>
  <c r="H18" i="71"/>
  <c r="AA8" i="71" s="1"/>
  <c r="Q3" i="71"/>
  <c r="Q18" i="71"/>
  <c r="U14" i="71" s="1"/>
  <c r="D18" i="71"/>
  <c r="AM8" i="71" s="1"/>
  <c r="C5" i="56"/>
  <c r="AK8" i="50"/>
  <c r="Q22" i="8"/>
  <c r="V22" i="8" s="1"/>
  <c r="W22" i="8" s="1"/>
  <c r="N26" i="72"/>
  <c r="J26" i="72" s="1"/>
  <c r="AK8" i="72" s="1"/>
  <c r="L59" i="8"/>
  <c r="I22" i="8"/>
  <c r="AI8" i="8" s="1"/>
  <c r="E18" i="70"/>
  <c r="E26" i="70" s="1"/>
  <c r="AO8" i="70" s="1"/>
  <c r="J18" i="70"/>
  <c r="AC8" i="70" s="1"/>
  <c r="S18" i="70"/>
  <c r="U26" i="70" s="1"/>
  <c r="L26" i="71"/>
  <c r="J59" i="9"/>
  <c r="G22" i="9"/>
  <c r="AG8" i="9" s="1"/>
  <c r="O22" i="9"/>
  <c r="I22" i="9"/>
  <c r="AI8" i="9" s="1"/>
  <c r="Q22" i="9"/>
  <c r="V22" i="9" s="1"/>
  <c r="W22" i="9" s="1"/>
  <c r="N26" i="71"/>
  <c r="L59" i="9"/>
  <c r="J18" i="72"/>
  <c r="AC8" i="72" s="1"/>
  <c r="E18" i="72"/>
  <c r="E26" i="72" s="1"/>
  <c r="AO8" i="72" s="1"/>
  <c r="G22" i="8"/>
  <c r="AG8" i="8" s="1"/>
  <c r="O22" i="8"/>
  <c r="L26" i="72"/>
  <c r="H26" i="72" s="1"/>
  <c r="AI8" i="72" s="1"/>
  <c r="J59" i="8"/>
  <c r="J18" i="71"/>
  <c r="AC8" i="71" s="1"/>
  <c r="S18" i="71"/>
  <c r="U26" i="71" s="1"/>
  <c r="E18" i="71"/>
  <c r="E26" i="71" s="1"/>
  <c r="AO8" i="71" s="1"/>
  <c r="D18" i="72"/>
  <c r="AM8" i="72" s="1"/>
  <c r="Q3" i="72"/>
  <c r="H18" i="72"/>
  <c r="AA8" i="72" s="1"/>
  <c r="O22" i="50"/>
  <c r="L26" i="70"/>
  <c r="J59" i="50"/>
  <c r="G22" i="50"/>
  <c r="G8" i="76"/>
  <c r="J16" i="76"/>
  <c r="J27" i="76" s="1"/>
  <c r="G8" i="10"/>
  <c r="G52" i="10" s="1"/>
  <c r="J52" i="10" s="1"/>
  <c r="M56" i="22"/>
  <c r="M59" i="22" s="1"/>
  <c r="E17" i="41"/>
  <c r="J16" i="10"/>
  <c r="M11" i="14" s="1"/>
  <c r="E15" i="41"/>
  <c r="K56" i="22"/>
  <c r="K59" i="22" s="1"/>
  <c r="E8" i="10"/>
  <c r="E52" i="10" s="1"/>
  <c r="H52" i="10" s="1"/>
  <c r="H16" i="10"/>
  <c r="E16" i="10" s="1"/>
  <c r="E21" i="14"/>
  <c r="B53" i="10"/>
  <c r="F13" i="41" s="1"/>
  <c r="G13" i="41" s="1"/>
  <c r="D31" i="10"/>
  <c r="D32" i="10" s="1"/>
  <c r="F15" i="10"/>
  <c r="K21" i="79" s="1"/>
  <c r="E5" i="42"/>
  <c r="E9" i="33"/>
  <c r="F12" i="41"/>
  <c r="G12" i="41" s="1"/>
  <c r="I21" i="79"/>
  <c r="H21" i="79" s="1"/>
  <c r="P6" i="76"/>
  <c r="P8" i="76" s="1"/>
  <c r="P6" i="10"/>
  <c r="P8" i="10" s="1"/>
  <c r="F17" i="4"/>
  <c r="L17" i="4"/>
  <c r="I18" i="4"/>
  <c r="I10" i="51"/>
  <c r="S10" i="51" s="1"/>
  <c r="Q20" i="51"/>
  <c r="T24" i="51" s="1"/>
  <c r="O20" i="51"/>
  <c r="G10" i="51"/>
  <c r="Q10" i="51" s="1"/>
  <c r="I10" i="5"/>
  <c r="S10" i="5" s="1"/>
  <c r="Q20" i="5"/>
  <c r="T24" i="5" s="1"/>
  <c r="O13" i="51"/>
  <c r="D13" i="51"/>
  <c r="O2" i="51"/>
  <c r="J52" i="51"/>
  <c r="J16" i="51"/>
  <c r="G13" i="51"/>
  <c r="J58" i="51"/>
  <c r="G21" i="51"/>
  <c r="O21" i="51"/>
  <c r="J24" i="51"/>
  <c r="D48" i="4"/>
  <c r="AA13" i="10"/>
  <c r="J52" i="6"/>
  <c r="O2" i="6"/>
  <c r="J16" i="6"/>
  <c r="O13" i="6"/>
  <c r="G13" i="6"/>
  <c r="Y7" i="6" s="1"/>
  <c r="D13" i="6"/>
  <c r="AK7" i="6" s="1"/>
  <c r="J58" i="6"/>
  <c r="O21" i="6"/>
  <c r="G21" i="6"/>
  <c r="AG7" i="6" s="1"/>
  <c r="J24" i="6"/>
  <c r="L16" i="6"/>
  <c r="I13" i="6"/>
  <c r="AA7" i="6" s="1"/>
  <c r="Q13" i="6"/>
  <c r="S21" i="6" s="1"/>
  <c r="L52" i="6"/>
  <c r="E13" i="6"/>
  <c r="O13" i="5"/>
  <c r="D13" i="5"/>
  <c r="AK7" i="5" s="1"/>
  <c r="J52" i="5"/>
  <c r="O2" i="5"/>
  <c r="J16" i="5"/>
  <c r="G13" i="5"/>
  <c r="Y7" i="5" s="1"/>
  <c r="O21" i="5"/>
  <c r="J24" i="5"/>
  <c r="J58" i="5"/>
  <c r="G21" i="5"/>
  <c r="AG7" i="5" s="1"/>
  <c r="H13" i="10"/>
  <c r="H15" i="10" s="1"/>
  <c r="M45" i="4"/>
  <c r="I11" i="4"/>
  <c r="E13" i="10" s="1"/>
  <c r="G6" i="76"/>
  <c r="G6" i="10"/>
  <c r="I21" i="6"/>
  <c r="AI7" i="6" s="1"/>
  <c r="Q21" i="6"/>
  <c r="V21" i="6" s="1"/>
  <c r="L24" i="6"/>
  <c r="L58" i="6"/>
  <c r="L16" i="51"/>
  <c r="I13" i="51"/>
  <c r="AA7" i="51" s="1"/>
  <c r="Q13" i="51"/>
  <c r="S21" i="51" s="1"/>
  <c r="L52" i="51"/>
  <c r="E13" i="51"/>
  <c r="G28" i="56" s="1"/>
  <c r="H27" i="56" s="1"/>
  <c r="F27" i="4"/>
  <c r="I28" i="4"/>
  <c r="AE6" i="76"/>
  <c r="AE6" i="10"/>
  <c r="C21" i="56"/>
  <c r="D20" i="56" s="1"/>
  <c r="Q7" i="51"/>
  <c r="N17" i="70"/>
  <c r="J17" i="70" s="1"/>
  <c r="AC7" i="70" s="1"/>
  <c r="N17" i="72"/>
  <c r="E17" i="72" s="1"/>
  <c r="E25" i="72" s="1"/>
  <c r="AO7" i="72" s="1"/>
  <c r="E6" i="76"/>
  <c r="E6" i="10"/>
  <c r="G10" i="5"/>
  <c r="Q10" i="5" s="1"/>
  <c r="O20" i="5"/>
  <c r="K28" i="4"/>
  <c r="AG6" i="76"/>
  <c r="AG8" i="76" s="1"/>
  <c r="AG6" i="10"/>
  <c r="H27" i="4"/>
  <c r="F18" i="56"/>
  <c r="G32" i="56" s="1"/>
  <c r="F22" i="56"/>
  <c r="G36" i="56" s="1"/>
  <c r="F20" i="56"/>
  <c r="G34" i="56" s="1"/>
  <c r="F23" i="56"/>
  <c r="G37" i="56" s="1"/>
  <c r="F21" i="56"/>
  <c r="G35" i="56" s="1"/>
  <c r="F19" i="56"/>
  <c r="G33" i="56" s="1"/>
  <c r="AA8" i="10"/>
  <c r="AC8" i="10" s="1"/>
  <c r="E8" i="76"/>
  <c r="H17" i="4"/>
  <c r="K18" i="4"/>
  <c r="R6" i="10"/>
  <c r="R8" i="10" s="1"/>
  <c r="M17" i="4"/>
  <c r="AJ6" i="10" s="1"/>
  <c r="R6" i="76"/>
  <c r="Q20" i="6"/>
  <c r="T24" i="6" s="1"/>
  <c r="I10" i="6"/>
  <c r="S10" i="6" s="1"/>
  <c r="L24" i="5"/>
  <c r="L58" i="5"/>
  <c r="I21" i="5"/>
  <c r="AI7" i="5" s="1"/>
  <c r="Q21" i="5"/>
  <c r="V21" i="5" s="1"/>
  <c r="O20" i="6"/>
  <c r="G10" i="6"/>
  <c r="Q10" i="6" s="1"/>
  <c r="L17" i="70"/>
  <c r="Q17" i="70" s="1"/>
  <c r="U13" i="70" s="1"/>
  <c r="AA8" i="76"/>
  <c r="AA16" i="76" s="1"/>
  <c r="AA27" i="76" s="1"/>
  <c r="Q13" i="5"/>
  <c r="S21" i="5" s="1"/>
  <c r="L52" i="5"/>
  <c r="E13" i="5"/>
  <c r="L16" i="5"/>
  <c r="I13" i="5"/>
  <c r="AA7" i="5" s="1"/>
  <c r="O45" i="4"/>
  <c r="J13" i="10"/>
  <c r="J15" i="10" s="1"/>
  <c r="K11" i="4"/>
  <c r="G13" i="10" s="1"/>
  <c r="D46" i="4"/>
  <c r="L13" i="10"/>
  <c r="L15" i="10" s="1"/>
  <c r="S7" i="51"/>
  <c r="G21" i="56"/>
  <c r="H20" i="56" s="1"/>
  <c r="I21" i="51"/>
  <c r="AI7" i="51" s="1"/>
  <c r="Q21" i="51"/>
  <c r="V21" i="51" s="1"/>
  <c r="L24" i="51"/>
  <c r="L58" i="51"/>
  <c r="E13" i="41"/>
  <c r="E11" i="41" s="1"/>
  <c r="C52" i="10"/>
  <c r="O5" i="8"/>
  <c r="G16" i="8"/>
  <c r="Y10" i="8" s="1"/>
  <c r="O16" i="8"/>
  <c r="D16" i="8"/>
  <c r="AK10" i="8" s="1"/>
  <c r="S24" i="70"/>
  <c r="V28" i="70" s="1"/>
  <c r="AK16" i="70" s="1"/>
  <c r="S16" i="70"/>
  <c r="W28" i="70" s="1"/>
  <c r="AL16" i="70" s="1"/>
  <c r="E24" i="70"/>
  <c r="J10" i="70"/>
  <c r="Q12" i="10"/>
  <c r="Q15" i="10" s="1"/>
  <c r="J46" i="7"/>
  <c r="G18" i="7"/>
  <c r="N12" i="10" s="1"/>
  <c r="D17" i="72"/>
  <c r="AM7" i="72" s="1"/>
  <c r="H17" i="72"/>
  <c r="AA7" i="72" s="1"/>
  <c r="Q2" i="72"/>
  <c r="L20" i="72"/>
  <c r="Q17" i="72"/>
  <c r="U13" i="72" s="1"/>
  <c r="Y13" i="72" s="1"/>
  <c r="D23" i="56"/>
  <c r="I25" i="70"/>
  <c r="AJ7" i="70" s="1"/>
  <c r="F28" i="70"/>
  <c r="I28" i="70" s="1"/>
  <c r="AJ10" i="70" s="1"/>
  <c r="I16" i="9"/>
  <c r="AA10" i="9" s="1"/>
  <c r="Q16" i="9"/>
  <c r="S24" i="9" s="1"/>
  <c r="E16" i="9"/>
  <c r="I25" i="71"/>
  <c r="AJ7" i="71" s="1"/>
  <c r="Q17" i="71"/>
  <c r="U13" i="71" s="1"/>
  <c r="D17" i="71"/>
  <c r="AM7" i="71" s="1"/>
  <c r="L20" i="71"/>
  <c r="H17" i="71"/>
  <c r="AA7" i="71" s="1"/>
  <c r="Q2" i="71"/>
  <c r="M5" i="10"/>
  <c r="M5" i="76"/>
  <c r="O17" i="7"/>
  <c r="N17" i="7" s="1"/>
  <c r="Q16" i="76"/>
  <c r="H17" i="70"/>
  <c r="AA7" i="70" s="1"/>
  <c r="Q16" i="71"/>
  <c r="W16" i="71" s="1"/>
  <c r="H10" i="71"/>
  <c r="S10" i="71" s="1"/>
  <c r="Q24" i="71"/>
  <c r="V16" i="71" s="1"/>
  <c r="J25" i="71"/>
  <c r="AK7" i="71" s="1"/>
  <c r="S25" i="71"/>
  <c r="X25" i="71" s="1"/>
  <c r="AM13" i="71" s="1"/>
  <c r="E4" i="56"/>
  <c r="Y7" i="50"/>
  <c r="H25" i="56"/>
  <c r="O5" i="50"/>
  <c r="O16" i="50"/>
  <c r="G16" i="50"/>
  <c r="Y10" i="50" s="1"/>
  <c r="D16" i="50"/>
  <c r="AK10" i="50" s="1"/>
  <c r="E24" i="72"/>
  <c r="S16" i="72"/>
  <c r="W28" i="72" s="1"/>
  <c r="J10" i="72"/>
  <c r="U10" i="72" s="1"/>
  <c r="H22" i="56"/>
  <c r="H18" i="56"/>
  <c r="H23" i="56"/>
  <c r="H19" i="56"/>
  <c r="H21" i="56"/>
  <c r="AH5" i="76"/>
  <c r="AH5" i="10"/>
  <c r="L25" i="72"/>
  <c r="G21" i="8"/>
  <c r="AG7" i="8" s="1"/>
  <c r="J58" i="8"/>
  <c r="O21" i="8"/>
  <c r="J24" i="8"/>
  <c r="G16" i="9"/>
  <c r="Y10" i="9" s="1"/>
  <c r="O16" i="9"/>
  <c r="D16" i="9"/>
  <c r="AK10" i="9" s="1"/>
  <c r="O5" i="9"/>
  <c r="AF16" i="76"/>
  <c r="C4" i="56"/>
  <c r="AK7" i="50"/>
  <c r="E17" i="70"/>
  <c r="E25" i="70" s="1"/>
  <c r="AO7" i="70" s="1"/>
  <c r="N20" i="70"/>
  <c r="AA12" i="10"/>
  <c r="AA15" i="10" s="1"/>
  <c r="D48" i="7"/>
  <c r="P12" i="10"/>
  <c r="F18" i="7"/>
  <c r="I46" i="7"/>
  <c r="L18" i="7"/>
  <c r="AE5" i="76"/>
  <c r="AE8" i="76" s="1"/>
  <c r="F27" i="7"/>
  <c r="I28" i="7"/>
  <c r="AE5" i="10"/>
  <c r="AF12" i="10"/>
  <c r="AF15" i="10" s="1"/>
  <c r="J48" i="7"/>
  <c r="H10" i="70"/>
  <c r="Q24" i="70"/>
  <c r="V16" i="70" s="1"/>
  <c r="Q16" i="70"/>
  <c r="W16" i="70" s="1"/>
  <c r="I25" i="72"/>
  <c r="AJ7" i="72" s="1"/>
  <c r="Q16" i="72"/>
  <c r="W16" i="72" s="1"/>
  <c r="H10" i="72"/>
  <c r="S10" i="72" s="1"/>
  <c r="J25" i="72"/>
  <c r="AK7" i="72" s="1"/>
  <c r="S24" i="71"/>
  <c r="V28" i="71" s="1"/>
  <c r="AK16" i="71" s="1"/>
  <c r="E24" i="71"/>
  <c r="S16" i="71"/>
  <c r="W28" i="71" s="1"/>
  <c r="AL16" i="71" s="1"/>
  <c r="J10" i="71"/>
  <c r="U10" i="71" s="1"/>
  <c r="L25" i="71"/>
  <c r="G21" i="9"/>
  <c r="AG7" i="9" s="1"/>
  <c r="O21" i="9"/>
  <c r="J24" i="9"/>
  <c r="J58" i="9"/>
  <c r="H27" i="76"/>
  <c r="E16" i="76"/>
  <c r="O21" i="50"/>
  <c r="L25" i="70"/>
  <c r="J58" i="50"/>
  <c r="J24" i="50"/>
  <c r="G21" i="50"/>
  <c r="G6" i="13"/>
  <c r="G23" i="14"/>
  <c r="E7" i="13"/>
  <c r="E11" i="13" s="1"/>
  <c r="D11" i="13" s="1"/>
  <c r="H6" i="13"/>
  <c r="H23" i="14"/>
  <c r="I23" i="14"/>
  <c r="I6" i="13"/>
  <c r="S19" i="71" l="1"/>
  <c r="U27" i="71" s="1"/>
  <c r="AJ15" i="71" s="1"/>
  <c r="J19" i="71"/>
  <c r="AC9" i="71" s="1"/>
  <c r="E19" i="71"/>
  <c r="E27" i="71" s="1"/>
  <c r="AO9" i="71" s="1"/>
  <c r="N8" i="76"/>
  <c r="W21" i="9"/>
  <c r="S25" i="70"/>
  <c r="X25" i="70" s="1"/>
  <c r="AM13" i="70" s="1"/>
  <c r="D9" i="33"/>
  <c r="E16" i="50"/>
  <c r="Q16" i="50"/>
  <c r="S24" i="50" s="1"/>
  <c r="S17" i="71"/>
  <c r="U25" i="71" s="1"/>
  <c r="F28" i="72"/>
  <c r="I28" i="72" s="1"/>
  <c r="AJ10" i="72" s="1"/>
  <c r="J19" i="72"/>
  <c r="AC9" i="72" s="1"/>
  <c r="E19" i="72"/>
  <c r="E27" i="72" s="1"/>
  <c r="AO9" i="72" s="1"/>
  <c r="N8" i="10"/>
  <c r="F54" i="10" s="1"/>
  <c r="D54" i="10" s="1"/>
  <c r="E22" i="41"/>
  <c r="E21" i="41" s="1"/>
  <c r="I24" i="8"/>
  <c r="AI10" i="8" s="1"/>
  <c r="Q24" i="8"/>
  <c r="V24" i="8" s="1"/>
  <c r="I16" i="8"/>
  <c r="AA10" i="8" s="1"/>
  <c r="K48" i="7"/>
  <c r="F28" i="71"/>
  <c r="I28" i="71" s="1"/>
  <c r="AJ10" i="71" s="1"/>
  <c r="O5" i="10"/>
  <c r="N27" i="71"/>
  <c r="Q23" i="9"/>
  <c r="V23" i="9" s="1"/>
  <c r="W23" i="9" s="1"/>
  <c r="L60" i="9"/>
  <c r="I23" i="9"/>
  <c r="AI9" i="9" s="1"/>
  <c r="L24" i="9"/>
  <c r="R12" i="10"/>
  <c r="R15" i="10" s="1"/>
  <c r="M5" i="14" s="1"/>
  <c r="I27" i="70"/>
  <c r="AJ9" i="70" s="1"/>
  <c r="H27" i="70"/>
  <c r="AI9" i="70" s="1"/>
  <c r="Q23" i="8"/>
  <c r="V23" i="8" s="1"/>
  <c r="W23" i="8" s="1"/>
  <c r="L60" i="8"/>
  <c r="I23" i="8"/>
  <c r="AI9" i="8" s="1"/>
  <c r="N27" i="72"/>
  <c r="J27" i="72" s="1"/>
  <c r="AK9" i="72" s="1"/>
  <c r="L60" i="50"/>
  <c r="I23" i="50"/>
  <c r="AI9" i="50" s="1"/>
  <c r="Q23" i="50"/>
  <c r="V23" i="50" s="1"/>
  <c r="W23" i="50" s="1"/>
  <c r="N27" i="70"/>
  <c r="Q27" i="71"/>
  <c r="X15" i="71" s="1"/>
  <c r="Y15" i="71" s="1"/>
  <c r="H27" i="71"/>
  <c r="AI9" i="71" s="1"/>
  <c r="Q16" i="8"/>
  <c r="S24" i="8" s="1"/>
  <c r="H27" i="72"/>
  <c r="AI9" i="72" s="1"/>
  <c r="AG12" i="10"/>
  <c r="M18" i="7"/>
  <c r="AJ12" i="10" s="1"/>
  <c r="H18" i="7"/>
  <c r="O12" i="10" s="1"/>
  <c r="AG8" i="10"/>
  <c r="E33" i="41" s="1"/>
  <c r="I24" i="50"/>
  <c r="AI10" i="50" s="1"/>
  <c r="N5" i="10"/>
  <c r="R8" i="76"/>
  <c r="AJ8" i="76" s="1"/>
  <c r="CV9" i="76" s="1"/>
  <c r="N20" i="71"/>
  <c r="J20" i="71" s="1"/>
  <c r="AC10" i="71" s="1"/>
  <c r="E17" i="71"/>
  <c r="E25" i="71" s="1"/>
  <c r="AO7" i="71" s="1"/>
  <c r="AD5" i="76"/>
  <c r="S17" i="72"/>
  <c r="N20" i="72"/>
  <c r="E20" i="72" s="1"/>
  <c r="E28" i="72" s="1"/>
  <c r="AO10" i="72" s="1"/>
  <c r="S17" i="70"/>
  <c r="U25" i="70" s="1"/>
  <c r="AJ13" i="70" s="1"/>
  <c r="AN13" i="70" s="1"/>
  <c r="I56" i="22"/>
  <c r="M16" i="14"/>
  <c r="E16" i="41"/>
  <c r="J16" i="14"/>
  <c r="L16" i="14"/>
  <c r="E14" i="41"/>
  <c r="C9" i="33"/>
  <c r="R12" i="1"/>
  <c r="B68" i="1" s="1"/>
  <c r="H11" i="14"/>
  <c r="H20" i="14" s="1"/>
  <c r="N28" i="72"/>
  <c r="D17" i="70"/>
  <c r="AM7" i="70" s="1"/>
  <c r="G39" i="79"/>
  <c r="I22" i="41"/>
  <c r="I21" i="41" s="1"/>
  <c r="J17" i="72"/>
  <c r="AC7" i="72" s="1"/>
  <c r="L20" i="70"/>
  <c r="Q20" i="70" s="1"/>
  <c r="U16" i="70" s="1"/>
  <c r="I17" i="41"/>
  <c r="E29" i="41"/>
  <c r="G9" i="33"/>
  <c r="H21" i="14"/>
  <c r="AC8" i="76"/>
  <c r="CV8" i="76" s="1"/>
  <c r="G16" i="76"/>
  <c r="E22" i="14"/>
  <c r="E12" i="13"/>
  <c r="K17" i="79"/>
  <c r="J26" i="70"/>
  <c r="AK8" i="70" s="1"/>
  <c r="S26" i="70"/>
  <c r="X26" i="70" s="1"/>
  <c r="AM14" i="70" s="1"/>
  <c r="AG8" i="50"/>
  <c r="C26" i="56"/>
  <c r="AJ14" i="71"/>
  <c r="H26" i="71"/>
  <c r="AI8" i="71" s="1"/>
  <c r="Q26" i="71"/>
  <c r="X14" i="71" s="1"/>
  <c r="Y14" i="71" s="1"/>
  <c r="AJ14" i="70"/>
  <c r="Q26" i="70"/>
  <c r="X14" i="70" s="1"/>
  <c r="Y14" i="70" s="1"/>
  <c r="H26" i="70"/>
  <c r="AI8" i="70" s="1"/>
  <c r="J26" i="71"/>
  <c r="AK8" i="71" s="1"/>
  <c r="S26" i="71"/>
  <c r="X26" i="71" s="1"/>
  <c r="AM14" i="71" s="1"/>
  <c r="M8" i="76"/>
  <c r="CV4" i="76" s="1"/>
  <c r="P16" i="76"/>
  <c r="AH16" i="76" s="1"/>
  <c r="CW3" i="76" s="1"/>
  <c r="AH8" i="76"/>
  <c r="CV3" i="76" s="1"/>
  <c r="F22" i="41"/>
  <c r="F21" i="41" s="1"/>
  <c r="G21" i="41" s="1"/>
  <c r="G35" i="79"/>
  <c r="H37" i="56"/>
  <c r="D19" i="56"/>
  <c r="D18" i="56"/>
  <c r="D22" i="56"/>
  <c r="D21" i="56"/>
  <c r="AJ8" i="10"/>
  <c r="E36" i="41" s="1"/>
  <c r="R16" i="10"/>
  <c r="M22" i="14" s="1"/>
  <c r="E27" i="41"/>
  <c r="O8" i="10"/>
  <c r="G53" i="10" s="1"/>
  <c r="AH8" i="10"/>
  <c r="E35" i="41" s="1"/>
  <c r="P16" i="10"/>
  <c r="AH16" i="10" s="1"/>
  <c r="E25" i="41"/>
  <c r="M8" i="10"/>
  <c r="D9" i="42" s="1"/>
  <c r="M21" i="79"/>
  <c r="K21" i="14"/>
  <c r="G56" i="14" s="1"/>
  <c r="E15" i="10"/>
  <c r="J21" i="79" s="1"/>
  <c r="F15" i="41"/>
  <c r="G15" i="41" s="1"/>
  <c r="I9" i="33"/>
  <c r="F23" i="33" s="1"/>
  <c r="H31" i="10"/>
  <c r="H32" i="10" s="1"/>
  <c r="H15" i="79"/>
  <c r="AD8" i="76"/>
  <c r="AG16" i="76"/>
  <c r="AG27" i="76" s="1"/>
  <c r="G15" i="10"/>
  <c r="L21" i="79" s="1"/>
  <c r="M21" i="14"/>
  <c r="I56" i="14" s="1"/>
  <c r="O21" i="79"/>
  <c r="J31" i="10"/>
  <c r="J32" i="10" s="1"/>
  <c r="H17" i="79"/>
  <c r="K9" i="33"/>
  <c r="H23" i="33" s="1"/>
  <c r="F17" i="41"/>
  <c r="G17" i="41" s="1"/>
  <c r="AD6" i="76"/>
  <c r="AD6" i="10"/>
  <c r="G16" i="5"/>
  <c r="Y10" i="5" s="1"/>
  <c r="O16" i="5"/>
  <c r="D16" i="5"/>
  <c r="AK10" i="5" s="1"/>
  <c r="O5" i="5"/>
  <c r="K25" i="13"/>
  <c r="C28" i="56"/>
  <c r="AG7" i="51"/>
  <c r="D6" i="42"/>
  <c r="E7" i="33"/>
  <c r="E10" i="33" s="1"/>
  <c r="C10" i="33" s="1"/>
  <c r="K15" i="79"/>
  <c r="H26" i="56"/>
  <c r="Q2" i="70"/>
  <c r="J43" i="10"/>
  <c r="H33" i="56"/>
  <c r="AE13" i="10"/>
  <c r="F28" i="4"/>
  <c r="AB13" i="10" s="1"/>
  <c r="I48" i="4"/>
  <c r="I24" i="6"/>
  <c r="AI10" i="6" s="1"/>
  <c r="Q24" i="6"/>
  <c r="V24" i="6" s="1"/>
  <c r="G24" i="6"/>
  <c r="AG10" i="6" s="1"/>
  <c r="O24" i="6"/>
  <c r="AH6" i="76"/>
  <c r="AH6" i="10"/>
  <c r="I16" i="51"/>
  <c r="AA10" i="51" s="1"/>
  <c r="Q16" i="51"/>
  <c r="S24" i="51" s="1"/>
  <c r="E16" i="51"/>
  <c r="I16" i="6"/>
  <c r="AA10" i="6" s="1"/>
  <c r="Q16" i="6"/>
  <c r="S24" i="6" s="1"/>
  <c r="E16" i="6"/>
  <c r="O16" i="6"/>
  <c r="D16" i="6"/>
  <c r="AK10" i="6" s="1"/>
  <c r="G16" i="6"/>
  <c r="Y10" i="6" s="1"/>
  <c r="O5" i="6"/>
  <c r="F18" i="4"/>
  <c r="P13" i="10"/>
  <c r="P15" i="10" s="1"/>
  <c r="L18" i="4"/>
  <c r="I46" i="4"/>
  <c r="AA16" i="10"/>
  <c r="AC16" i="10" s="1"/>
  <c r="G56" i="22"/>
  <c r="L31" i="10"/>
  <c r="L32" i="10" s="1"/>
  <c r="H43" i="10"/>
  <c r="H30" i="56"/>
  <c r="Q16" i="5"/>
  <c r="S24" i="5" s="1"/>
  <c r="E16" i="5"/>
  <c r="I16" i="5"/>
  <c r="AA10" i="5" s="1"/>
  <c r="H35" i="56"/>
  <c r="AG13" i="10"/>
  <c r="H28" i="4"/>
  <c r="AD13" i="10" s="1"/>
  <c r="K48" i="4"/>
  <c r="AB6" i="76"/>
  <c r="AB6" i="10"/>
  <c r="Y7" i="51"/>
  <c r="E7" i="56"/>
  <c r="F5" i="56" s="1"/>
  <c r="O17" i="4"/>
  <c r="N17" i="4" s="1"/>
  <c r="M6" i="76"/>
  <c r="M6" i="10"/>
  <c r="K11" i="14"/>
  <c r="AE8" i="10"/>
  <c r="E31" i="41" s="1"/>
  <c r="E5" i="14"/>
  <c r="E49" i="14" s="1"/>
  <c r="J49" i="14" s="1"/>
  <c r="H29" i="56"/>
  <c r="G16" i="10"/>
  <c r="I11" i="14" s="1"/>
  <c r="I20" i="14" s="1"/>
  <c r="M18" i="4"/>
  <c r="AJ13" i="10" s="1"/>
  <c r="K46" i="4"/>
  <c r="R13" i="10"/>
  <c r="H18" i="4"/>
  <c r="O13" i="10" s="1"/>
  <c r="H34" i="56"/>
  <c r="G24" i="5"/>
  <c r="AG10" i="5" s="1"/>
  <c r="O24" i="5"/>
  <c r="O16" i="51"/>
  <c r="D16" i="51"/>
  <c r="AK10" i="51" s="1"/>
  <c r="G16" i="51"/>
  <c r="Y10" i="51" s="1"/>
  <c r="O5" i="51"/>
  <c r="E31" i="14"/>
  <c r="I15" i="41"/>
  <c r="H28" i="56"/>
  <c r="M25" i="13"/>
  <c r="W21" i="5"/>
  <c r="O6" i="76"/>
  <c r="O6" i="10"/>
  <c r="H36" i="56"/>
  <c r="W21" i="51"/>
  <c r="I24" i="51"/>
  <c r="AI10" i="51" s="1"/>
  <c r="Q24" i="51"/>
  <c r="V24" i="51" s="1"/>
  <c r="I24" i="5"/>
  <c r="AI10" i="5" s="1"/>
  <c r="Q24" i="5"/>
  <c r="V24" i="5" s="1"/>
  <c r="H32" i="56"/>
  <c r="W21" i="6"/>
  <c r="G24" i="51"/>
  <c r="AG10" i="51" s="1"/>
  <c r="O24" i="51"/>
  <c r="AK7" i="51"/>
  <c r="C7" i="56"/>
  <c r="D6" i="56" s="1"/>
  <c r="F11" i="41"/>
  <c r="G11" i="41" s="1"/>
  <c r="AB5" i="76"/>
  <c r="AB5" i="10"/>
  <c r="AF27" i="76"/>
  <c r="AC16" i="76"/>
  <c r="CW8" i="76" s="1"/>
  <c r="I14" i="41"/>
  <c r="F6" i="42"/>
  <c r="G11" i="14"/>
  <c r="G20" i="14" s="1"/>
  <c r="G25" i="13"/>
  <c r="AF43" i="10"/>
  <c r="O24" i="9"/>
  <c r="G24" i="9"/>
  <c r="AG10" i="9" s="1"/>
  <c r="AB8" i="76"/>
  <c r="CV7" i="76" s="1"/>
  <c r="AE16" i="76"/>
  <c r="M12" i="10"/>
  <c r="O18" i="7"/>
  <c r="N18" i="7" s="1"/>
  <c r="J20" i="70"/>
  <c r="AC10" i="70" s="1"/>
  <c r="S20" i="70"/>
  <c r="U28" i="70" s="1"/>
  <c r="E20" i="70"/>
  <c r="C25" i="56"/>
  <c r="AG7" i="50"/>
  <c r="Y25" i="71"/>
  <c r="AJ13" i="71"/>
  <c r="AN13" i="71" s="1"/>
  <c r="AA31" i="10"/>
  <c r="F29" i="41"/>
  <c r="G29" i="41" s="1"/>
  <c r="O24" i="8"/>
  <c r="G24" i="8"/>
  <c r="AG10" i="8" s="1"/>
  <c r="N16" i="76"/>
  <c r="Q27" i="76"/>
  <c r="H20" i="71"/>
  <c r="AA10" i="71" s="1"/>
  <c r="Q20" i="71"/>
  <c r="U16" i="71" s="1"/>
  <c r="Q5" i="71"/>
  <c r="D20" i="71"/>
  <c r="AM10" i="71" s="1"/>
  <c r="AT9" i="70"/>
  <c r="U10" i="70"/>
  <c r="AH12" i="10"/>
  <c r="H20" i="72"/>
  <c r="AA10" i="72" s="1"/>
  <c r="Q5" i="72"/>
  <c r="D20" i="72"/>
  <c r="AM10" i="72" s="1"/>
  <c r="O24" i="50"/>
  <c r="G24" i="50"/>
  <c r="AG10" i="50" s="1"/>
  <c r="S10" i="70"/>
  <c r="AT7" i="70"/>
  <c r="AL16" i="72"/>
  <c r="L22" i="14"/>
  <c r="Q43" i="10"/>
  <c r="L12" i="13"/>
  <c r="N16" i="10"/>
  <c r="H25" i="71"/>
  <c r="AI7" i="71" s="1"/>
  <c r="Q25" i="71"/>
  <c r="X13" i="71" s="1"/>
  <c r="Y13" i="71" s="1"/>
  <c r="L28" i="71"/>
  <c r="AE12" i="10"/>
  <c r="F28" i="7"/>
  <c r="AB12" i="10" s="1"/>
  <c r="I48" i="7"/>
  <c r="H25" i="70"/>
  <c r="AI7" i="70" s="1"/>
  <c r="Q25" i="70"/>
  <c r="X13" i="70" s="1"/>
  <c r="Y13" i="70" s="1"/>
  <c r="L28" i="70"/>
  <c r="AF31" i="10"/>
  <c r="AF32" i="10" s="1"/>
  <c r="H31" i="79"/>
  <c r="AC15" i="10"/>
  <c r="Q31" i="10"/>
  <c r="Q32" i="10" s="1"/>
  <c r="L5" i="14"/>
  <c r="N15" i="10"/>
  <c r="L31" i="14"/>
  <c r="J7" i="33"/>
  <c r="J10" i="33" s="1"/>
  <c r="L28" i="72"/>
  <c r="H25" i="72"/>
  <c r="AI7" i="72" s="1"/>
  <c r="W24" i="50"/>
  <c r="G11" i="13"/>
  <c r="G9" i="13"/>
  <c r="K9" i="13" s="1"/>
  <c r="G10" i="13"/>
  <c r="K10" i="13" s="1"/>
  <c r="K6" i="13"/>
  <c r="G7" i="13"/>
  <c r="K7" i="13" s="1"/>
  <c r="I10" i="13"/>
  <c r="M10" i="13" s="1"/>
  <c r="M6" i="13"/>
  <c r="I7" i="13"/>
  <c r="M7" i="13" s="1"/>
  <c r="I9" i="13"/>
  <c r="M9" i="13" s="1"/>
  <c r="I11" i="13"/>
  <c r="L6" i="13"/>
  <c r="K11" i="13"/>
  <c r="W24" i="8" l="1"/>
  <c r="Y25" i="70"/>
  <c r="J28" i="72"/>
  <c r="AK10" i="72" s="1"/>
  <c r="AG15" i="10"/>
  <c r="F33" i="41" s="1"/>
  <c r="G33" i="41" s="1"/>
  <c r="N28" i="71"/>
  <c r="S27" i="71"/>
  <c r="X27" i="71" s="1"/>
  <c r="J27" i="71"/>
  <c r="AK9" i="71" s="1"/>
  <c r="AD8" i="10"/>
  <c r="D13" i="42" s="1"/>
  <c r="AG16" i="10"/>
  <c r="AG43" i="10" s="1"/>
  <c r="Q24" i="9"/>
  <c r="V24" i="9" s="1"/>
  <c r="W24" i="9" s="1"/>
  <c r="I24" i="9"/>
  <c r="AI10" i="9" s="1"/>
  <c r="J27" i="70"/>
  <c r="AK9" i="70" s="1"/>
  <c r="S27" i="70"/>
  <c r="X27" i="70" s="1"/>
  <c r="N28" i="70"/>
  <c r="E20" i="71"/>
  <c r="E28" i="71" s="1"/>
  <c r="AO10" i="71" s="1"/>
  <c r="R16" i="76"/>
  <c r="R27" i="76" s="1"/>
  <c r="S20" i="71"/>
  <c r="U28" i="71" s="1"/>
  <c r="AJ16" i="71" s="1"/>
  <c r="D20" i="70"/>
  <c r="AT10" i="70" s="1"/>
  <c r="O8" i="76"/>
  <c r="J20" i="72"/>
  <c r="AC10" i="72" s="1"/>
  <c r="C7" i="33"/>
  <c r="G22" i="41"/>
  <c r="Q5" i="70"/>
  <c r="S28" i="72"/>
  <c r="X28" i="72" s="1"/>
  <c r="AM16" i="72" s="1"/>
  <c r="AN16" i="72" s="1"/>
  <c r="E68" i="1"/>
  <c r="C68" i="1"/>
  <c r="G68" i="1"/>
  <c r="D68" i="1"/>
  <c r="F68" i="1"/>
  <c r="AJ16" i="10"/>
  <c r="F16" i="42" s="1"/>
  <c r="L49" i="14"/>
  <c r="K49" i="14"/>
  <c r="AE16" i="10"/>
  <c r="I31" i="41" s="1"/>
  <c r="H20" i="70"/>
  <c r="AT13" i="70" s="1"/>
  <c r="B69" i="1"/>
  <c r="AB8" i="10"/>
  <c r="D12" i="42" s="1"/>
  <c r="K12" i="13"/>
  <c r="K13" i="13" s="1"/>
  <c r="E13" i="13" s="1"/>
  <c r="K22" i="14"/>
  <c r="J15" i="79"/>
  <c r="P43" i="10"/>
  <c r="I25" i="41"/>
  <c r="O25" i="41" s="1"/>
  <c r="M16" i="10"/>
  <c r="G12" i="13" s="1"/>
  <c r="G13" i="13" s="1"/>
  <c r="AN14" i="71"/>
  <c r="O16" i="10"/>
  <c r="K39" i="79" s="1"/>
  <c r="R43" i="10"/>
  <c r="I27" i="41"/>
  <c r="O27" i="41" s="1"/>
  <c r="J17" i="79"/>
  <c r="M12" i="13"/>
  <c r="F16" i="41"/>
  <c r="G16" i="41" s="1"/>
  <c r="Y26" i="70"/>
  <c r="R31" i="10"/>
  <c r="R32" i="10" s="1"/>
  <c r="E6" i="42"/>
  <c r="F9" i="33"/>
  <c r="J53" i="10"/>
  <c r="Y26" i="71"/>
  <c r="G21" i="14"/>
  <c r="F14" i="41"/>
  <c r="G14" i="41" s="1"/>
  <c r="E24" i="41"/>
  <c r="AN14" i="70"/>
  <c r="D10" i="42"/>
  <c r="M49" i="14"/>
  <c r="F4" i="56"/>
  <c r="H9" i="33"/>
  <c r="P27" i="76"/>
  <c r="C49" i="14"/>
  <c r="D16" i="42"/>
  <c r="I21" i="14"/>
  <c r="M16" i="76"/>
  <c r="CW4" i="76" s="1"/>
  <c r="R17" i="1"/>
  <c r="D8" i="56"/>
  <c r="D5" i="56"/>
  <c r="I7" i="33"/>
  <c r="I10" i="33" s="1"/>
  <c r="F25" i="41"/>
  <c r="G25" i="41" s="1"/>
  <c r="AH15" i="10"/>
  <c r="E15" i="42" s="1"/>
  <c r="K5" i="14"/>
  <c r="M15" i="10"/>
  <c r="F24" i="41" s="1"/>
  <c r="G15" i="79"/>
  <c r="P31" i="10"/>
  <c r="P32" i="10" s="1"/>
  <c r="K31" i="14"/>
  <c r="K52" i="14" s="1"/>
  <c r="E52" i="14" s="1"/>
  <c r="C52" i="14" s="1"/>
  <c r="O15" i="10"/>
  <c r="E10" i="42" s="1"/>
  <c r="F9" i="56"/>
  <c r="G17" i="79"/>
  <c r="F8" i="56"/>
  <c r="AH13" i="10"/>
  <c r="W24" i="6"/>
  <c r="D4" i="56"/>
  <c r="AD16" i="76"/>
  <c r="E53" i="10"/>
  <c r="D7" i="56"/>
  <c r="I29" i="41"/>
  <c r="M31" i="14"/>
  <c r="I25" i="13"/>
  <c r="F7" i="56"/>
  <c r="W24" i="5"/>
  <c r="AE15" i="10"/>
  <c r="AE31" i="10" s="1"/>
  <c r="O18" i="4"/>
  <c r="N18" i="4" s="1"/>
  <c r="M13" i="10"/>
  <c r="H53" i="10"/>
  <c r="I16" i="41"/>
  <c r="E26" i="41"/>
  <c r="D15" i="42"/>
  <c r="D9" i="56"/>
  <c r="AJ15" i="10"/>
  <c r="E16" i="42" s="1"/>
  <c r="F6" i="56"/>
  <c r="AA43" i="10"/>
  <c r="K7" i="33"/>
  <c r="K10" i="33" s="1"/>
  <c r="R16" i="1"/>
  <c r="F27" i="41"/>
  <c r="G27" i="41" s="1"/>
  <c r="W24" i="51"/>
  <c r="AA32" i="10"/>
  <c r="AE27" i="76"/>
  <c r="AB16" i="76"/>
  <c r="CW7" i="76" s="1"/>
  <c r="H28" i="72"/>
  <c r="AI10" i="72" s="1"/>
  <c r="Q28" i="72"/>
  <c r="X16" i="72" s="1"/>
  <c r="Y16" i="72" s="1"/>
  <c r="H28" i="70"/>
  <c r="AI10" i="70" s="1"/>
  <c r="Q28" i="70"/>
  <c r="X16" i="70" s="1"/>
  <c r="Y16" i="70" s="1"/>
  <c r="E28" i="70"/>
  <c r="AO10" i="70" s="1"/>
  <c r="AT12" i="70"/>
  <c r="AJ16" i="70"/>
  <c r="J39" i="79"/>
  <c r="H12" i="13"/>
  <c r="H13" i="13" s="1"/>
  <c r="H22" i="14"/>
  <c r="H28" i="71"/>
  <c r="AI10" i="71" s="1"/>
  <c r="Q28" i="71"/>
  <c r="X16" i="71" s="1"/>
  <c r="Y16" i="71" s="1"/>
  <c r="D29" i="56"/>
  <c r="D25" i="56"/>
  <c r="D30" i="56"/>
  <c r="D26" i="56"/>
  <c r="D27" i="56"/>
  <c r="D28" i="56"/>
  <c r="H31" i="14"/>
  <c r="H5" i="14"/>
  <c r="J35" i="79"/>
  <c r="G7" i="33"/>
  <c r="G10" i="33" s="1"/>
  <c r="G12" i="33" s="1"/>
  <c r="I35" i="41"/>
  <c r="G27" i="13"/>
  <c r="F15" i="42"/>
  <c r="M11" i="13"/>
  <c r="I26" i="13"/>
  <c r="G26" i="13"/>
  <c r="AJ16" i="76" l="1"/>
  <c r="CW9" i="76" s="1"/>
  <c r="I31" i="79"/>
  <c r="O16" i="76"/>
  <c r="AD16" i="10"/>
  <c r="I32" i="41" s="1"/>
  <c r="R22" i="1"/>
  <c r="E32" i="41"/>
  <c r="AG31" i="10"/>
  <c r="AG32" i="10" s="1"/>
  <c r="AD15" i="10"/>
  <c r="F32" i="41" s="1"/>
  <c r="G32" i="41" s="1"/>
  <c r="I33" i="41"/>
  <c r="J28" i="70"/>
  <c r="AK10" i="70" s="1"/>
  <c r="S28" i="70"/>
  <c r="X28" i="70" s="1"/>
  <c r="AM15" i="71"/>
  <c r="AN15" i="71" s="1"/>
  <c r="Y27" i="71"/>
  <c r="AM15" i="70"/>
  <c r="AN15" i="70" s="1"/>
  <c r="Y27" i="70"/>
  <c r="J28" i="71"/>
  <c r="AK10" i="71" s="1"/>
  <c r="S28" i="71"/>
  <c r="X28" i="71" s="1"/>
  <c r="AM10" i="70"/>
  <c r="AE43" i="10"/>
  <c r="AE32" i="10"/>
  <c r="M13" i="13"/>
  <c r="Y28" i="72"/>
  <c r="AA10" i="70"/>
  <c r="I27" i="13"/>
  <c r="I28" i="13" s="1"/>
  <c r="I36" i="41"/>
  <c r="I24" i="41"/>
  <c r="I12" i="13"/>
  <c r="I13" i="13" s="1"/>
  <c r="E30" i="41"/>
  <c r="R21" i="1"/>
  <c r="I39" i="79"/>
  <c r="G22" i="14"/>
  <c r="E9" i="42"/>
  <c r="AB16" i="10"/>
  <c r="F12" i="42" s="1"/>
  <c r="F10" i="42"/>
  <c r="F9" i="42"/>
  <c r="I26" i="41"/>
  <c r="I22" i="14"/>
  <c r="G31" i="14"/>
  <c r="I5" i="14"/>
  <c r="F35" i="41"/>
  <c r="F26" i="41"/>
  <c r="G26" i="41" s="1"/>
  <c r="C37" i="56"/>
  <c r="D37" i="56" s="1"/>
  <c r="AB15" i="10"/>
  <c r="F30" i="41" s="1"/>
  <c r="G30" i="41" s="1"/>
  <c r="G5" i="14"/>
  <c r="I35" i="79"/>
  <c r="H22" i="33"/>
  <c r="F7" i="33"/>
  <c r="F10" i="33" s="1"/>
  <c r="F12" i="33" s="1"/>
  <c r="G31" i="79"/>
  <c r="H7" i="33"/>
  <c r="H10" i="33" s="1"/>
  <c r="H12" i="33" s="1"/>
  <c r="F31" i="41"/>
  <c r="G31" i="41" s="1"/>
  <c r="I31" i="14"/>
  <c r="I55" i="14"/>
  <c r="D53" i="10"/>
  <c r="E35" i="56"/>
  <c r="F35" i="56" s="1"/>
  <c r="F36" i="41"/>
  <c r="G55" i="14"/>
  <c r="F22" i="33"/>
  <c r="E33" i="56"/>
  <c r="K35" i="79"/>
  <c r="E34" i="56"/>
  <c r="E32" i="56"/>
  <c r="E36" i="56"/>
  <c r="F36" i="56" s="1"/>
  <c r="C33" i="56"/>
  <c r="E37" i="56"/>
  <c r="F37" i="56" s="1"/>
  <c r="C36" i="56"/>
  <c r="D36" i="56" s="1"/>
  <c r="C34" i="56"/>
  <c r="G28" i="13"/>
  <c r="C35" i="56"/>
  <c r="D35" i="56" s="1"/>
  <c r="C32" i="56"/>
  <c r="G24" i="41"/>
  <c r="E13" i="42" l="1"/>
  <c r="F13" i="42"/>
  <c r="F34" i="56"/>
  <c r="D34" i="56"/>
  <c r="AM16" i="70"/>
  <c r="AN16" i="70" s="1"/>
  <c r="Y28" i="70"/>
  <c r="D33" i="56"/>
  <c r="AM16" i="71"/>
  <c r="AN16" i="71" s="1"/>
  <c r="Y28" i="71"/>
  <c r="F33" i="56"/>
  <c r="I30" i="41"/>
  <c r="D32" i="56"/>
  <c r="E12" i="42"/>
  <c r="F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4" authorId="0" shapeId="0" xr:uid="{00000000-0006-0000-0C00-000001000000}">
      <text>
        <r>
          <rPr>
            <sz val="9"/>
            <rFont val="宋体"/>
            <family val="3"/>
            <charset val="134"/>
          </rPr>
          <t>作者:
以公司总部驻地为准</t>
        </r>
      </text>
    </comment>
    <comment ref="B6" authorId="0" shapeId="0" xr:uid="{00000000-0006-0000-0C00-000002000000}">
      <text>
        <r>
          <rPr>
            <sz val="9"/>
            <rFont val="宋体"/>
            <family val="3"/>
            <charset val="134"/>
          </rPr>
          <t>作者:
若一个公司下面有几个选矿厂，如果入选矿石相近、流程相近、选矿产品种类相同，原矿、精矿、尾矿等进行加权平均法求得，否则参照此模式以选矿厂为单元上报。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4" authorId="0" shapeId="0" xr:uid="{00000000-0006-0000-0F00-000001000000}">
      <text>
        <r>
          <rPr>
            <sz val="9"/>
            <rFont val="宋体"/>
            <family val="3"/>
            <charset val="134"/>
          </rPr>
          <t>作者:
以公司总部驻地为准</t>
        </r>
      </text>
    </comment>
    <comment ref="B6" authorId="0" shapeId="0" xr:uid="{00000000-0006-0000-0F00-000002000000}">
      <text>
        <r>
          <rPr>
            <sz val="9"/>
            <rFont val="宋体"/>
            <family val="3"/>
            <charset val="134"/>
          </rPr>
          <t>作者:
若一个公司下面有几个选矿厂，如果入选矿石相近、流程相近、选矿产品种类相同，原矿、精矿、尾矿等进行加权平均法求得，否则参照此模式以选矿厂为单元上报。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4" authorId="0" shapeId="0" xr:uid="{00000000-0006-0000-1300-000001000000}">
      <text>
        <r>
          <rPr>
            <sz val="9"/>
            <rFont val="宋体"/>
            <family val="3"/>
            <charset val="134"/>
          </rPr>
          <t>作者:
以公司总部驻地为准</t>
        </r>
      </text>
    </comment>
    <comment ref="B6" authorId="0" shapeId="0" xr:uid="{00000000-0006-0000-1300-000002000000}">
      <text>
        <r>
          <rPr>
            <sz val="9"/>
            <rFont val="宋体"/>
            <family val="3"/>
            <charset val="134"/>
          </rPr>
          <t>作者:
若一个公司下面有几个选矿厂，如果入选矿石相近、流程相近、选矿产品种类相同，原矿、精矿、尾矿等进行加权平均法求得，否则参照此模式以选矿厂为单元上报。</t>
        </r>
      </text>
    </comment>
  </commentList>
</comments>
</file>

<file path=xl/sharedStrings.xml><?xml version="1.0" encoding="utf-8"?>
<sst xmlns="http://schemas.openxmlformats.org/spreadsheetml/2006/main" count="3062" uniqueCount="769">
  <si>
    <t xml:space="preserve"> </t>
  </si>
  <si>
    <t>一车间</t>
  </si>
  <si>
    <t>二车间</t>
  </si>
  <si>
    <t>甲班</t>
  </si>
  <si>
    <t>其他</t>
  </si>
  <si>
    <t>A班</t>
  </si>
  <si>
    <t>铅（%）</t>
  </si>
  <si>
    <t>锌（%）</t>
  </si>
  <si>
    <t>银（g/T）</t>
  </si>
  <si>
    <t>铅</t>
  </si>
  <si>
    <t>原矿</t>
  </si>
  <si>
    <t>运转时间</t>
  </si>
  <si>
    <t>混精</t>
  </si>
  <si>
    <t>处理量</t>
  </si>
  <si>
    <t>银</t>
  </si>
  <si>
    <t>混尾</t>
  </si>
  <si>
    <t>主细</t>
  </si>
  <si>
    <t>再选精矿</t>
  </si>
  <si>
    <t>再细</t>
  </si>
  <si>
    <t>再选尾矿</t>
  </si>
  <si>
    <t>水分</t>
  </si>
  <si>
    <t>过铅</t>
  </si>
  <si>
    <t>处理量/h</t>
  </si>
  <si>
    <t>铅精</t>
  </si>
  <si>
    <r>
      <rPr>
        <sz val="11"/>
        <color indexed="8"/>
        <rFont val="宋体"/>
        <family val="3"/>
        <charset val="134"/>
      </rPr>
      <t>原矿品位P</t>
    </r>
    <r>
      <rPr>
        <sz val="11"/>
        <color indexed="8"/>
        <rFont val="宋体"/>
        <family val="3"/>
        <charset val="134"/>
      </rPr>
      <t>b+Zn</t>
    </r>
  </si>
  <si>
    <t>锌精</t>
  </si>
  <si>
    <t>尾矿</t>
  </si>
  <si>
    <t>回收率</t>
  </si>
  <si>
    <t>乙班</t>
  </si>
  <si>
    <t>B班</t>
  </si>
  <si>
    <t>丙班</t>
  </si>
  <si>
    <t>C班</t>
  </si>
  <si>
    <t>甲</t>
  </si>
  <si>
    <t>乙</t>
  </si>
  <si>
    <t>丙</t>
  </si>
  <si>
    <t>A</t>
  </si>
  <si>
    <t>B</t>
  </si>
  <si>
    <t>C</t>
  </si>
  <si>
    <t>品位</t>
  </si>
  <si>
    <t>波动值</t>
  </si>
  <si>
    <t>平均值</t>
  </si>
  <si>
    <r>
      <rPr>
        <b/>
        <u/>
        <sz val="18"/>
        <rFont val="宋体"/>
        <family val="3"/>
        <charset val="134"/>
      </rPr>
      <t xml:space="preserve"> 荣达选矿厂生产隆腾矿日报表（</t>
    </r>
    <r>
      <rPr>
        <u/>
        <sz val="18"/>
        <rFont val="宋体"/>
        <family val="3"/>
        <charset val="134"/>
      </rPr>
      <t>金属平衡表</t>
    </r>
    <r>
      <rPr>
        <b/>
        <u/>
        <sz val="18"/>
        <rFont val="宋体"/>
        <family val="3"/>
        <charset val="134"/>
      </rPr>
      <t xml:space="preserve">） </t>
    </r>
  </si>
  <si>
    <t>种类</t>
  </si>
  <si>
    <t>班别</t>
  </si>
  <si>
    <t>细度％</t>
  </si>
  <si>
    <t>磨矿时间（h）</t>
  </si>
  <si>
    <t>处  理  量</t>
  </si>
  <si>
    <t>金  属  量</t>
  </si>
  <si>
    <t>湿量（T）</t>
  </si>
  <si>
    <t>水份（%）</t>
  </si>
  <si>
    <t>干量（T）</t>
  </si>
  <si>
    <t>银（g/t）</t>
  </si>
  <si>
    <t>铜（T）</t>
  </si>
  <si>
    <t>铅（T）</t>
  </si>
  <si>
    <t>锌（T）</t>
  </si>
  <si>
    <t>银（Kg）</t>
  </si>
  <si>
    <t>日累</t>
  </si>
  <si>
    <t>月累</t>
  </si>
  <si>
    <t>分  布  率</t>
  </si>
  <si>
    <t>回收率（%）</t>
  </si>
  <si>
    <t>产率（%）</t>
  </si>
  <si>
    <t>富集比</t>
  </si>
  <si>
    <t>铜（%）</t>
  </si>
  <si>
    <t>铜铅锌</t>
  </si>
  <si>
    <t>铅精矿</t>
  </si>
  <si>
    <t>锌精矿</t>
  </si>
  <si>
    <t>质检负责人：</t>
  </si>
  <si>
    <t>制表人：</t>
  </si>
  <si>
    <t>昨日月累：</t>
  </si>
  <si>
    <t>原矿月累</t>
  </si>
  <si>
    <t>铅精月累</t>
  </si>
  <si>
    <t>锌精月累</t>
  </si>
  <si>
    <t>尾矿月累</t>
  </si>
  <si>
    <t>今日月累：</t>
  </si>
  <si>
    <t xml:space="preserve">  荣达选矿厂生产隆腾矿月累统计表    </t>
  </si>
  <si>
    <t>品   位</t>
  </si>
  <si>
    <t>金 属 量</t>
  </si>
  <si>
    <t>甲月累</t>
  </si>
  <si>
    <t>乙月累</t>
  </si>
  <si>
    <t>丙月累</t>
  </si>
  <si>
    <t>分 布 率</t>
  </si>
  <si>
    <t>一月累</t>
  </si>
  <si>
    <t>二月累</t>
  </si>
  <si>
    <t>三月累</t>
  </si>
  <si>
    <t xml:space="preserve">  荣达选矿厂生产隆腾矿年累统计表    </t>
  </si>
  <si>
    <t>品  位</t>
  </si>
  <si>
    <t>甲年累</t>
  </si>
  <si>
    <t>乙年累</t>
  </si>
  <si>
    <t>丙年累</t>
  </si>
  <si>
    <t>年累</t>
  </si>
  <si>
    <t>昨日年累：</t>
  </si>
  <si>
    <t>（一）累</t>
  </si>
  <si>
    <t>（二）累</t>
  </si>
  <si>
    <t>（三）累</t>
  </si>
  <si>
    <t>今日年累：</t>
  </si>
  <si>
    <r>
      <rPr>
        <b/>
        <u/>
        <sz val="18"/>
        <rFont val="宋体"/>
        <family val="3"/>
        <charset val="134"/>
      </rPr>
      <t xml:space="preserve">  荣达选矿厂隆腾矿生产日报一系统(周</t>
    </r>
    <r>
      <rPr>
        <u/>
        <sz val="18"/>
        <rFont val="宋体"/>
        <family val="3"/>
        <charset val="134"/>
      </rPr>
      <t>表</t>
    </r>
    <r>
      <rPr>
        <b/>
        <u/>
        <sz val="18"/>
        <rFont val="宋体"/>
        <family val="3"/>
        <charset val="134"/>
      </rPr>
      <t xml:space="preserve">）    </t>
    </r>
  </si>
  <si>
    <t>甲周累</t>
  </si>
  <si>
    <t>乙周累</t>
  </si>
  <si>
    <t>丙周累</t>
  </si>
  <si>
    <t>周累</t>
  </si>
  <si>
    <t>昨日周累：</t>
  </si>
  <si>
    <t>0.00</t>
  </si>
  <si>
    <t>今日周累：</t>
  </si>
  <si>
    <t>品 位</t>
  </si>
  <si>
    <t>原矿品位</t>
  </si>
  <si>
    <t>原矿金属量</t>
  </si>
  <si>
    <t>A月累</t>
  </si>
  <si>
    <t>B月累</t>
  </si>
  <si>
    <t>C月累</t>
  </si>
  <si>
    <t>金属量</t>
  </si>
  <si>
    <t>A年累</t>
  </si>
  <si>
    <t>B年累</t>
  </si>
  <si>
    <t>C年累</t>
  </si>
  <si>
    <r>
      <rPr>
        <b/>
        <u/>
        <sz val="18"/>
        <rFont val="宋体"/>
        <family val="3"/>
        <charset val="134"/>
      </rPr>
      <t xml:space="preserve">  荣达选矿厂生产隆腾矿日报二系统(周累</t>
    </r>
    <r>
      <rPr>
        <u/>
        <sz val="18"/>
        <rFont val="宋体"/>
        <family val="3"/>
        <charset val="134"/>
      </rPr>
      <t>表</t>
    </r>
    <r>
      <rPr>
        <b/>
        <u/>
        <sz val="18"/>
        <rFont val="宋体"/>
        <family val="3"/>
        <charset val="134"/>
      </rPr>
      <t xml:space="preserve">）    </t>
    </r>
  </si>
  <si>
    <t>A周累</t>
  </si>
  <si>
    <t>B周累</t>
  </si>
  <si>
    <t>C周累</t>
  </si>
  <si>
    <t>浮选岗位周排名统计表</t>
  </si>
  <si>
    <t>——</t>
  </si>
  <si>
    <t>班组</t>
  </si>
  <si>
    <t>排名</t>
  </si>
  <si>
    <t>含铅</t>
  </si>
  <si>
    <t>含锌</t>
  </si>
  <si>
    <t>含银</t>
  </si>
  <si>
    <t>银收率</t>
  </si>
  <si>
    <t>总分</t>
  </si>
  <si>
    <t>铅浮选总分</t>
  </si>
  <si>
    <t>锌浮选总分</t>
  </si>
  <si>
    <t>班组排名</t>
  </si>
  <si>
    <t xml:space="preserve">  </t>
  </si>
  <si>
    <t>运转时间(时)</t>
  </si>
  <si>
    <t>原              矿</t>
  </si>
  <si>
    <t>铅          精</t>
  </si>
  <si>
    <t>锌          精</t>
  </si>
  <si>
    <t>尾          矿</t>
  </si>
  <si>
    <t>矿  量</t>
  </si>
  <si>
    <t>干量(T)</t>
  </si>
  <si>
    <t>干量</t>
  </si>
  <si>
    <t>湿量(T)</t>
  </si>
  <si>
    <t>Pb (%)</t>
  </si>
  <si>
    <t>Zn (%)</t>
  </si>
  <si>
    <t>Ag (g/t)</t>
  </si>
  <si>
    <t>Pb (T)</t>
  </si>
  <si>
    <t>Zn (T)</t>
  </si>
  <si>
    <t>Ag (Kg)</t>
  </si>
  <si>
    <t>Ag (%)</t>
  </si>
  <si>
    <t>一日累</t>
  </si>
  <si>
    <t>二日累</t>
  </si>
  <si>
    <t>总日累</t>
  </si>
  <si>
    <t>锌        精</t>
  </si>
  <si>
    <t>一总累</t>
  </si>
  <si>
    <t>二总累</t>
  </si>
  <si>
    <t>上月年累</t>
  </si>
  <si>
    <t>核查</t>
  </si>
  <si>
    <t>水份</t>
  </si>
  <si>
    <t>存水分</t>
  </si>
  <si>
    <t>3%干重</t>
  </si>
  <si>
    <t>日</t>
  </si>
  <si>
    <t>月</t>
  </si>
  <si>
    <t>年</t>
  </si>
  <si>
    <t xml:space="preserve"> 荣达选矿三厂生产日报（3%-6%水分金属平衡表） </t>
  </si>
  <si>
    <t>日期</t>
  </si>
  <si>
    <t>品    位</t>
  </si>
  <si>
    <t>本日干量</t>
  </si>
  <si>
    <t>存量（T）</t>
  </si>
  <si>
    <t>所提品位</t>
  </si>
  <si>
    <t>累加后品位</t>
  </si>
  <si>
    <t>累计</t>
  </si>
  <si>
    <t>3%报表原矿本日</t>
  </si>
  <si>
    <t>6%报表原矿本日</t>
  </si>
  <si>
    <t>7.25%报表原矿本日</t>
  </si>
  <si>
    <t>降收率表</t>
  </si>
  <si>
    <t>荣达选矿三厂生产定期统计日报表</t>
  </si>
  <si>
    <t xml:space="preserve"> 填报单位:荣达选矿三厂</t>
  </si>
  <si>
    <t>填报时间：</t>
  </si>
  <si>
    <t xml:space="preserve">   当地天气：多云转阴</t>
  </si>
  <si>
    <t>当天气温：0℃～1℃</t>
  </si>
  <si>
    <t>序号</t>
  </si>
  <si>
    <t>名     称</t>
  </si>
  <si>
    <t>单位</t>
  </si>
  <si>
    <t>月计划</t>
  </si>
  <si>
    <t>本日</t>
  </si>
  <si>
    <t>本月累计</t>
  </si>
  <si>
    <t>完成月计划（％）</t>
  </si>
  <si>
    <t>年计划</t>
  </si>
  <si>
    <t>本年累计</t>
  </si>
  <si>
    <t>完成年计划（％）</t>
  </si>
  <si>
    <t>同比(%)</t>
  </si>
  <si>
    <t>选矿系统</t>
  </si>
  <si>
    <t>入厂矿石</t>
  </si>
  <si>
    <t>矿石量</t>
  </si>
  <si>
    <t>吨</t>
  </si>
  <si>
    <t>选厂库（堆）存原矿量</t>
  </si>
  <si>
    <t>入选处理原矿</t>
  </si>
  <si>
    <t>湿重</t>
  </si>
  <si>
    <t>干重</t>
  </si>
  <si>
    <t>%</t>
  </si>
  <si>
    <t>铅品位</t>
  </si>
  <si>
    <t>铅金属量</t>
  </si>
  <si>
    <t>锌品位</t>
  </si>
  <si>
    <t>锌金属量</t>
  </si>
  <si>
    <t>铜品位</t>
  </si>
  <si>
    <t>铜金属量</t>
  </si>
  <si>
    <t>银品位</t>
  </si>
  <si>
    <t>克/吨</t>
  </si>
  <si>
    <t>银金属量</t>
  </si>
  <si>
    <t>公斤</t>
  </si>
  <si>
    <t>产出产品</t>
  </si>
  <si>
    <t>4.1.1</t>
  </si>
  <si>
    <t>4.1.2</t>
  </si>
  <si>
    <t>4.1.3</t>
  </si>
  <si>
    <t>4.1.4</t>
  </si>
  <si>
    <t>4.1.5</t>
  </si>
  <si>
    <t>4.2.1</t>
  </si>
  <si>
    <t>4.2.2</t>
  </si>
  <si>
    <t>4.2.3</t>
  </si>
  <si>
    <t>4.2.4</t>
  </si>
  <si>
    <t>4.2.5</t>
  </si>
  <si>
    <t>铜精矿</t>
  </si>
  <si>
    <t>4.3.1</t>
  </si>
  <si>
    <t>4.3.2</t>
  </si>
  <si>
    <t>4.3.3</t>
  </si>
  <si>
    <t>4.3.4</t>
  </si>
  <si>
    <t>4.3.5</t>
  </si>
  <si>
    <t>4.4.1</t>
  </si>
  <si>
    <t>4.4.2</t>
  </si>
  <si>
    <t>4.4.3</t>
  </si>
  <si>
    <t>4.4.4</t>
  </si>
  <si>
    <t>4.4.5</t>
  </si>
  <si>
    <t>实际回收率</t>
  </si>
  <si>
    <t>银回收率</t>
  </si>
  <si>
    <t>验收产品</t>
  </si>
  <si>
    <t>6.1.1</t>
  </si>
  <si>
    <t>6.1.2</t>
  </si>
  <si>
    <t>6.1.5</t>
  </si>
  <si>
    <t>6.2.1</t>
  </si>
  <si>
    <t>6.2.3</t>
  </si>
  <si>
    <t>6.3.1</t>
  </si>
  <si>
    <t>6.3.4</t>
  </si>
  <si>
    <t>6.3.5</t>
  </si>
  <si>
    <t>库存精矿量</t>
  </si>
  <si>
    <t>铅精矿（湿重）</t>
  </si>
  <si>
    <t>锌精矿（湿重）</t>
  </si>
  <si>
    <t>铜精矿（湿重）</t>
  </si>
  <si>
    <t>三</t>
  </si>
  <si>
    <t>当日生产状况</t>
  </si>
  <si>
    <t>正常运转</t>
  </si>
  <si>
    <t>生产安全状况</t>
  </si>
  <si>
    <t>正常，无事故</t>
  </si>
  <si>
    <t>生产环保状况</t>
  </si>
  <si>
    <t>正常</t>
  </si>
  <si>
    <t>生产设备状况</t>
  </si>
  <si>
    <t>生产检修状况</t>
  </si>
  <si>
    <t>其它</t>
  </si>
  <si>
    <t>其中：（）矿区</t>
  </si>
  <si>
    <t>选矿三厂生产统计日报表</t>
  </si>
  <si>
    <t>指标名称</t>
  </si>
  <si>
    <t>选矿处理矿石</t>
  </si>
  <si>
    <t>选矿量</t>
  </si>
  <si>
    <t>t</t>
  </si>
  <si>
    <t>选矿品位(铅+锌）</t>
  </si>
  <si>
    <t>精矿品位</t>
  </si>
  <si>
    <t>含铜</t>
  </si>
  <si>
    <t>g/t</t>
  </si>
  <si>
    <t>尾矿品位</t>
  </si>
  <si>
    <t>锌</t>
  </si>
  <si>
    <t>铜</t>
  </si>
  <si>
    <t>库存情况</t>
  </si>
  <si>
    <t>原矿石</t>
  </si>
  <si>
    <t>荣达矿业选矿厂生产隆腾矿统计台账-1</t>
  </si>
  <si>
    <t>荣达矿业选矿厂生产隆腾矿统计台账-2</t>
  </si>
  <si>
    <t>本日累计</t>
  </si>
  <si>
    <t>本周累计</t>
  </si>
  <si>
    <t>铅金属回收率（%）</t>
  </si>
  <si>
    <t>铅精矿铅品位（%）</t>
  </si>
  <si>
    <t>锌金属回收率（%）</t>
  </si>
  <si>
    <t>锌精矿锌品位（%）</t>
  </si>
  <si>
    <t>尾矿含铅品位（%）</t>
  </si>
  <si>
    <t>尾矿含锌品位（%）</t>
  </si>
  <si>
    <t>银金属回收率（%）</t>
  </si>
  <si>
    <t>昨日周累</t>
  </si>
  <si>
    <t xml:space="preserve"> 填报单位:荣达选矿厂</t>
  </si>
  <si>
    <t xml:space="preserve">   当地天气：晴</t>
  </si>
  <si>
    <t>当天气温-16℃～-11℃</t>
  </si>
  <si>
    <t>期初库存+本年供矿量</t>
  </si>
  <si>
    <t>外购精矿销售</t>
  </si>
  <si>
    <t>一系统停机，二系统正常生产。</t>
  </si>
  <si>
    <t>运转正常</t>
  </si>
  <si>
    <t>无</t>
  </si>
  <si>
    <t>处理外购矿石</t>
  </si>
  <si>
    <t>选矿厂生产统计日报表（隆腾矿石）</t>
  </si>
  <si>
    <t>理论库存</t>
  </si>
  <si>
    <r>
      <rPr>
        <b/>
        <sz val="16"/>
        <color indexed="8"/>
        <rFont val="宋体"/>
        <family val="3"/>
        <charset val="134"/>
      </rPr>
      <t>全年精矿盘点表</t>
    </r>
    <r>
      <rPr>
        <sz val="16"/>
        <color indexed="8"/>
        <rFont val="宋体"/>
        <family val="3"/>
        <charset val="134"/>
      </rPr>
      <t>（3%水分）</t>
    </r>
  </si>
  <si>
    <t>数    量</t>
  </si>
  <si>
    <t>品          位(﹪)</t>
  </si>
  <si>
    <t>含         量</t>
  </si>
  <si>
    <t>湿 量</t>
  </si>
  <si>
    <t>干 量</t>
  </si>
  <si>
    <t>Cu</t>
  </si>
  <si>
    <t>Pb</t>
  </si>
  <si>
    <t>Zn</t>
  </si>
  <si>
    <t>Ag</t>
  </si>
  <si>
    <t>本月理论产出（3%）</t>
  </si>
  <si>
    <t>上月末盘存（4月25日）</t>
  </si>
  <si>
    <t>入选（3%）</t>
  </si>
  <si>
    <t>年度矿石</t>
  </si>
  <si>
    <t>入选（降收率）</t>
  </si>
  <si>
    <t>入厂总量（2015年备矿+2015年存矿+今年入厂）</t>
  </si>
  <si>
    <t>合计进厂</t>
  </si>
  <si>
    <t>有品位</t>
  </si>
  <si>
    <t>无品位</t>
  </si>
  <si>
    <t>补加3%水分矿量</t>
  </si>
  <si>
    <t>理论结存矿石</t>
  </si>
  <si>
    <t>实际结存矿石</t>
  </si>
  <si>
    <t>矿石量盈/亏</t>
  </si>
  <si>
    <t>品位差值</t>
  </si>
  <si>
    <t>月度矿石（3%）</t>
  </si>
  <si>
    <t>年度精矿理论与实际品位对比（3%）</t>
  </si>
  <si>
    <t>铅精矿理论</t>
  </si>
  <si>
    <t>铅精矿出厂</t>
  </si>
  <si>
    <t>铅精矿返厂</t>
  </si>
  <si>
    <t>锌精矿理论</t>
  </si>
  <si>
    <t>锌精矿出厂</t>
  </si>
  <si>
    <t>锌精矿返厂</t>
  </si>
  <si>
    <t>铜精矿理论</t>
  </si>
  <si>
    <t>铜精矿出厂</t>
  </si>
  <si>
    <t>铜精矿返厂</t>
  </si>
  <si>
    <t>月度精矿理论与实际品位对比（3%）</t>
  </si>
  <si>
    <t>综合品位（本月出厂+上月库存）</t>
  </si>
  <si>
    <t>今日实际结存</t>
  </si>
  <si>
    <t>本月实际产出(今日实际结存+本月出厂-上月库存)</t>
  </si>
  <si>
    <t>精矿量对比（直接相减3%）实际和理论相比较</t>
  </si>
  <si>
    <t>精矿量对比（含量反推3%）</t>
  </si>
  <si>
    <t>本月理论回收率</t>
  </si>
  <si>
    <t>本月实际回收率</t>
  </si>
  <si>
    <t>2011年 班、车间、全厂回收率分布表</t>
  </si>
  <si>
    <t>铅回收率</t>
  </si>
  <si>
    <t>锌回收率</t>
  </si>
  <si>
    <t>铜回收率</t>
  </si>
  <si>
    <t>PbK</t>
  </si>
  <si>
    <t>ZnK</t>
  </si>
  <si>
    <t>CuK</t>
  </si>
  <si>
    <t>X</t>
  </si>
  <si>
    <t>合计</t>
  </si>
  <si>
    <t>（一）</t>
  </si>
  <si>
    <t>（二）</t>
  </si>
  <si>
    <t>（三）</t>
  </si>
  <si>
    <t>三车间</t>
  </si>
  <si>
    <t>D</t>
  </si>
  <si>
    <t>E</t>
  </si>
  <si>
    <t>F</t>
  </si>
  <si>
    <t>四车间</t>
  </si>
  <si>
    <t>全厂月</t>
  </si>
  <si>
    <t>全厂累</t>
  </si>
  <si>
    <t>荣达（）选厂生产定期统计日报表</t>
  </si>
  <si>
    <t>2012年  2 月  29 日</t>
  </si>
  <si>
    <t xml:space="preserve"> 填报单位:荣达（）选厂</t>
  </si>
  <si>
    <t>填报时间：2012年3月1日</t>
  </si>
  <si>
    <t>当天气温：-25℃~-12℃</t>
  </si>
  <si>
    <t>选厂未开工。</t>
  </si>
  <si>
    <t>精矿</t>
  </si>
  <si>
    <t>分类</t>
  </si>
  <si>
    <t>水分（%）</t>
  </si>
  <si>
    <t>银（g/t)</t>
  </si>
  <si>
    <t>铜(T)</t>
  </si>
  <si>
    <t>铅(T)</t>
  </si>
  <si>
    <t>锌(T)</t>
  </si>
  <si>
    <t>银(kg)</t>
  </si>
  <si>
    <t>已发货</t>
  </si>
  <si>
    <t>其中有品位</t>
  </si>
  <si>
    <t>无品位（高）</t>
  </si>
  <si>
    <t>无品位（低）</t>
  </si>
  <si>
    <t>库存</t>
  </si>
  <si>
    <t>浓密机</t>
  </si>
  <si>
    <t>理论产出</t>
  </si>
  <si>
    <t>盈/亏（按金属量计算）</t>
  </si>
  <si>
    <t>入选原矿</t>
  </si>
  <si>
    <t>理论回收率</t>
  </si>
  <si>
    <t>回收率对比</t>
  </si>
  <si>
    <r>
      <rPr>
        <b/>
        <sz val="16"/>
        <color indexed="8"/>
        <rFont val="宋体"/>
        <family val="3"/>
        <charset val="134"/>
      </rPr>
      <t>月份精矿盘点表</t>
    </r>
    <r>
      <rPr>
        <sz val="16"/>
        <color indexed="8"/>
        <rFont val="宋体"/>
        <family val="3"/>
        <charset val="134"/>
      </rPr>
      <t>（降收率）</t>
    </r>
  </si>
  <si>
    <t>精矿金属量</t>
  </si>
  <si>
    <t>备注</t>
  </si>
  <si>
    <t>2021年10月25日盘点库存</t>
  </si>
  <si>
    <t>2021年10月理论产出</t>
  </si>
  <si>
    <t>月度入选矿石</t>
  </si>
  <si>
    <t>矿石</t>
  </si>
  <si>
    <t>月度精矿理论与实际品位对比</t>
  </si>
  <si>
    <t xml:space="preserve">    荣达选矿厂运出(  Pb  )精矿统计台帐      </t>
  </si>
  <si>
    <t>日 期</t>
  </si>
  <si>
    <t>车 号</t>
  </si>
  <si>
    <t>原编号</t>
  </si>
  <si>
    <t>铅精-001</t>
  </si>
  <si>
    <t>铅精-002</t>
  </si>
  <si>
    <t>铅精-003</t>
  </si>
  <si>
    <t>铅精-004</t>
  </si>
  <si>
    <t>铅精-005</t>
  </si>
  <si>
    <t>铅精-006</t>
  </si>
  <si>
    <t>铅精-007</t>
  </si>
  <si>
    <t>铅精-008</t>
  </si>
  <si>
    <t>铅精-009</t>
  </si>
  <si>
    <t>铅精-010</t>
  </si>
  <si>
    <t>铅精-011</t>
  </si>
  <si>
    <t>铅精-012</t>
  </si>
  <si>
    <t>铅精-013</t>
  </si>
  <si>
    <t>铅精-014</t>
  </si>
  <si>
    <t>铅精-015</t>
  </si>
  <si>
    <t>铅精-016</t>
  </si>
  <si>
    <t>铅精-017</t>
  </si>
  <si>
    <t>铅精-018</t>
  </si>
  <si>
    <t>铅精-019</t>
  </si>
  <si>
    <t>铅精-020</t>
  </si>
  <si>
    <t>铅精-021</t>
  </si>
  <si>
    <t>铅精-022</t>
  </si>
  <si>
    <t>铅精-023</t>
  </si>
  <si>
    <t>铅精-024</t>
  </si>
  <si>
    <t>铅精-025</t>
  </si>
  <si>
    <t>铅精-026</t>
  </si>
  <si>
    <t>铅精-027</t>
  </si>
  <si>
    <t>铅精-028</t>
  </si>
  <si>
    <t>铅精-029</t>
  </si>
  <si>
    <t>铅精-030</t>
  </si>
  <si>
    <t>铅精-031</t>
  </si>
  <si>
    <t>铅精-032</t>
  </si>
  <si>
    <t>铅精-033</t>
  </si>
  <si>
    <t>铅精-034</t>
  </si>
  <si>
    <t>铅精-035</t>
  </si>
  <si>
    <t>铅精-036</t>
  </si>
  <si>
    <t>铅精-037</t>
  </si>
  <si>
    <t>铅精-038</t>
  </si>
  <si>
    <t>铅精-039</t>
  </si>
  <si>
    <t>铅精-040</t>
  </si>
  <si>
    <t>铅精-041</t>
  </si>
  <si>
    <t>铅精-042</t>
  </si>
  <si>
    <t>铅精-043</t>
  </si>
  <si>
    <t>铅精-044</t>
  </si>
  <si>
    <t>铅精-045</t>
  </si>
  <si>
    <t>铅精-046</t>
  </si>
  <si>
    <t>铅精-047</t>
  </si>
  <si>
    <t>铅精-048</t>
  </si>
  <si>
    <t>铅精-049</t>
  </si>
  <si>
    <t>铅精-050</t>
  </si>
  <si>
    <t>铅精-051</t>
  </si>
  <si>
    <t>铅精-055</t>
  </si>
  <si>
    <t>铅精-056</t>
  </si>
  <si>
    <t>铅精-057</t>
  </si>
  <si>
    <t>铅精-058</t>
  </si>
  <si>
    <t>铅精-059</t>
  </si>
  <si>
    <t>铅精-060</t>
  </si>
  <si>
    <t>铅精-061</t>
  </si>
  <si>
    <t>铅精-062</t>
  </si>
  <si>
    <t>铅精-063</t>
  </si>
  <si>
    <t>铅精-064</t>
  </si>
  <si>
    <t>铅精-065</t>
  </si>
  <si>
    <t>铅精-066</t>
  </si>
  <si>
    <t>铅精-067</t>
  </si>
  <si>
    <t>铅精-068</t>
  </si>
  <si>
    <t>铅精-069</t>
  </si>
  <si>
    <t>铅精-070</t>
  </si>
  <si>
    <t>铅精-071</t>
  </si>
  <si>
    <t>铅精-072</t>
  </si>
  <si>
    <t>铅精-073</t>
  </si>
  <si>
    <t>铅精-074</t>
  </si>
  <si>
    <t>铅精-075</t>
  </si>
  <si>
    <t>铅精-076</t>
  </si>
  <si>
    <t>铅精-077</t>
  </si>
  <si>
    <t>铅精-078</t>
  </si>
  <si>
    <t>铅精-079</t>
  </si>
  <si>
    <t>铅精-080</t>
  </si>
  <si>
    <t>铅精-081</t>
  </si>
  <si>
    <t>铅精-082</t>
  </si>
  <si>
    <t>铅精-083</t>
  </si>
  <si>
    <t>铅精-084</t>
  </si>
  <si>
    <t>铅精-085</t>
  </si>
  <si>
    <t>铅精-086</t>
  </si>
  <si>
    <t>铅精-087</t>
  </si>
  <si>
    <t>铅精-088</t>
  </si>
  <si>
    <t>铅精-089</t>
  </si>
  <si>
    <t>铅精-090</t>
  </si>
  <si>
    <t>铅精-091</t>
  </si>
  <si>
    <t>铅精-092</t>
  </si>
  <si>
    <t>铅精-093</t>
  </si>
  <si>
    <t>铅精-094</t>
  </si>
  <si>
    <t>铅精-095</t>
  </si>
  <si>
    <t>铅精-096</t>
  </si>
  <si>
    <t>铅精-097</t>
  </si>
  <si>
    <t>铅精-098</t>
  </si>
  <si>
    <t>铅精-099</t>
  </si>
  <si>
    <t>铅精-100</t>
  </si>
  <si>
    <t>铅精-101</t>
  </si>
  <si>
    <t>铅精-102</t>
  </si>
  <si>
    <t>铅精-103</t>
  </si>
  <si>
    <t>铅精-104</t>
  </si>
  <si>
    <t>铅精-105</t>
  </si>
  <si>
    <t>铅精-106</t>
  </si>
  <si>
    <t>铅精-107</t>
  </si>
  <si>
    <t>铅精-108</t>
  </si>
  <si>
    <t>铅精-109</t>
  </si>
  <si>
    <t>铅精-110</t>
  </si>
  <si>
    <t>铅精-111</t>
  </si>
  <si>
    <t>铅精-112</t>
  </si>
  <si>
    <t>铅精-113</t>
  </si>
  <si>
    <t>铅精-114</t>
  </si>
  <si>
    <t>铅精-115</t>
  </si>
  <si>
    <t>铅精-116</t>
  </si>
  <si>
    <t>铅精-117</t>
  </si>
  <si>
    <t>铅精-118</t>
  </si>
  <si>
    <t>铅精-119</t>
  </si>
  <si>
    <t>铅精-120</t>
  </si>
  <si>
    <t>铅精-121</t>
  </si>
  <si>
    <t>铅精-122</t>
  </si>
  <si>
    <t>铅精-123</t>
  </si>
  <si>
    <t>铅精-124</t>
  </si>
  <si>
    <t>铅精-125</t>
  </si>
  <si>
    <t>铅精-126</t>
  </si>
  <si>
    <t>铅精-127</t>
  </si>
  <si>
    <t>铅精-128</t>
  </si>
  <si>
    <t>铅精-129</t>
  </si>
  <si>
    <t>铅精-130</t>
  </si>
  <si>
    <t>铅精-131</t>
  </si>
  <si>
    <t>铅精-132</t>
  </si>
  <si>
    <t>铅精-133</t>
  </si>
  <si>
    <t>铅精-134</t>
  </si>
  <si>
    <t>铅精-135</t>
  </si>
  <si>
    <t>铅精-136</t>
  </si>
  <si>
    <t>铅精-137</t>
  </si>
  <si>
    <t>铅精-138</t>
  </si>
  <si>
    <t>铅精-139</t>
  </si>
  <si>
    <t>铅精-140</t>
  </si>
  <si>
    <t>铅精-141</t>
  </si>
  <si>
    <t>铅精-142</t>
  </si>
  <si>
    <t>铅精-143</t>
  </si>
  <si>
    <t>铅精-144</t>
  </si>
  <si>
    <t>铅精-145</t>
  </si>
  <si>
    <t>铅精-146</t>
  </si>
  <si>
    <t>铅精-147</t>
  </si>
  <si>
    <t>铅精-148</t>
  </si>
  <si>
    <t>铅精-149</t>
  </si>
  <si>
    <t>铅精-150</t>
  </si>
  <si>
    <t>铅精-151</t>
  </si>
  <si>
    <t>铅精-152</t>
  </si>
  <si>
    <t>86639</t>
  </si>
  <si>
    <t>99068</t>
  </si>
  <si>
    <t>1922</t>
  </si>
  <si>
    <t>88968</t>
  </si>
  <si>
    <t>50265</t>
  </si>
  <si>
    <t>31560</t>
  </si>
  <si>
    <t>全年合计</t>
  </si>
  <si>
    <t>001</t>
  </si>
  <si>
    <t>73737</t>
  </si>
  <si>
    <t>002</t>
  </si>
  <si>
    <t>0116</t>
  </si>
  <si>
    <t>003</t>
  </si>
  <si>
    <t>004</t>
  </si>
  <si>
    <t>005</t>
  </si>
  <si>
    <t>67120</t>
  </si>
  <si>
    <t>006</t>
  </si>
  <si>
    <t>315600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</si>
  <si>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</si>
  <si>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</si>
  <si>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</si>
  <si>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</si>
  <si>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</si>
  <si>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</si>
  <si>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</si>
  <si>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</si>
  <si>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</si>
  <si>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</si>
  <si>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</si>
  <si>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</si>
  <si>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</si>
  <si>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</si>
  <si>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</si>
  <si>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</si>
  <si>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</si>
  <si>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</si>
  <si>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</si>
  <si>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</si>
  <si>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 xml:space="preserve"> 99068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</si>
  <si>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</si>
  <si>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</si>
  <si>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</si>
  <si>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</si>
  <si>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</si>
  <si>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</si>
  <si>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</si>
  <si>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</si>
  <si>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</si>
  <si>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</si>
  <si>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88368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</si>
  <si>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</si>
  <si>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</si>
  <si>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</si>
  <si>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</si>
  <si>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</si>
  <si>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</si>
  <si>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</si>
  <si>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</si>
  <si>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</si>
  <si>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</si>
  <si>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</si>
  <si>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</si>
  <si>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</si>
  <si>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</si>
  <si>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</si>
  <si>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055</t>
  </si>
  <si>
    <t>056</t>
  </si>
  <si>
    <t>057</t>
  </si>
  <si>
    <t>058</t>
  </si>
  <si>
    <t>059</t>
  </si>
  <si>
    <t>060</t>
  </si>
  <si>
    <t>061</t>
  </si>
  <si>
    <t>062</t>
  </si>
  <si>
    <t>6123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</si>
  <si>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</si>
  <si>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</si>
  <si>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</si>
  <si>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</si>
  <si>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</si>
  <si>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</si>
  <si>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</si>
  <si>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</si>
  <si>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</si>
  <si>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</si>
  <si>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</si>
  <si>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</si>
  <si>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</si>
  <si>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</si>
  <si>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</si>
  <si>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</si>
  <si>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</si>
  <si>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</si>
  <si>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61617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</si>
  <si>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</si>
  <si>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</si>
  <si>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</si>
  <si>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</si>
  <si>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</si>
  <si>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</si>
  <si>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</si>
  <si>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</si>
  <si>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</si>
  <si>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</si>
  <si>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8816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</si>
  <si>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</si>
  <si>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</si>
  <si>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</si>
  <si>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</si>
  <si>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</si>
  <si>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</si>
  <si>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</si>
  <si>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</si>
  <si>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</si>
  <si>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</si>
  <si>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</si>
  <si>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</si>
  <si>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</si>
  <si>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</si>
  <si>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</si>
  <si>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</si>
  <si>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</si>
  <si>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</si>
  <si>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</si>
  <si>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</si>
  <si>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6122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</si>
  <si>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</si>
  <si>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</si>
  <si>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</si>
  <si>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</si>
  <si>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</si>
  <si>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</si>
  <si>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</si>
  <si>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</si>
  <si>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</si>
  <si>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</si>
  <si>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</si>
  <si>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</si>
  <si>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</si>
  <si>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</si>
  <si>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</si>
  <si>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</si>
  <si>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</si>
  <si>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</si>
  <si>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</si>
  <si>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</si>
  <si>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</si>
  <si>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</si>
  <si>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</si>
  <si>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</si>
  <si>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</si>
  <si>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</si>
  <si>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</si>
  <si>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</si>
  <si>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</si>
  <si>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</si>
  <si>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</si>
  <si>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</si>
  <si>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</si>
  <si>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</si>
  <si>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</si>
  <si>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</si>
  <si>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</si>
  <si>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</si>
  <si>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</si>
  <si>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</si>
  <si>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</si>
  <si>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</si>
  <si>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 xml:space="preserve">    荣达选矿厂运出( Zn )精矿统计台帐      </t>
  </si>
  <si>
    <t>货主：</t>
  </si>
  <si>
    <t>2024年</t>
  </si>
  <si>
    <t>8月</t>
  </si>
  <si>
    <t>编 号</t>
  </si>
  <si>
    <t>本月合计</t>
  </si>
  <si>
    <t xml:space="preserve">  制表人：</t>
  </si>
  <si>
    <t>第  1 页</t>
  </si>
  <si>
    <t xml:space="preserve">  荣达选矿厂生产统计报(班组周表）    </t>
  </si>
  <si>
    <t>201周累</t>
  </si>
  <si>
    <t>选矿厂</t>
  </si>
  <si>
    <t>原矿含铅</t>
  </si>
  <si>
    <t>202周累</t>
  </si>
  <si>
    <t>原矿含锌</t>
  </si>
  <si>
    <t>203周累</t>
  </si>
  <si>
    <t>原矿含银</t>
  </si>
  <si>
    <t>铜精</t>
  </si>
  <si>
    <t>铅精品位</t>
  </si>
  <si>
    <t>锌精品位</t>
  </si>
  <si>
    <t>铅精水分</t>
  </si>
  <si>
    <t>锌精水分</t>
  </si>
  <si>
    <t xml:space="preserve">  荣达选矿厂生产统计表(班组月度累计表）    </t>
  </si>
  <si>
    <r>
      <rPr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01</t>
    </r>
    <r>
      <rPr>
        <sz val="10"/>
        <rFont val="宋体"/>
        <family val="3"/>
        <charset val="134"/>
      </rPr>
      <t>月累</t>
    </r>
  </si>
  <si>
    <r>
      <rPr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02</t>
    </r>
    <r>
      <rPr>
        <sz val="10"/>
        <rFont val="宋体"/>
        <family val="3"/>
        <charset val="134"/>
      </rPr>
      <t>月累</t>
    </r>
  </si>
  <si>
    <r>
      <rPr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03</t>
    </r>
    <r>
      <rPr>
        <sz val="10"/>
        <rFont val="宋体"/>
        <family val="3"/>
        <charset val="134"/>
      </rPr>
      <t>月累</t>
    </r>
  </si>
  <si>
    <t xml:space="preserve">  荣达选矿厂生产统计表(班组年累计表）    </t>
  </si>
  <si>
    <r>
      <rPr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01</t>
    </r>
    <r>
      <rPr>
        <sz val="10"/>
        <rFont val="宋体"/>
        <family val="3"/>
        <charset val="134"/>
      </rPr>
      <t>年累</t>
    </r>
  </si>
  <si>
    <r>
      <rPr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02</t>
    </r>
    <r>
      <rPr>
        <sz val="10"/>
        <rFont val="宋体"/>
        <family val="3"/>
        <charset val="134"/>
      </rPr>
      <t>年累</t>
    </r>
  </si>
  <si>
    <r>
      <rPr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03</t>
    </r>
    <r>
      <rPr>
        <sz val="10"/>
        <rFont val="宋体"/>
        <family val="3"/>
        <charset val="134"/>
      </rPr>
      <t>年累</t>
    </r>
  </si>
  <si>
    <t>磨浮班组日指标完成情况</t>
  </si>
  <si>
    <t>目标值</t>
  </si>
  <si>
    <t>本日效果</t>
  </si>
  <si>
    <t>铅精含锌</t>
  </si>
  <si>
    <t>锌精含铅</t>
  </si>
  <si>
    <t>尾  矿</t>
  </si>
  <si>
    <t>尾矿含铅</t>
  </si>
  <si>
    <t>尾矿含锌</t>
  </si>
  <si>
    <t>注：出现红灯指标的班次需要重点关注，黄灯指标加以改进。</t>
  </si>
  <si>
    <t>子项</t>
  </si>
  <si>
    <t>母项</t>
  </si>
  <si>
    <t>二表</t>
  </si>
  <si>
    <t>铅精矿（Pb）</t>
  </si>
  <si>
    <t>锌精矿 （Zn）</t>
  </si>
  <si>
    <t>银精矿（Ag）</t>
  </si>
  <si>
    <t>三表</t>
  </si>
  <si>
    <t>本月入选原矿</t>
  </si>
  <si>
    <t>本月验收精矿</t>
  </si>
  <si>
    <t>月累尾矿金属量</t>
  </si>
  <si>
    <t>月精尾平衡表</t>
  </si>
  <si>
    <t>1、理论产出精矿金属量</t>
  </si>
  <si>
    <t>铅精矿（pb）</t>
  </si>
  <si>
    <t>锌精矿（zn）</t>
  </si>
  <si>
    <t>年精尾平衡表</t>
  </si>
  <si>
    <t>回收率</t>
    <phoneticPr fontId="54" type="noConversion"/>
  </si>
  <si>
    <t>铅金属</t>
    <phoneticPr fontId="54" type="noConversion"/>
  </si>
  <si>
    <t>银金属</t>
    <phoneticPr fontId="54" type="noConversion"/>
  </si>
  <si>
    <t>日期</t>
    <phoneticPr fontId="54" type="noConversion"/>
  </si>
  <si>
    <r>
      <t>选矿厂生产日报表（</t>
    </r>
    <r>
      <rPr>
        <u/>
        <sz val="18"/>
        <rFont val="宋体"/>
        <family val="3"/>
        <charset val="134"/>
      </rPr>
      <t>金属平衡表</t>
    </r>
    <r>
      <rPr>
        <b/>
        <u/>
        <sz val="18"/>
        <rFont val="宋体"/>
        <family val="3"/>
        <charset val="134"/>
      </rPr>
      <t xml:space="preserve">） </t>
    </r>
    <phoneticPr fontId="54" type="noConversion"/>
  </si>
  <si>
    <t xml:space="preserve">  选矿厂生产月累统计表    </t>
    <phoneticPr fontId="54" type="noConversion"/>
  </si>
  <si>
    <t xml:space="preserve">  选矿厂生产年累统计表    </t>
    <phoneticPr fontId="54" type="noConversion"/>
  </si>
  <si>
    <t>选矿厂生产统计台账</t>
    <phoneticPr fontId="54" type="noConversion"/>
  </si>
  <si>
    <t>选矿厂生产定期统计日报表</t>
    <phoneticPr fontId="54" type="noConversion"/>
  </si>
  <si>
    <t xml:space="preserve">   选矿厂运出(  Pb  )精矿统计台帐      </t>
    <phoneticPr fontId="5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</si>
</sst>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[$-F800]dddd\,\ mmmm\ dd\,\ yyyy"/>
    <numFmt numFmtId="177" formatCode="0.00_);[Red]\(0.00\)"/>
    <numFmt numFmtId="178" formatCode="0.000_);[Red]\(0.000\)"/>
    <numFmt numFmtId="179" formatCode="0.00_ "/>
    <numFmt numFmtId="180" formatCode="yyyy&quot;年&quot;m&quot;月&quot;d&quot;日&quot;;@"/>
    <numFmt numFmtId="181" formatCode="0_ "/>
    <numFmt numFmtId="182" formatCode="0.000_ "/>
    <numFmt numFmtId="183" formatCode="0.0000_ "/>
    <numFmt numFmtId="184" formatCode="0_);[Red]\(0\)"/>
    <numFmt numFmtId="185" formatCode="00"/>
    <numFmt numFmtId="186" formatCode="0.000"/>
    <numFmt numFmtId="187" formatCode="0;[Red]0"/>
    <numFmt numFmtId="188" formatCode="0.00;[Red]0.00"/>
    <numFmt numFmtId="189" formatCode="0.0_);[Red]\(0.0\)"/>
    <numFmt numFmtId="190" formatCode="0.0000_);[Red]\(0.0000\)"/>
    <numFmt numFmtId="191" formatCode="0.0000"/>
    <numFmt numFmtId="192" formatCode="0.0_ "/>
    <numFmt numFmtId="193" formatCode="0.00_);\(0.00\)"/>
    <numFmt numFmtId="194" formatCode="0.00000"/>
  </numFmts>
  <fonts count="86">
    <font>
      <sz val="11"/>
      <color indexed="8"/>
      <name val="宋体"/>
      <charset val="134"/>
    </font>
    <font>
      <b/>
      <sz val="18"/>
      <color indexed="8"/>
      <name val="宋体"/>
      <family val="3"/>
      <charset val="134"/>
    </font>
    <font>
      <sz val="18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u/>
      <sz val="18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u/>
      <sz val="20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indexed="12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2"/>
      <color indexed="8"/>
      <name val="Arial"/>
      <family val="2"/>
    </font>
    <font>
      <b/>
      <sz val="20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theme="5"/>
      <name val="宋体"/>
      <family val="3"/>
      <charset val="134"/>
    </font>
    <font>
      <b/>
      <sz val="16"/>
      <color indexed="8"/>
      <name val="宋体"/>
      <family val="3"/>
      <charset val="134"/>
    </font>
    <font>
      <sz val="11"/>
      <name val="Arial"/>
      <family val="2"/>
    </font>
    <font>
      <b/>
      <sz val="11"/>
      <color theme="1" tint="0.34998626667073579"/>
      <name val="宋体"/>
      <family val="3"/>
      <charset val="134"/>
    </font>
    <font>
      <b/>
      <sz val="12"/>
      <color theme="1" tint="0.34998626667073579"/>
      <name val="宋体"/>
      <family val="3"/>
      <charset val="134"/>
    </font>
    <font>
      <b/>
      <sz val="12"/>
      <color theme="0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theme="5"/>
      <name val="宋体"/>
      <family val="3"/>
      <charset val="134"/>
    </font>
    <font>
      <b/>
      <sz val="12"/>
      <color indexed="12"/>
      <name val="宋体"/>
      <family val="3"/>
      <charset val="134"/>
    </font>
    <font>
      <b/>
      <sz val="11"/>
      <color indexed="10"/>
      <name val="宋体"/>
      <family val="3"/>
      <charset val="134"/>
    </font>
    <font>
      <b/>
      <sz val="11"/>
      <color indexed="17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0070C0"/>
      <name val="宋体"/>
      <family val="3"/>
      <charset val="134"/>
    </font>
    <font>
      <sz val="10"/>
      <name val="Arial"/>
      <family val="2"/>
    </font>
    <font>
      <sz val="8"/>
      <name val="宋体"/>
      <family val="3"/>
      <charset val="134"/>
    </font>
    <font>
      <b/>
      <sz val="20"/>
      <name val="华文宋体"/>
      <family val="3"/>
      <charset val="134"/>
    </font>
    <font>
      <sz val="16"/>
      <color indexed="10"/>
      <name val="华文仿宋"/>
      <family val="3"/>
      <charset val="134"/>
    </font>
    <font>
      <b/>
      <sz val="10"/>
      <color indexed="10"/>
      <name val="宋体"/>
      <family val="3"/>
      <charset val="134"/>
    </font>
    <font>
      <b/>
      <sz val="12"/>
      <name val="华文宋体"/>
      <family val="3"/>
      <charset val="134"/>
    </font>
    <font>
      <sz val="12"/>
      <name val="华文宋体"/>
      <family val="3"/>
      <charset val="134"/>
    </font>
    <font>
      <sz val="11"/>
      <color theme="2" tint="-0.89983825189977718"/>
      <name val="宋体"/>
      <family val="3"/>
      <charset val="134"/>
    </font>
    <font>
      <sz val="11"/>
      <color rgb="FF3333FF"/>
      <name val="宋体"/>
      <family val="3"/>
      <charset val="134"/>
    </font>
    <font>
      <b/>
      <sz val="12"/>
      <color indexed="10"/>
      <name val="宋体"/>
      <family val="3"/>
      <charset val="134"/>
    </font>
    <font>
      <b/>
      <sz val="12"/>
      <color rgb="FFC00000"/>
      <name val="宋体"/>
      <family val="3"/>
      <charset val="134"/>
    </font>
    <font>
      <b/>
      <sz val="11"/>
      <color theme="2" tint="-0.89983825189977718"/>
      <name val="宋体"/>
      <family val="3"/>
      <charset val="134"/>
    </font>
    <font>
      <b/>
      <sz val="12"/>
      <color theme="2" tint="-0.89983825189977718"/>
      <name val="宋体"/>
      <family val="3"/>
      <charset val="134"/>
    </font>
    <font>
      <b/>
      <sz val="12"/>
      <color rgb="FF3333FF"/>
      <name val="宋体"/>
      <family val="3"/>
      <charset val="134"/>
    </font>
    <font>
      <b/>
      <sz val="10.5"/>
      <color indexed="8"/>
      <name val="宋体"/>
      <family val="3"/>
      <charset val="134"/>
    </font>
    <font>
      <sz val="10.5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indexed="10"/>
      <name val="宋体"/>
      <family val="3"/>
      <charset val="134"/>
    </font>
    <font>
      <sz val="10"/>
      <color rgb="FF00B0F0"/>
      <name val="宋体"/>
      <family val="3"/>
      <charset val="134"/>
    </font>
    <font>
      <sz val="9"/>
      <name val="宋体"/>
      <family val="3"/>
      <charset val="134"/>
    </font>
    <font>
      <sz val="9"/>
      <color indexed="10"/>
      <name val="宋体"/>
      <family val="3"/>
      <charset val="134"/>
    </font>
    <font>
      <b/>
      <sz val="18"/>
      <name val="宋体"/>
      <family val="3"/>
      <charset val="134"/>
    </font>
    <font>
      <sz val="12"/>
      <name val="黑体"/>
      <family val="3"/>
      <charset val="134"/>
    </font>
    <font>
      <sz val="9"/>
      <name val="宋体-PUA"/>
      <charset val="134"/>
    </font>
    <font>
      <b/>
      <sz val="14"/>
      <name val="宋体"/>
      <family val="3"/>
      <charset val="134"/>
    </font>
    <font>
      <b/>
      <sz val="11"/>
      <color indexed="12"/>
      <name val="宋体"/>
      <family val="3"/>
      <charset val="134"/>
    </font>
    <font>
      <b/>
      <sz val="9"/>
      <name val="宋体"/>
      <family val="3"/>
      <charset val="134"/>
    </font>
    <font>
      <sz val="9"/>
      <color indexed="8"/>
      <name val="宋体"/>
      <family val="3"/>
      <charset val="134"/>
    </font>
    <font>
      <i/>
      <sz val="9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indexed="17"/>
      <name val="宋体"/>
      <family val="3"/>
      <charset val="134"/>
    </font>
    <font>
      <sz val="9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1"/>
      <color rgb="FF00B0F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6"/>
      <color indexed="8"/>
      <name val="宋体"/>
      <family val="3"/>
      <charset val="134"/>
    </font>
    <font>
      <u/>
      <sz val="18"/>
      <name val="宋体"/>
      <family val="3"/>
      <charset val="134"/>
    </font>
    <font>
      <sz val="11"/>
      <color indexed="8"/>
      <name val="宋体"/>
      <family val="3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 diagonalDown="1">
      <left style="medium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Down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7">
    <xf numFmtId="176" fontId="0" fillId="0" borderId="0">
      <alignment vertical="center"/>
    </xf>
    <xf numFmtId="176" fontId="14" fillId="0" borderId="0">
      <alignment vertical="center"/>
    </xf>
    <xf numFmtId="176" fontId="6" fillId="0" borderId="0"/>
    <xf numFmtId="176" fontId="70" fillId="15" borderId="53" applyNumberFormat="0" applyAlignment="0" applyProtection="0">
      <alignment vertical="center"/>
    </xf>
    <xf numFmtId="176" fontId="85" fillId="16" borderId="0" applyNumberFormat="0" applyBorder="0" applyAlignment="0" applyProtection="0">
      <alignment vertical="center"/>
    </xf>
    <xf numFmtId="176" fontId="71" fillId="15" borderId="54" applyNumberFormat="0" applyAlignment="0" applyProtection="0">
      <alignment vertical="center"/>
    </xf>
    <xf numFmtId="176" fontId="85" fillId="0" borderId="0">
      <alignment vertical="center"/>
    </xf>
    <xf numFmtId="176" fontId="72" fillId="17" borderId="0" applyNumberFormat="0" applyBorder="0" applyAlignment="0" applyProtection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85" fillId="18" borderId="0" applyNumberFormat="0" applyBorder="0" applyAlignment="0" applyProtection="0">
      <alignment vertical="center"/>
    </xf>
    <xf numFmtId="176" fontId="85" fillId="19" borderId="0" applyNumberFormat="0" applyBorder="0" applyAlignment="0" applyProtection="0">
      <alignment vertical="center"/>
    </xf>
    <xf numFmtId="176" fontId="85" fillId="20" borderId="0" applyNumberFormat="0" applyBorder="0" applyAlignment="0" applyProtection="0">
      <alignment vertical="center"/>
    </xf>
    <xf numFmtId="176" fontId="85" fillId="21" borderId="0" applyNumberFormat="0" applyBorder="0" applyAlignment="0" applyProtection="0">
      <alignment vertical="center"/>
    </xf>
    <xf numFmtId="176" fontId="85" fillId="16" borderId="0" applyNumberFormat="0" applyBorder="0" applyAlignment="0" applyProtection="0">
      <alignment vertical="center"/>
    </xf>
    <xf numFmtId="176" fontId="73" fillId="0" borderId="55" applyNumberFormat="0" applyFill="0" applyAlignment="0" applyProtection="0">
      <alignment vertical="center"/>
    </xf>
    <xf numFmtId="176" fontId="73" fillId="0" borderId="55" applyNumberFormat="0" applyFill="0" applyAlignment="0" applyProtection="0">
      <alignment vertical="center"/>
    </xf>
    <xf numFmtId="176" fontId="70" fillId="15" borderId="53" applyNumberFormat="0" applyAlignment="0" applyProtection="0">
      <alignment vertical="center"/>
    </xf>
    <xf numFmtId="176" fontId="70" fillId="15" borderId="53" applyNumberFormat="0" applyAlignment="0" applyProtection="0">
      <alignment vertical="center"/>
    </xf>
    <xf numFmtId="176" fontId="71" fillId="15" borderId="54" applyNumberFormat="0" applyAlignment="0" applyProtection="0">
      <alignment vertical="center"/>
    </xf>
    <xf numFmtId="176" fontId="71" fillId="15" borderId="54" applyNumberFormat="0" applyAlignment="0" applyProtection="0">
      <alignment vertical="center"/>
    </xf>
    <xf numFmtId="176" fontId="74" fillId="22" borderId="0" applyNumberFormat="0" applyBorder="0" applyAlignment="0" applyProtection="0">
      <alignment vertical="center"/>
    </xf>
    <xf numFmtId="176" fontId="85" fillId="16" borderId="0" applyNumberFormat="0" applyBorder="0" applyAlignment="0" applyProtection="0">
      <alignment vertical="center"/>
    </xf>
    <xf numFmtId="176" fontId="85" fillId="20" borderId="0" applyNumberFormat="0" applyBorder="0" applyAlignment="0" applyProtection="0">
      <alignment vertical="center"/>
    </xf>
    <xf numFmtId="176" fontId="85" fillId="20" borderId="0" applyNumberFormat="0" applyBorder="0" applyAlignment="0" applyProtection="0">
      <alignment vertical="center"/>
    </xf>
    <xf numFmtId="176" fontId="85" fillId="21" borderId="0" applyNumberFormat="0" applyBorder="0" applyAlignment="0" applyProtection="0">
      <alignment vertical="center"/>
    </xf>
    <xf numFmtId="176" fontId="85" fillId="21" borderId="0" applyNumberFormat="0" applyBorder="0" applyAlignment="0" applyProtection="0">
      <alignment vertical="center"/>
    </xf>
    <xf numFmtId="176" fontId="72" fillId="23" borderId="0" applyNumberFormat="0" applyBorder="0" applyAlignment="0" applyProtection="0">
      <alignment vertical="center"/>
    </xf>
    <xf numFmtId="176" fontId="85" fillId="18" borderId="0" applyNumberFormat="0" applyBorder="0" applyAlignment="0" applyProtection="0">
      <alignment vertical="center"/>
    </xf>
    <xf numFmtId="176" fontId="85" fillId="0" borderId="0">
      <alignment vertical="center"/>
    </xf>
    <xf numFmtId="176" fontId="85" fillId="18" borderId="0" applyNumberFormat="0" applyBorder="0" applyAlignment="0" applyProtection="0">
      <alignment vertical="center"/>
    </xf>
    <xf numFmtId="176" fontId="6" fillId="0" borderId="0">
      <alignment vertical="center"/>
    </xf>
    <xf numFmtId="176" fontId="85" fillId="18" borderId="0" applyNumberFormat="0" applyBorder="0" applyAlignment="0" applyProtection="0">
      <alignment vertical="center"/>
    </xf>
    <xf numFmtId="176" fontId="72" fillId="17" borderId="0" applyNumberFormat="0" applyBorder="0" applyAlignment="0" applyProtection="0">
      <alignment vertical="center"/>
    </xf>
    <xf numFmtId="176" fontId="6" fillId="0" borderId="0">
      <alignment vertical="center"/>
    </xf>
    <xf numFmtId="176" fontId="85" fillId="19" borderId="0" applyNumberFormat="0" applyBorder="0" applyAlignment="0" applyProtection="0">
      <alignment vertical="center"/>
    </xf>
    <xf numFmtId="176" fontId="85" fillId="19" borderId="0" applyNumberFormat="0" applyBorder="0" applyAlignment="0" applyProtection="0">
      <alignment vertical="center"/>
    </xf>
    <xf numFmtId="176" fontId="72" fillId="24" borderId="0" applyNumberFormat="0" applyBorder="0" applyAlignment="0" applyProtection="0">
      <alignment vertical="center"/>
    </xf>
    <xf numFmtId="176" fontId="85" fillId="25" borderId="0" applyNumberFormat="0" applyBorder="0" applyAlignment="0" applyProtection="0">
      <alignment vertical="center"/>
    </xf>
    <xf numFmtId="176" fontId="85" fillId="25" borderId="0" applyNumberFormat="0" applyBorder="0" applyAlignment="0" applyProtection="0">
      <alignment vertical="center"/>
    </xf>
    <xf numFmtId="176" fontId="85" fillId="25" borderId="0" applyNumberFormat="0" applyBorder="0" applyAlignment="0" applyProtection="0">
      <alignment vertical="center"/>
    </xf>
    <xf numFmtId="176" fontId="72" fillId="26" borderId="0" applyNumberFormat="0" applyBorder="0" applyAlignment="0" applyProtection="0">
      <alignment vertical="center"/>
    </xf>
    <xf numFmtId="176" fontId="85" fillId="14" borderId="0" applyNumberFormat="0" applyBorder="0" applyAlignment="0" applyProtection="0">
      <alignment vertical="center"/>
    </xf>
    <xf numFmtId="176" fontId="85" fillId="14" borderId="0" applyNumberFormat="0" applyBorder="0" applyAlignment="0" applyProtection="0">
      <alignment vertical="center"/>
    </xf>
    <xf numFmtId="176" fontId="85" fillId="14" borderId="0" applyNumberFormat="0" applyBorder="0" applyAlignment="0" applyProtection="0">
      <alignment vertical="center"/>
    </xf>
    <xf numFmtId="176" fontId="85" fillId="17" borderId="0" applyNumberFormat="0" applyBorder="0" applyAlignment="0" applyProtection="0">
      <alignment vertical="center"/>
    </xf>
    <xf numFmtId="176" fontId="85" fillId="17" borderId="0" applyNumberFormat="0" applyBorder="0" applyAlignment="0" applyProtection="0">
      <alignment vertical="center"/>
    </xf>
    <xf numFmtId="176" fontId="85" fillId="17" borderId="0" applyNumberFormat="0" applyBorder="0" applyAlignment="0" applyProtection="0">
      <alignment vertical="center"/>
    </xf>
    <xf numFmtId="176" fontId="85" fillId="24" borderId="0" applyNumberFormat="0" applyBorder="0" applyAlignment="0" applyProtection="0">
      <alignment vertical="center"/>
    </xf>
    <xf numFmtId="176" fontId="85" fillId="24" borderId="0" applyNumberFormat="0" applyBorder="0" applyAlignment="0" applyProtection="0">
      <alignment vertical="center"/>
    </xf>
    <xf numFmtId="176" fontId="85" fillId="24" borderId="0" applyNumberFormat="0" applyBorder="0" applyAlignment="0" applyProtection="0">
      <alignment vertical="center"/>
    </xf>
    <xf numFmtId="176" fontId="85" fillId="18" borderId="0" applyNumberFormat="0" applyBorder="0" applyAlignment="0" applyProtection="0">
      <alignment vertical="center"/>
    </xf>
    <xf numFmtId="176" fontId="85" fillId="18" borderId="0" applyNumberFormat="0" applyBorder="0" applyAlignment="0" applyProtection="0">
      <alignment vertical="center"/>
    </xf>
    <xf numFmtId="176" fontId="85" fillId="14" borderId="0" applyNumberFormat="0" applyBorder="0" applyAlignment="0" applyProtection="0">
      <alignment vertical="center"/>
    </xf>
    <xf numFmtId="176" fontId="85" fillId="14" borderId="0" applyNumberFormat="0" applyBorder="0" applyAlignment="0" applyProtection="0">
      <alignment vertical="center"/>
    </xf>
    <xf numFmtId="176" fontId="85" fillId="14" borderId="0" applyNumberFormat="0" applyBorder="0" applyAlignment="0" applyProtection="0">
      <alignment vertical="center"/>
    </xf>
    <xf numFmtId="176" fontId="85" fillId="27" borderId="0" applyNumberFormat="0" applyBorder="0" applyAlignment="0" applyProtection="0">
      <alignment vertical="center"/>
    </xf>
    <xf numFmtId="176" fontId="85" fillId="27" borderId="0" applyNumberFormat="0" applyBorder="0" applyAlignment="0" applyProtection="0">
      <alignment vertical="center"/>
    </xf>
    <xf numFmtId="176" fontId="85" fillId="27" borderId="0" applyNumberFormat="0" applyBorder="0" applyAlignment="0" applyProtection="0">
      <alignment vertical="center"/>
    </xf>
    <xf numFmtId="176" fontId="72" fillId="23" borderId="0" applyNumberFormat="0" applyBorder="0" applyAlignment="0" applyProtection="0">
      <alignment vertical="center"/>
    </xf>
    <xf numFmtId="176" fontId="72" fillId="23" borderId="0" applyNumberFormat="0" applyBorder="0" applyAlignment="0" applyProtection="0">
      <alignment vertical="center"/>
    </xf>
    <xf numFmtId="176" fontId="72" fillId="17" borderId="0" applyNumberFormat="0" applyBorder="0" applyAlignment="0" applyProtection="0">
      <alignment vertical="center"/>
    </xf>
    <xf numFmtId="176" fontId="6" fillId="0" borderId="0">
      <alignment vertical="center"/>
    </xf>
    <xf numFmtId="176" fontId="72" fillId="24" borderId="0" applyNumberFormat="0" applyBorder="0" applyAlignment="0" applyProtection="0">
      <alignment vertical="center"/>
    </xf>
    <xf numFmtId="176" fontId="72" fillId="24" borderId="0" applyNumberFormat="0" applyBorder="0" applyAlignment="0" applyProtection="0">
      <alignment vertical="center"/>
    </xf>
    <xf numFmtId="176" fontId="72" fillId="26" borderId="0" applyNumberFormat="0" applyBorder="0" applyAlignment="0" applyProtection="0">
      <alignment vertical="center"/>
    </xf>
    <xf numFmtId="176" fontId="72" fillId="26" borderId="0" applyNumberFormat="0" applyBorder="0" applyAlignment="0" applyProtection="0">
      <alignment vertical="center"/>
    </xf>
    <xf numFmtId="176" fontId="72" fillId="28" borderId="0" applyNumberFormat="0" applyBorder="0" applyAlignment="0" applyProtection="0">
      <alignment vertical="center"/>
    </xf>
    <xf numFmtId="176" fontId="72" fillId="28" borderId="0" applyNumberFormat="0" applyBorder="0" applyAlignment="0" applyProtection="0">
      <alignment vertical="center"/>
    </xf>
    <xf numFmtId="176" fontId="72" fillId="28" borderId="0" applyNumberFormat="0" applyBorder="0" applyAlignment="0" applyProtection="0">
      <alignment vertical="center"/>
    </xf>
    <xf numFmtId="176" fontId="72" fillId="29" borderId="0" applyNumberFormat="0" applyBorder="0" applyAlignment="0" applyProtection="0">
      <alignment vertical="center"/>
    </xf>
    <xf numFmtId="176" fontId="72" fillId="29" borderId="0" applyNumberFormat="0" applyBorder="0" applyAlignment="0" applyProtection="0">
      <alignment vertical="center"/>
    </xf>
    <xf numFmtId="176" fontId="72" fillId="29" borderId="0" applyNumberFormat="0" applyBorder="0" applyAlignment="0" applyProtection="0">
      <alignment vertical="center"/>
    </xf>
    <xf numFmtId="176" fontId="75" fillId="0" borderId="56" applyNumberFormat="0" applyFill="0" applyAlignment="0" applyProtection="0">
      <alignment vertical="center"/>
    </xf>
    <xf numFmtId="176" fontId="75" fillId="0" borderId="56" applyNumberFormat="0" applyFill="0" applyAlignment="0" applyProtection="0">
      <alignment vertical="center"/>
    </xf>
    <xf numFmtId="176" fontId="75" fillId="0" borderId="56" applyNumberFormat="0" applyFill="0" applyAlignment="0" applyProtection="0">
      <alignment vertical="center"/>
    </xf>
    <xf numFmtId="176" fontId="76" fillId="0" borderId="57" applyNumberFormat="0" applyFill="0" applyAlignment="0" applyProtection="0">
      <alignment vertical="center"/>
    </xf>
    <xf numFmtId="176" fontId="76" fillId="0" borderId="57" applyNumberFormat="0" applyFill="0" applyAlignment="0" applyProtection="0">
      <alignment vertical="center"/>
    </xf>
    <xf numFmtId="176" fontId="76" fillId="0" borderId="57" applyNumberFormat="0" applyFill="0" applyAlignment="0" applyProtection="0">
      <alignment vertical="center"/>
    </xf>
    <xf numFmtId="176" fontId="77" fillId="0" borderId="58" applyNumberFormat="0" applyFill="0" applyAlignment="0" applyProtection="0">
      <alignment vertical="center"/>
    </xf>
    <xf numFmtId="176" fontId="77" fillId="0" borderId="58" applyNumberFormat="0" applyFill="0" applyAlignment="0" applyProtection="0">
      <alignment vertical="center"/>
    </xf>
    <xf numFmtId="176" fontId="77" fillId="0" borderId="58" applyNumberFormat="0" applyFill="0" applyAlignment="0" applyProtection="0">
      <alignment vertical="center"/>
    </xf>
    <xf numFmtId="176" fontId="77" fillId="0" borderId="0" applyNumberFormat="0" applyFill="0" applyBorder="0" applyAlignment="0" applyProtection="0">
      <alignment vertical="center"/>
    </xf>
    <xf numFmtId="176" fontId="77" fillId="0" borderId="0" applyNumberFormat="0" applyFill="0" applyBorder="0" applyAlignment="0" applyProtection="0">
      <alignment vertical="center"/>
    </xf>
    <xf numFmtId="176" fontId="77" fillId="0" borderId="0" applyNumberFormat="0" applyFill="0" applyBorder="0" applyAlignment="0" applyProtection="0">
      <alignment vertical="center"/>
    </xf>
    <xf numFmtId="176" fontId="78" fillId="30" borderId="59" applyNumberFormat="0" applyAlignment="0" applyProtection="0">
      <alignment vertical="center"/>
    </xf>
    <xf numFmtId="176" fontId="79" fillId="0" borderId="0" applyNumberFormat="0" applyFill="0" applyBorder="0" applyAlignment="0" applyProtection="0">
      <alignment vertical="center"/>
    </xf>
    <xf numFmtId="176" fontId="79" fillId="0" borderId="0" applyNumberFormat="0" applyFill="0" applyBorder="0" applyAlignment="0" applyProtection="0">
      <alignment vertical="center"/>
    </xf>
    <xf numFmtId="176" fontId="79" fillId="0" borderId="0" applyNumberFormat="0" applyFill="0" applyBorder="0" applyAlignment="0" applyProtection="0">
      <alignment vertical="center"/>
    </xf>
    <xf numFmtId="176" fontId="80" fillId="20" borderId="0" applyNumberFormat="0" applyBorder="0" applyAlignment="0" applyProtection="0">
      <alignment vertical="center"/>
    </xf>
    <xf numFmtId="176" fontId="80" fillId="20" borderId="0" applyNumberFormat="0" applyBorder="0" applyAlignment="0" applyProtection="0">
      <alignment vertical="center"/>
    </xf>
    <xf numFmtId="176" fontId="80" fillId="20" borderId="0" applyNumberFormat="0" applyBorder="0" applyAlignment="0" applyProtection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/>
    <xf numFmtId="176" fontId="6" fillId="0" borderId="0">
      <alignment vertical="center"/>
    </xf>
    <xf numFmtId="176" fontId="6" fillId="0" borderId="0"/>
    <xf numFmtId="176" fontId="6" fillId="0" borderId="0">
      <alignment vertical="center"/>
    </xf>
    <xf numFmtId="176" fontId="14" fillId="0" borderId="0">
      <alignment vertical="center"/>
    </xf>
    <xf numFmtId="176" fontId="85" fillId="0" borderId="0">
      <alignment vertical="center"/>
    </xf>
    <xf numFmtId="176" fontId="14" fillId="0" borderId="0">
      <alignment vertical="center"/>
    </xf>
    <xf numFmtId="176" fontId="6" fillId="0" borderId="0"/>
    <xf numFmtId="176" fontId="6" fillId="0" borderId="0"/>
    <xf numFmtId="176" fontId="6" fillId="0" borderId="0"/>
    <xf numFmtId="176" fontId="14" fillId="0" borderId="0">
      <alignment vertical="center"/>
    </xf>
    <xf numFmtId="176" fontId="6" fillId="0" borderId="0"/>
    <xf numFmtId="176" fontId="14" fillId="0" borderId="0">
      <alignment vertical="center"/>
    </xf>
    <xf numFmtId="176" fontId="14" fillId="0" borderId="0">
      <alignment vertical="center"/>
    </xf>
    <xf numFmtId="176" fontId="14" fillId="0" borderId="0">
      <alignment vertical="center"/>
    </xf>
    <xf numFmtId="176" fontId="6" fillId="0" borderId="0"/>
    <xf numFmtId="176" fontId="6" fillId="0" borderId="0">
      <alignment vertical="center"/>
    </xf>
    <xf numFmtId="176" fontId="6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35" fillId="0" borderId="0">
      <alignment vertical="center"/>
    </xf>
    <xf numFmtId="176" fontId="65" fillId="21" borderId="0" applyNumberFormat="0" applyBorder="0" applyAlignment="0" applyProtection="0">
      <alignment vertical="center"/>
    </xf>
    <xf numFmtId="176" fontId="65" fillId="21" borderId="0" applyNumberFormat="0" applyBorder="0" applyAlignment="0" applyProtection="0">
      <alignment vertical="center"/>
    </xf>
    <xf numFmtId="176" fontId="65" fillId="21" borderId="0" applyNumberFormat="0" applyBorder="0" applyAlignment="0" applyProtection="0">
      <alignment vertical="center"/>
    </xf>
    <xf numFmtId="176" fontId="65" fillId="21" borderId="0" applyNumberFormat="0" applyBorder="0" applyAlignment="0" applyProtection="0">
      <alignment vertical="center"/>
    </xf>
    <xf numFmtId="176" fontId="4" fillId="0" borderId="60" applyNumberFormat="0" applyFill="0" applyAlignment="0" applyProtection="0">
      <alignment vertical="center"/>
    </xf>
    <xf numFmtId="176" fontId="4" fillId="0" borderId="60" applyNumberFormat="0" applyFill="0" applyAlignment="0" applyProtection="0">
      <alignment vertical="center"/>
    </xf>
    <xf numFmtId="176" fontId="4" fillId="0" borderId="60" applyNumberFormat="0" applyFill="0" applyAlignment="0" applyProtection="0">
      <alignment vertical="center"/>
    </xf>
    <xf numFmtId="176" fontId="78" fillId="30" borderId="59" applyNumberFormat="0" applyAlignment="0" applyProtection="0">
      <alignment vertical="center"/>
    </xf>
    <xf numFmtId="176" fontId="78" fillId="30" borderId="59" applyNumberFormat="0" applyAlignment="0" applyProtection="0">
      <alignment vertical="center"/>
    </xf>
    <xf numFmtId="176" fontId="81" fillId="0" borderId="0" applyNumberFormat="0" applyFill="0" applyBorder="0" applyAlignment="0" applyProtection="0">
      <alignment vertical="center"/>
    </xf>
    <xf numFmtId="176" fontId="81" fillId="0" borderId="0" applyNumberFormat="0" applyFill="0" applyBorder="0" applyAlignment="0" applyProtection="0">
      <alignment vertical="center"/>
    </xf>
    <xf numFmtId="176" fontId="81" fillId="0" borderId="0" applyNumberFormat="0" applyFill="0" applyBorder="0" applyAlignment="0" applyProtection="0">
      <alignment vertical="center"/>
    </xf>
    <xf numFmtId="176" fontId="52" fillId="0" borderId="0" applyNumberFormat="0" applyFill="0" applyBorder="0" applyAlignment="0" applyProtection="0">
      <alignment vertical="center"/>
    </xf>
    <xf numFmtId="176" fontId="52" fillId="0" borderId="0" applyNumberFormat="0" applyFill="0" applyBorder="0" applyAlignment="0" applyProtection="0">
      <alignment vertical="center"/>
    </xf>
    <xf numFmtId="176" fontId="52" fillId="0" borderId="0" applyNumberFormat="0" applyFill="0" applyBorder="0" applyAlignment="0" applyProtection="0">
      <alignment vertical="center"/>
    </xf>
    <xf numFmtId="176" fontId="73" fillId="0" borderId="55" applyNumberFormat="0" applyFill="0" applyAlignment="0" applyProtection="0">
      <alignment vertical="center"/>
    </xf>
    <xf numFmtId="176" fontId="72" fillId="31" borderId="0" applyNumberFormat="0" applyBorder="0" applyAlignment="0" applyProtection="0">
      <alignment vertical="center"/>
    </xf>
    <xf numFmtId="176" fontId="72" fillId="31" borderId="0" applyNumberFormat="0" applyBorder="0" applyAlignment="0" applyProtection="0">
      <alignment vertical="center"/>
    </xf>
    <xf numFmtId="176" fontId="72" fillId="31" borderId="0" applyNumberFormat="0" applyBorder="0" applyAlignment="0" applyProtection="0">
      <alignment vertical="center"/>
    </xf>
    <xf numFmtId="176" fontId="72" fillId="32" borderId="0" applyNumberFormat="0" applyBorder="0" applyAlignment="0" applyProtection="0">
      <alignment vertical="center"/>
    </xf>
    <xf numFmtId="176" fontId="72" fillId="32" borderId="0" applyNumberFormat="0" applyBorder="0" applyAlignment="0" applyProtection="0">
      <alignment vertical="center"/>
    </xf>
    <xf numFmtId="176" fontId="72" fillId="32" borderId="0" applyNumberFormat="0" applyBorder="0" applyAlignment="0" applyProtection="0">
      <alignment vertical="center"/>
    </xf>
    <xf numFmtId="176" fontId="72" fillId="33" borderId="0" applyNumberFormat="0" applyBorder="0" applyAlignment="0" applyProtection="0">
      <alignment vertical="center"/>
    </xf>
    <xf numFmtId="176" fontId="72" fillId="33" borderId="0" applyNumberFormat="0" applyBorder="0" applyAlignment="0" applyProtection="0">
      <alignment vertical="center"/>
    </xf>
    <xf numFmtId="176" fontId="72" fillId="33" borderId="0" applyNumberFormat="0" applyBorder="0" applyAlignment="0" applyProtection="0">
      <alignment vertical="center"/>
    </xf>
    <xf numFmtId="176" fontId="72" fillId="26" borderId="0" applyNumberFormat="0" applyBorder="0" applyAlignment="0" applyProtection="0">
      <alignment vertical="center"/>
    </xf>
    <xf numFmtId="176" fontId="72" fillId="26" borderId="0" applyNumberFormat="0" applyBorder="0" applyAlignment="0" applyProtection="0">
      <alignment vertical="center"/>
    </xf>
    <xf numFmtId="176" fontId="72" fillId="26" borderId="0" applyNumberFormat="0" applyBorder="0" applyAlignment="0" applyProtection="0">
      <alignment vertical="center"/>
    </xf>
    <xf numFmtId="176" fontId="72" fillId="28" borderId="0" applyNumberFormat="0" applyBorder="0" applyAlignment="0" applyProtection="0">
      <alignment vertical="center"/>
    </xf>
    <xf numFmtId="176" fontId="72" fillId="28" borderId="0" applyNumberFormat="0" applyBorder="0" applyAlignment="0" applyProtection="0">
      <alignment vertical="center"/>
    </xf>
    <xf numFmtId="176" fontId="72" fillId="28" borderId="0" applyNumberFormat="0" applyBorder="0" applyAlignment="0" applyProtection="0">
      <alignment vertical="center"/>
    </xf>
    <xf numFmtId="176" fontId="72" fillId="34" borderId="0" applyNumberFormat="0" applyBorder="0" applyAlignment="0" applyProtection="0">
      <alignment vertical="center"/>
    </xf>
    <xf numFmtId="176" fontId="72" fillId="34" borderId="0" applyNumberFormat="0" applyBorder="0" applyAlignment="0" applyProtection="0">
      <alignment vertical="center"/>
    </xf>
    <xf numFmtId="176" fontId="72" fillId="34" borderId="0" applyNumberFormat="0" applyBorder="0" applyAlignment="0" applyProtection="0">
      <alignment vertical="center"/>
    </xf>
    <xf numFmtId="176" fontId="74" fillId="22" borderId="0" applyNumberFormat="0" applyBorder="0" applyAlignment="0" applyProtection="0">
      <alignment vertical="center"/>
    </xf>
    <xf numFmtId="176" fontId="74" fillId="22" borderId="0" applyNumberFormat="0" applyBorder="0" applyAlignment="0" applyProtection="0">
      <alignment vertical="center"/>
    </xf>
    <xf numFmtId="176" fontId="82" fillId="25" borderId="54" applyNumberFormat="0" applyAlignment="0" applyProtection="0">
      <alignment vertical="center"/>
    </xf>
    <xf numFmtId="176" fontId="82" fillId="25" borderId="54" applyNumberFormat="0" applyAlignment="0" applyProtection="0">
      <alignment vertical="center"/>
    </xf>
    <xf numFmtId="176" fontId="82" fillId="25" borderId="54" applyNumberFormat="0" applyAlignment="0" applyProtection="0">
      <alignment vertical="center"/>
    </xf>
    <xf numFmtId="176" fontId="6" fillId="35" borderId="61" applyNumberFormat="0" applyFont="0" applyAlignment="0" applyProtection="0">
      <alignment vertical="center"/>
    </xf>
    <xf numFmtId="176" fontId="6" fillId="35" borderId="61" applyNumberFormat="0" applyFont="0" applyAlignment="0" applyProtection="0">
      <alignment vertical="center"/>
    </xf>
    <xf numFmtId="176" fontId="6" fillId="35" borderId="61" applyNumberFormat="0" applyFont="0" applyAlignment="0" applyProtection="0">
      <alignment vertical="center"/>
    </xf>
  </cellStyleXfs>
  <cellXfs count="841">
    <xf numFmtId="176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78" fontId="0" fillId="2" borderId="0" xfId="0" applyNumberFormat="1" applyFill="1">
      <alignment vertical="center"/>
    </xf>
    <xf numFmtId="177" fontId="0" fillId="2" borderId="0" xfId="0" applyNumberFormat="1" applyFill="1">
      <alignment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6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31" fontId="3" fillId="0" borderId="0" xfId="0" applyNumberFormat="1" applyFont="1" applyAlignment="1">
      <alignment horizontal="right" vertical="center"/>
    </xf>
    <xf numFmtId="176" fontId="4" fillId="0" borderId="2" xfId="0" applyFon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6" fontId="0" fillId="0" borderId="2" xfId="0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6" fontId="0" fillId="0" borderId="0" xfId="0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176" fontId="6" fillId="0" borderId="0" xfId="35">
      <alignment vertical="center"/>
    </xf>
    <xf numFmtId="176" fontId="8" fillId="0" borderId="0" xfId="35" applyFont="1" applyProtection="1">
      <alignment vertical="center"/>
      <protection locked="0"/>
    </xf>
    <xf numFmtId="176" fontId="8" fillId="0" borderId="2" xfId="35" applyFont="1" applyBorder="1" applyAlignment="1">
      <alignment horizontal="center" vertical="center"/>
    </xf>
    <xf numFmtId="176" fontId="8" fillId="0" borderId="2" xfId="0" applyFont="1" applyBorder="1" applyAlignment="1">
      <alignment horizontal="center" vertical="center" shrinkToFit="1"/>
    </xf>
    <xf numFmtId="179" fontId="8" fillId="2" borderId="2" xfId="35" applyNumberFormat="1" applyFont="1" applyFill="1" applyBorder="1" applyAlignment="1">
      <alignment horizontal="center" vertical="center"/>
    </xf>
    <xf numFmtId="179" fontId="8" fillId="0" borderId="2" xfId="35" applyNumberFormat="1" applyFont="1" applyBorder="1" applyAlignment="1">
      <alignment horizontal="center" vertical="center"/>
    </xf>
    <xf numFmtId="176" fontId="6" fillId="0" borderId="0" xfId="35" applyProtection="1">
      <alignment vertical="center"/>
      <protection locked="0"/>
    </xf>
    <xf numFmtId="179" fontId="8" fillId="0" borderId="0" xfId="35" applyNumberFormat="1" applyFont="1" applyAlignment="1">
      <alignment horizontal="center" vertical="center"/>
    </xf>
    <xf numFmtId="179" fontId="9" fillId="0" borderId="0" xfId="35" applyNumberFormat="1" applyFont="1" applyAlignment="1">
      <alignment horizontal="center" vertical="center"/>
    </xf>
    <xf numFmtId="181" fontId="8" fillId="0" borderId="2" xfId="35" applyNumberFormat="1" applyFont="1" applyBorder="1" applyAlignment="1">
      <alignment horizontal="center" vertical="center"/>
    </xf>
    <xf numFmtId="182" fontId="8" fillId="0" borderId="2" xfId="35" applyNumberFormat="1" applyFont="1" applyBorder="1" applyAlignment="1">
      <alignment horizontal="center" vertical="center"/>
    </xf>
    <xf numFmtId="182" fontId="8" fillId="2" borderId="2" xfId="35" applyNumberFormat="1" applyFont="1" applyFill="1" applyBorder="1" applyAlignment="1">
      <alignment horizontal="center" vertical="center"/>
    </xf>
    <xf numFmtId="183" fontId="8" fillId="2" borderId="2" xfId="35" applyNumberFormat="1" applyFont="1" applyFill="1" applyBorder="1" applyAlignment="1">
      <alignment horizontal="center" vertical="center"/>
    </xf>
    <xf numFmtId="179" fontId="6" fillId="0" borderId="0" xfId="35" applyNumberFormat="1">
      <alignment vertical="center"/>
    </xf>
    <xf numFmtId="183" fontId="8" fillId="0" borderId="2" xfId="35" applyNumberFormat="1" applyFont="1" applyBorder="1" applyAlignment="1">
      <alignment horizontal="center" vertical="center"/>
    </xf>
    <xf numFmtId="177" fontId="6" fillId="0" borderId="0" xfId="35" applyNumberFormat="1">
      <alignment vertical="center"/>
    </xf>
    <xf numFmtId="184" fontId="6" fillId="0" borderId="0" xfId="35" applyNumberFormat="1">
      <alignment vertical="center"/>
    </xf>
    <xf numFmtId="177" fontId="6" fillId="0" borderId="0" xfId="35" applyNumberFormat="1" applyAlignment="1">
      <alignment horizontal="center" vertical="center"/>
    </xf>
    <xf numFmtId="176" fontId="6" fillId="0" borderId="0" xfId="0" applyFont="1">
      <alignment vertical="center"/>
    </xf>
    <xf numFmtId="185" fontId="6" fillId="0" borderId="0" xfId="0" applyNumberFormat="1" applyFont="1">
      <alignment vertical="center"/>
    </xf>
    <xf numFmtId="49" fontId="6" fillId="0" borderId="0" xfId="0" applyNumberFormat="1" applyFont="1" applyAlignment="1">
      <alignment vertical="center" shrinkToFit="1"/>
    </xf>
    <xf numFmtId="176" fontId="6" fillId="0" borderId="0" xfId="0" applyFont="1" applyAlignment="1">
      <alignment vertical="center" shrinkToFit="1"/>
    </xf>
    <xf numFmtId="177" fontId="6" fillId="0" borderId="0" xfId="0" applyNumberFormat="1" applyFont="1">
      <alignment vertical="center"/>
    </xf>
    <xf numFmtId="176" fontId="11" fillId="0" borderId="0" xfId="0" applyFont="1" applyAlignment="1">
      <alignment horizontal="left" vertical="center"/>
    </xf>
    <xf numFmtId="185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 shrinkToFit="1"/>
    </xf>
    <xf numFmtId="176" fontId="11" fillId="0" borderId="0" xfId="0" applyFont="1" applyAlignment="1">
      <alignment horizontal="left" vertical="center" shrinkToFit="1"/>
    </xf>
    <xf numFmtId="177" fontId="11" fillId="0" borderId="0" xfId="0" applyNumberFormat="1" applyFont="1" applyAlignment="1">
      <alignment horizontal="left" vertical="center"/>
    </xf>
    <xf numFmtId="176" fontId="11" fillId="0" borderId="2" xfId="0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58" fontId="12" fillId="0" borderId="2" xfId="108" applyNumberFormat="1" applyFont="1" applyBorder="1" applyAlignment="1">
      <alignment horizontal="center" vertical="center"/>
    </xf>
    <xf numFmtId="185" fontId="0" fillId="0" borderId="7" xfId="0" applyNumberFormat="1" applyBorder="1" applyAlignment="1">
      <alignment horizontal="center" vertical="center"/>
    </xf>
    <xf numFmtId="49" fontId="8" fillId="0" borderId="2" xfId="108" applyNumberFormat="1" applyFont="1" applyBorder="1" applyAlignment="1">
      <alignment horizontal="center" vertical="center" shrinkToFit="1"/>
    </xf>
    <xf numFmtId="49" fontId="12" fillId="0" borderId="2" xfId="108" applyNumberFormat="1" applyFont="1" applyBorder="1" applyAlignment="1">
      <alignment horizontal="center" vertical="center"/>
    </xf>
    <xf numFmtId="177" fontId="12" fillId="0" borderId="2" xfId="108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6" fontId="11" fillId="0" borderId="0" xfId="0" applyFont="1" applyAlignment="1">
      <alignment horizontal="right" vertical="center"/>
    </xf>
    <xf numFmtId="176" fontId="11" fillId="0" borderId="10" xfId="0" applyFont="1" applyBorder="1" applyAlignment="1">
      <alignment horizontal="center" vertical="center"/>
    </xf>
    <xf numFmtId="184" fontId="0" fillId="0" borderId="2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82" fontId="12" fillId="0" borderId="2" xfId="0" applyNumberFormat="1" applyFont="1" applyBorder="1" applyAlignment="1">
      <alignment horizontal="center" vertical="center"/>
    </xf>
    <xf numFmtId="183" fontId="12" fillId="0" borderId="2" xfId="0" applyNumberFormat="1" applyFont="1" applyBorder="1" applyAlignment="1">
      <alignment horizontal="center" vertical="center" shrinkToFit="1"/>
    </xf>
    <xf numFmtId="177" fontId="13" fillId="0" borderId="2" xfId="0" applyNumberFormat="1" applyFont="1" applyBorder="1" applyAlignment="1">
      <alignment horizontal="center" vertical="center"/>
    </xf>
    <xf numFmtId="58" fontId="12" fillId="2" borderId="2" xfId="108" applyNumberFormat="1" applyFont="1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14" fillId="0" borderId="2" xfId="1" applyNumberFormat="1" applyBorder="1" applyAlignment="1">
      <alignment horizontal="center" vertical="center"/>
    </xf>
    <xf numFmtId="184" fontId="14" fillId="0" borderId="2" xfId="1" applyNumberFormat="1" applyBorder="1" applyAlignment="1">
      <alignment horizontal="center" vertical="center"/>
    </xf>
    <xf numFmtId="176" fontId="12" fillId="0" borderId="2" xfId="108" applyFont="1" applyBorder="1" applyAlignment="1">
      <alignment horizontal="center" vertical="center"/>
    </xf>
    <xf numFmtId="184" fontId="12" fillId="0" borderId="2" xfId="108" applyNumberFormat="1" applyFont="1" applyBorder="1" applyAlignment="1">
      <alignment horizontal="center" vertical="center"/>
    </xf>
    <xf numFmtId="49" fontId="14" fillId="0" borderId="2" xfId="1" applyNumberFormat="1" applyBorder="1" applyAlignment="1">
      <alignment horizontal="center" vertical="center"/>
    </xf>
    <xf numFmtId="49" fontId="14" fillId="0" borderId="8" xfId="1" applyNumberFormat="1" applyBorder="1" applyAlignment="1">
      <alignment horizontal="center" vertical="center"/>
    </xf>
    <xf numFmtId="179" fontId="6" fillId="0" borderId="2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6" fontId="6" fillId="0" borderId="0" xfId="0" applyFont="1" applyAlignment="1">
      <alignment horizontal="left" vertical="center"/>
    </xf>
    <xf numFmtId="185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 shrinkToFit="1"/>
    </xf>
    <xf numFmtId="176" fontId="6" fillId="0" borderId="0" xfId="0" applyFont="1" applyAlignment="1">
      <alignment horizontal="left" vertical="center" shrinkToFit="1"/>
    </xf>
    <xf numFmtId="177" fontId="6" fillId="0" borderId="0" xfId="0" applyNumberFormat="1" applyFont="1" applyAlignment="1">
      <alignment horizontal="left" vertical="center"/>
    </xf>
    <xf numFmtId="179" fontId="15" fillId="0" borderId="0" xfId="0" applyNumberFormat="1" applyFont="1">
      <alignment vertical="center"/>
    </xf>
    <xf numFmtId="177" fontId="15" fillId="0" borderId="0" xfId="0" applyNumberFormat="1" applyFont="1">
      <alignment vertical="center"/>
    </xf>
    <xf numFmtId="176" fontId="6" fillId="0" borderId="2" xfId="0" applyFont="1" applyBorder="1">
      <alignment vertical="center"/>
    </xf>
    <xf numFmtId="177" fontId="6" fillId="0" borderId="2" xfId="0" applyNumberFormat="1" applyFont="1" applyBorder="1">
      <alignment vertical="center"/>
    </xf>
    <xf numFmtId="176" fontId="6" fillId="0" borderId="2" xfId="0" applyFont="1" applyBorder="1" applyAlignment="1">
      <alignment horizontal="center" vertical="center"/>
    </xf>
    <xf numFmtId="179" fontId="6" fillId="0" borderId="2" xfId="0" applyNumberFormat="1" applyFont="1" applyBorder="1">
      <alignment vertical="center"/>
    </xf>
    <xf numFmtId="179" fontId="6" fillId="0" borderId="0" xfId="0" applyNumberFormat="1" applyFont="1">
      <alignment vertical="center"/>
    </xf>
    <xf numFmtId="176" fontId="6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 shrinkToFit="1"/>
    </xf>
    <xf numFmtId="177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84" fontId="16" fillId="0" borderId="2" xfId="1" applyNumberFormat="1" applyFont="1" applyBorder="1" applyAlignment="1">
      <alignment horizontal="center" vertical="center"/>
    </xf>
    <xf numFmtId="176" fontId="15" fillId="0" borderId="0" xfId="0" applyFont="1">
      <alignment vertical="center"/>
    </xf>
    <xf numFmtId="179" fontId="6" fillId="0" borderId="2" xfId="0" applyNumberFormat="1" applyFont="1" applyBorder="1" applyAlignment="1">
      <alignment vertical="center" shrinkToFit="1"/>
    </xf>
    <xf numFmtId="181" fontId="6" fillId="0" borderId="0" xfId="0" applyNumberFormat="1" applyFont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2" fontId="6" fillId="0" borderId="0" xfId="0" applyNumberFormat="1" applyFont="1">
      <alignment vertical="center"/>
    </xf>
    <xf numFmtId="179" fontId="17" fillId="0" borderId="0" xfId="134" applyNumberFormat="1" applyFont="1" applyAlignment="1">
      <alignment horizontal="center" vertical="center" shrinkToFit="1"/>
    </xf>
    <xf numFmtId="177" fontId="17" fillId="0" borderId="0" xfId="134" applyNumberFormat="1" applyFont="1" applyAlignment="1">
      <alignment horizontal="center" vertical="center" shrinkToFit="1"/>
    </xf>
    <xf numFmtId="186" fontId="6" fillId="0" borderId="0" xfId="0" applyNumberFormat="1" applyFont="1">
      <alignment vertical="center"/>
    </xf>
    <xf numFmtId="182" fontId="17" fillId="3" borderId="0" xfId="134" applyNumberFormat="1" applyFont="1" applyFill="1" applyAlignment="1">
      <alignment horizontal="center" vertical="center" shrinkToFit="1"/>
    </xf>
    <xf numFmtId="183" fontId="17" fillId="3" borderId="0" xfId="134" applyNumberFormat="1" applyFont="1" applyFill="1" applyAlignment="1">
      <alignment horizontal="center" vertical="center" shrinkToFit="1"/>
    </xf>
    <xf numFmtId="0" fontId="6" fillId="0" borderId="0" xfId="0" applyNumberFormat="1" applyFont="1" applyAlignment="1">
      <alignment vertical="center" shrinkToFit="1"/>
    </xf>
    <xf numFmtId="58" fontId="6" fillId="0" borderId="14" xfId="0" applyNumberFormat="1" applyFont="1" applyBorder="1" applyAlignment="1">
      <alignment horizontal="center" vertical="center"/>
    </xf>
    <xf numFmtId="185" fontId="11" fillId="0" borderId="7" xfId="0" applyNumberFormat="1" applyFont="1" applyBorder="1" applyAlignment="1">
      <alignment horizontal="center" vertical="center"/>
    </xf>
    <xf numFmtId="0" fontId="11" fillId="0" borderId="7" xfId="0" applyNumberFormat="1" applyFont="1" applyBorder="1" applyAlignment="1">
      <alignment horizontal="center" vertical="center"/>
    </xf>
    <xf numFmtId="176" fontId="6" fillId="0" borderId="15" xfId="0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0" fontId="6" fillId="0" borderId="15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58" fontId="6" fillId="0" borderId="16" xfId="0" applyNumberFormat="1" applyFont="1" applyBorder="1" applyAlignment="1">
      <alignment horizontal="center" vertical="center"/>
    </xf>
    <xf numFmtId="185" fontId="6" fillId="0" borderId="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6" fillId="0" borderId="20" xfId="0" applyNumberFormat="1" applyFont="1" applyBorder="1" applyAlignment="1">
      <alignment horizontal="right" vertical="center"/>
    </xf>
    <xf numFmtId="177" fontId="6" fillId="0" borderId="20" xfId="0" applyNumberFormat="1" applyFont="1" applyBorder="1" applyAlignment="1">
      <alignment horizontal="center" vertical="center"/>
    </xf>
    <xf numFmtId="179" fontId="6" fillId="0" borderId="20" xfId="0" applyNumberFormat="1" applyFont="1" applyBorder="1" applyAlignment="1">
      <alignment horizontal="right" vertical="center"/>
    </xf>
    <xf numFmtId="176" fontId="15" fillId="0" borderId="0" xfId="0" applyFont="1" applyAlignment="1">
      <alignment vertical="center" shrinkToFit="1"/>
    </xf>
    <xf numFmtId="177" fontId="15" fillId="0" borderId="0" xfId="0" applyNumberFormat="1" applyFont="1" applyAlignment="1">
      <alignment horizontal="center" vertical="center"/>
    </xf>
    <xf numFmtId="0" fontId="6" fillId="0" borderId="0" xfId="0" applyNumberFormat="1" applyFont="1">
      <alignment vertical="center"/>
    </xf>
    <xf numFmtId="187" fontId="0" fillId="0" borderId="2" xfId="0" applyNumberFormat="1" applyBorder="1" applyAlignment="1">
      <alignment horizontal="center" vertical="center"/>
    </xf>
    <xf numFmtId="181" fontId="6" fillId="0" borderId="20" xfId="0" applyNumberFormat="1" applyFont="1" applyBorder="1" applyAlignment="1">
      <alignment horizontal="right" vertical="center"/>
    </xf>
    <xf numFmtId="183" fontId="6" fillId="0" borderId="21" xfId="0" applyNumberFormat="1" applyFont="1" applyBorder="1" applyAlignment="1">
      <alignment horizontal="right" vertical="center"/>
    </xf>
    <xf numFmtId="183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58" fontId="19" fillId="0" borderId="22" xfId="0" applyNumberFormat="1" applyFont="1" applyBorder="1" applyAlignment="1">
      <alignment horizontal="center" vertical="center"/>
    </xf>
    <xf numFmtId="49" fontId="19" fillId="0" borderId="22" xfId="0" applyNumberFormat="1" applyFont="1" applyBorder="1" applyAlignment="1">
      <alignment horizontal="center" vertical="center"/>
    </xf>
    <xf numFmtId="49" fontId="20" fillId="0" borderId="22" xfId="0" applyNumberFormat="1" applyFont="1" applyBorder="1" applyAlignment="1">
      <alignment horizontal="center" vertical="center"/>
    </xf>
    <xf numFmtId="0" fontId="21" fillId="0" borderId="22" xfId="0" applyNumberFormat="1" applyFont="1" applyBorder="1" applyAlignment="1">
      <alignment horizontal="center" vertical="center"/>
    </xf>
    <xf numFmtId="2" fontId="20" fillId="0" borderId="22" xfId="0" applyNumberFormat="1" applyFont="1" applyBorder="1" applyAlignment="1">
      <alignment horizontal="center" vertical="center"/>
    </xf>
    <xf numFmtId="177" fontId="19" fillId="0" borderId="22" xfId="0" applyNumberFormat="1" applyFont="1" applyBorder="1" applyAlignment="1">
      <alignment horizontal="center" vertical="center"/>
    </xf>
    <xf numFmtId="0" fontId="19" fillId="0" borderId="2" xfId="0" applyNumberFormat="1" applyFont="1" applyBorder="1" applyAlignment="1">
      <alignment horizontal="center" vertical="center"/>
    </xf>
    <xf numFmtId="0" fontId="20" fillId="0" borderId="22" xfId="0" applyNumberFormat="1" applyFont="1" applyBorder="1" applyAlignment="1">
      <alignment horizontal="center" vertical="center"/>
    </xf>
    <xf numFmtId="177" fontId="19" fillId="0" borderId="2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58" fontId="19" fillId="0" borderId="23" xfId="0" applyNumberFormat="1" applyFont="1" applyBorder="1" applyAlignment="1">
      <alignment horizontal="center" vertical="center"/>
    </xf>
    <xf numFmtId="49" fontId="19" fillId="0" borderId="23" xfId="0" applyNumberFormat="1" applyFont="1" applyBorder="1" applyAlignment="1">
      <alignment horizontal="center" vertical="center"/>
    </xf>
    <xf numFmtId="49" fontId="20" fillId="0" borderId="23" xfId="0" applyNumberFormat="1" applyFont="1" applyBorder="1" applyAlignment="1">
      <alignment horizontal="center" vertical="center"/>
    </xf>
    <xf numFmtId="0" fontId="21" fillId="0" borderId="23" xfId="0" applyNumberFormat="1" applyFont="1" applyBorder="1" applyAlignment="1">
      <alignment horizontal="center" vertical="center"/>
    </xf>
    <xf numFmtId="0" fontId="20" fillId="0" borderId="23" xfId="0" applyNumberFormat="1" applyFont="1" applyBorder="1" applyAlignment="1">
      <alignment horizontal="center" vertical="center"/>
    </xf>
    <xf numFmtId="177" fontId="19" fillId="0" borderId="23" xfId="0" applyNumberFormat="1" applyFont="1" applyBorder="1" applyAlignment="1">
      <alignment horizontal="center" vertical="center"/>
    </xf>
    <xf numFmtId="58" fontId="19" fillId="0" borderId="15" xfId="0" applyNumberFormat="1" applyFont="1" applyBorder="1" applyAlignment="1">
      <alignment horizontal="center" vertical="center"/>
    </xf>
    <xf numFmtId="49" fontId="20" fillId="0" borderId="15" xfId="0" applyNumberFormat="1" applyFont="1" applyBorder="1" applyAlignment="1">
      <alignment horizontal="center" vertical="center"/>
    </xf>
    <xf numFmtId="2" fontId="19" fillId="0" borderId="15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58" fontId="19" fillId="0" borderId="14" xfId="0" applyNumberFormat="1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vertical="center"/>
    </xf>
    <xf numFmtId="58" fontId="12" fillId="0" borderId="2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188" fontId="6" fillId="0" borderId="2" xfId="0" applyNumberFormat="1" applyFont="1" applyBorder="1" applyAlignment="1">
      <alignment horizontal="center" vertical="center"/>
    </xf>
    <xf numFmtId="177" fontId="19" fillId="0" borderId="15" xfId="0" applyNumberFormat="1" applyFont="1" applyBorder="1" applyAlignment="1">
      <alignment horizontal="center" vertical="center"/>
    </xf>
    <xf numFmtId="0" fontId="19" fillId="0" borderId="15" xfId="0" applyNumberFormat="1" applyFont="1" applyBorder="1" applyAlignment="1">
      <alignment horizontal="center" vertical="center"/>
    </xf>
    <xf numFmtId="184" fontId="14" fillId="0" borderId="2" xfId="0" applyNumberFormat="1" applyFont="1" applyBorder="1" applyAlignment="1">
      <alignment horizontal="center" vertical="center"/>
    </xf>
    <xf numFmtId="176" fontId="0" fillId="4" borderId="0" xfId="0" applyFill="1">
      <alignment vertical="center"/>
    </xf>
    <xf numFmtId="176" fontId="0" fillId="3" borderId="0" xfId="0" applyFill="1">
      <alignment vertical="center"/>
    </xf>
    <xf numFmtId="176" fontId="22" fillId="0" borderId="0" xfId="0" applyFont="1">
      <alignment vertical="center"/>
    </xf>
    <xf numFmtId="176" fontId="22" fillId="3" borderId="0" xfId="0" applyFont="1" applyFill="1">
      <alignment vertical="center"/>
    </xf>
    <xf numFmtId="176" fontId="0" fillId="0" borderId="0" xfId="0" applyAlignment="1">
      <alignment vertical="center" wrapText="1"/>
    </xf>
    <xf numFmtId="176" fontId="12" fillId="0" borderId="2" xfId="0" applyFont="1" applyBorder="1">
      <alignment vertical="center"/>
    </xf>
    <xf numFmtId="176" fontId="12" fillId="5" borderId="2" xfId="0" applyFont="1" applyFill="1" applyBorder="1">
      <alignment vertical="center"/>
    </xf>
    <xf numFmtId="176" fontId="11" fillId="5" borderId="15" xfId="0" applyFont="1" applyFill="1" applyBorder="1" applyAlignment="1">
      <alignment horizontal="center" vertical="center"/>
    </xf>
    <xf numFmtId="176" fontId="12" fillId="0" borderId="12" xfId="0" applyFont="1" applyBorder="1" applyAlignment="1">
      <alignment horizontal="center" vertical="center"/>
    </xf>
    <xf numFmtId="177" fontId="24" fillId="6" borderId="2" xfId="134" applyNumberFormat="1" applyFont="1" applyFill="1" applyBorder="1" applyAlignment="1">
      <alignment horizontal="center" vertical="center" shrinkToFit="1"/>
    </xf>
    <xf numFmtId="179" fontId="24" fillId="6" borderId="2" xfId="134" applyNumberFormat="1" applyFont="1" applyFill="1" applyBorder="1" applyAlignment="1">
      <alignment horizontal="center" vertical="center" shrinkToFit="1"/>
    </xf>
    <xf numFmtId="179" fontId="17" fillId="6" borderId="2" xfId="134" applyNumberFormat="1" applyFont="1" applyFill="1" applyBorder="1" applyAlignment="1">
      <alignment horizontal="center" vertical="center" shrinkToFit="1"/>
    </xf>
    <xf numFmtId="176" fontId="12" fillId="3" borderId="12" xfId="0" applyFont="1" applyFill="1" applyBorder="1" applyAlignment="1">
      <alignment horizontal="center" vertical="center"/>
    </xf>
    <xf numFmtId="176" fontId="12" fillId="5" borderId="2" xfId="0" applyFont="1" applyFill="1" applyBorder="1" applyAlignment="1">
      <alignment horizontal="center" vertical="center" wrapText="1"/>
    </xf>
    <xf numFmtId="176" fontId="12" fillId="5" borderId="12" xfId="0" applyFont="1" applyFill="1" applyBorder="1" applyAlignment="1">
      <alignment horizontal="center" vertical="center"/>
    </xf>
    <xf numFmtId="179" fontId="3" fillId="5" borderId="2" xfId="0" applyNumberFormat="1" applyFont="1" applyFill="1" applyBorder="1" applyAlignment="1">
      <alignment horizontal="right" vertical="center"/>
    </xf>
    <xf numFmtId="179" fontId="3" fillId="3" borderId="2" xfId="0" applyNumberFormat="1" applyFont="1" applyFill="1" applyBorder="1" applyAlignment="1">
      <alignment horizontal="right" vertical="center"/>
    </xf>
    <xf numFmtId="179" fontId="6" fillId="5" borderId="11" xfId="0" applyNumberFormat="1" applyFont="1" applyFill="1" applyBorder="1" applyAlignment="1">
      <alignment horizontal="right" vertical="center"/>
    </xf>
    <xf numFmtId="176" fontId="25" fillId="5" borderId="12" xfId="0" applyFont="1" applyFill="1" applyBorder="1" applyAlignment="1">
      <alignment horizontal="center" vertical="center"/>
    </xf>
    <xf numFmtId="179" fontId="26" fillId="5" borderId="2" xfId="0" applyNumberFormat="1" applyFont="1" applyFill="1" applyBorder="1" applyAlignment="1">
      <alignment horizontal="right" vertical="center"/>
    </xf>
    <xf numFmtId="179" fontId="26" fillId="3" borderId="2" xfId="0" applyNumberFormat="1" applyFont="1" applyFill="1" applyBorder="1" applyAlignment="1">
      <alignment horizontal="right" vertical="center"/>
    </xf>
    <xf numFmtId="176" fontId="25" fillId="4" borderId="12" xfId="0" applyFont="1" applyFill="1" applyBorder="1" applyAlignment="1">
      <alignment horizontal="center" vertical="center"/>
    </xf>
    <xf numFmtId="179" fontId="26" fillId="4" borderId="2" xfId="0" applyNumberFormat="1" applyFont="1" applyFill="1" applyBorder="1" applyAlignment="1">
      <alignment horizontal="right" vertical="center"/>
    </xf>
    <xf numFmtId="179" fontId="11" fillId="5" borderId="2" xfId="0" applyNumberFormat="1" applyFont="1" applyFill="1" applyBorder="1" applyAlignment="1">
      <alignment horizontal="right" vertical="center"/>
    </xf>
    <xf numFmtId="179" fontId="27" fillId="3" borderId="2" xfId="0" applyNumberFormat="1" applyFont="1" applyFill="1" applyBorder="1" applyAlignment="1">
      <alignment horizontal="right" vertical="center"/>
    </xf>
    <xf numFmtId="179" fontId="28" fillId="2" borderId="2" xfId="0" applyNumberFormat="1" applyFont="1" applyFill="1" applyBorder="1" applyAlignment="1">
      <alignment horizontal="right" vertical="center"/>
    </xf>
    <xf numFmtId="176" fontId="22" fillId="5" borderId="12" xfId="0" applyFont="1" applyFill="1" applyBorder="1" applyAlignment="1">
      <alignment horizontal="center" vertical="center"/>
    </xf>
    <xf numFmtId="179" fontId="29" fillId="5" borderId="2" xfId="0" applyNumberFormat="1" applyFont="1" applyFill="1" applyBorder="1" applyAlignment="1">
      <alignment horizontal="right" vertical="center"/>
    </xf>
    <xf numFmtId="179" fontId="29" fillId="3" borderId="2" xfId="0" applyNumberFormat="1" applyFont="1" applyFill="1" applyBorder="1" applyAlignment="1">
      <alignment horizontal="right" vertical="center"/>
    </xf>
    <xf numFmtId="176" fontId="22" fillId="4" borderId="25" xfId="0" applyFont="1" applyFill="1" applyBorder="1" applyAlignment="1">
      <alignment horizontal="center" vertical="center"/>
    </xf>
    <xf numFmtId="179" fontId="29" fillId="4" borderId="15" xfId="0" applyNumberFormat="1" applyFont="1" applyFill="1" applyBorder="1" applyAlignment="1">
      <alignment horizontal="right" vertical="center"/>
    </xf>
    <xf numFmtId="176" fontId="22" fillId="5" borderId="25" xfId="0" applyFont="1" applyFill="1" applyBorder="1" applyAlignment="1">
      <alignment horizontal="center" vertical="center"/>
    </xf>
    <xf numFmtId="179" fontId="29" fillId="3" borderId="15" xfId="0" applyNumberFormat="1" applyFont="1" applyFill="1" applyBorder="1" applyAlignment="1">
      <alignment horizontal="right" vertical="center"/>
    </xf>
    <xf numFmtId="179" fontId="28" fillId="2" borderId="15" xfId="0" applyNumberFormat="1" applyFont="1" applyFill="1" applyBorder="1" applyAlignment="1">
      <alignment horizontal="right" vertical="center"/>
    </xf>
    <xf numFmtId="176" fontId="12" fillId="5" borderId="8" xfId="0" applyFont="1" applyFill="1" applyBorder="1" applyAlignment="1">
      <alignment horizontal="center" vertical="center"/>
    </xf>
    <xf numFmtId="179" fontId="6" fillId="5" borderId="15" xfId="0" applyNumberFormat="1" applyFont="1" applyFill="1" applyBorder="1" applyAlignment="1">
      <alignment horizontal="right" vertical="center"/>
    </xf>
    <xf numFmtId="179" fontId="6" fillId="6" borderId="15" xfId="0" applyNumberFormat="1" applyFont="1" applyFill="1" applyBorder="1" applyAlignment="1">
      <alignment horizontal="right" vertical="center"/>
    </xf>
    <xf numFmtId="176" fontId="12" fillId="4" borderId="2" xfId="0" applyFont="1" applyFill="1" applyBorder="1" applyAlignment="1">
      <alignment horizontal="center" vertical="center"/>
    </xf>
    <xf numFmtId="179" fontId="30" fillId="4" borderId="2" xfId="0" applyNumberFormat="1" applyFont="1" applyFill="1" applyBorder="1" applyAlignment="1">
      <alignment horizontal="right" vertical="center"/>
    </xf>
    <xf numFmtId="179" fontId="6" fillId="4" borderId="2" xfId="0" applyNumberFormat="1" applyFont="1" applyFill="1" applyBorder="1" applyAlignment="1">
      <alignment horizontal="right" vertical="center"/>
    </xf>
    <xf numFmtId="176" fontId="12" fillId="3" borderId="2" xfId="0" applyFont="1" applyFill="1" applyBorder="1" applyAlignment="1">
      <alignment horizontal="center" vertical="center"/>
    </xf>
    <xf numFmtId="179" fontId="6" fillId="3" borderId="2" xfId="0" applyNumberFormat="1" applyFont="1" applyFill="1" applyBorder="1" applyAlignment="1">
      <alignment horizontal="right" vertical="center"/>
    </xf>
    <xf numFmtId="176" fontId="0" fillId="3" borderId="2" xfId="0" applyFill="1" applyBorder="1" applyAlignment="1">
      <alignment horizontal="center" vertical="center"/>
    </xf>
    <xf numFmtId="176" fontId="0" fillId="5" borderId="2" xfId="0" applyFill="1" applyBorder="1" applyAlignment="1">
      <alignment horizontal="center" vertical="center"/>
    </xf>
    <xf numFmtId="176" fontId="0" fillId="5" borderId="2" xfId="0" applyFill="1" applyBorder="1" applyAlignment="1">
      <alignment horizontal="center" vertical="center" wrapText="1"/>
    </xf>
    <xf numFmtId="176" fontId="0" fillId="5" borderId="2" xfId="0" applyFill="1" applyBorder="1">
      <alignment vertical="center"/>
    </xf>
    <xf numFmtId="179" fontId="0" fillId="5" borderId="2" xfId="0" applyNumberFormat="1" applyFill="1" applyBorder="1" applyAlignment="1">
      <alignment horizontal="right" vertical="center"/>
    </xf>
    <xf numFmtId="179" fontId="4" fillId="7" borderId="2" xfId="0" applyNumberFormat="1" applyFont="1" applyFill="1" applyBorder="1" applyAlignment="1">
      <alignment horizontal="right" vertical="center"/>
    </xf>
    <xf numFmtId="176" fontId="0" fillId="0" borderId="2" xfId="0" applyBorder="1">
      <alignment vertical="center"/>
    </xf>
    <xf numFmtId="176" fontId="0" fillId="6" borderId="2" xfId="0" applyFill="1" applyBorder="1">
      <alignment vertical="center"/>
    </xf>
    <xf numFmtId="176" fontId="0" fillId="4" borderId="2" xfId="0" applyFill="1" applyBorder="1">
      <alignment vertical="center"/>
    </xf>
    <xf numFmtId="176" fontId="22" fillId="0" borderId="2" xfId="0" applyFont="1" applyBorder="1">
      <alignment vertical="center"/>
    </xf>
    <xf numFmtId="176" fontId="22" fillId="3" borderId="2" xfId="0" applyFont="1" applyFill="1" applyBorder="1">
      <alignment vertical="center"/>
    </xf>
    <xf numFmtId="179" fontId="29" fillId="5" borderId="15" xfId="0" applyNumberFormat="1" applyFont="1" applyFill="1" applyBorder="1" applyAlignment="1">
      <alignment horizontal="right" vertical="center"/>
    </xf>
    <xf numFmtId="176" fontId="0" fillId="3" borderId="2" xfId="0" applyFill="1" applyBorder="1">
      <alignment vertical="center"/>
    </xf>
    <xf numFmtId="179" fontId="3" fillId="2" borderId="2" xfId="0" applyNumberFormat="1" applyFont="1" applyFill="1" applyBorder="1" applyAlignment="1">
      <alignment horizontal="right" vertical="center"/>
    </xf>
    <xf numFmtId="179" fontId="3" fillId="8" borderId="2" xfId="0" applyNumberFormat="1" applyFont="1" applyFill="1" applyBorder="1" applyAlignment="1">
      <alignment horizontal="right" vertical="center"/>
    </xf>
    <xf numFmtId="176" fontId="4" fillId="0" borderId="0" xfId="6" applyFont="1" applyAlignment="1">
      <alignment horizontal="center" vertical="center"/>
    </xf>
    <xf numFmtId="176" fontId="85" fillId="0" borderId="2" xfId="6" applyBorder="1" applyAlignment="1">
      <alignment horizontal="center" vertical="center"/>
    </xf>
    <xf numFmtId="176" fontId="85" fillId="0" borderId="2" xfId="6" applyBorder="1">
      <alignment vertical="center"/>
    </xf>
    <xf numFmtId="179" fontId="31" fillId="0" borderId="2" xfId="6" applyNumberFormat="1" applyFont="1" applyBorder="1" applyAlignment="1">
      <alignment horizontal="right" vertical="center"/>
    </xf>
    <xf numFmtId="179" fontId="85" fillId="0" borderId="2" xfId="6" applyNumberFormat="1" applyBorder="1" applyAlignment="1">
      <alignment horizontal="right" vertical="center"/>
    </xf>
    <xf numFmtId="179" fontId="12" fillId="0" borderId="2" xfId="6" applyNumberFormat="1" applyFont="1" applyBorder="1" applyAlignment="1">
      <alignment horizontal="right" vertical="center"/>
    </xf>
    <xf numFmtId="179" fontId="32" fillId="2" borderId="2" xfId="6" applyNumberFormat="1" applyFont="1" applyFill="1" applyBorder="1" applyAlignment="1">
      <alignment horizontal="right" vertical="center"/>
    </xf>
    <xf numFmtId="179" fontId="4" fillId="0" borderId="2" xfId="6" applyNumberFormat="1" applyFont="1" applyBorder="1" applyAlignment="1">
      <alignment horizontal="right" vertical="center"/>
    </xf>
    <xf numFmtId="179" fontId="12" fillId="5" borderId="2" xfId="6" applyNumberFormat="1" applyFont="1" applyFill="1" applyBorder="1" applyAlignment="1">
      <alignment horizontal="right" vertical="center" shrinkToFit="1"/>
    </xf>
    <xf numFmtId="179" fontId="4" fillId="2" borderId="2" xfId="6" applyNumberFormat="1" applyFont="1" applyFill="1" applyBorder="1" applyAlignment="1">
      <alignment horizontal="right" vertical="center"/>
    </xf>
    <xf numFmtId="176" fontId="4" fillId="0" borderId="2" xfId="6" applyFont="1" applyBorder="1">
      <alignment vertical="center"/>
    </xf>
    <xf numFmtId="179" fontId="33" fillId="0" borderId="2" xfId="6" applyNumberFormat="1" applyFont="1" applyBorder="1" applyAlignment="1">
      <alignment horizontal="right" vertical="center"/>
    </xf>
    <xf numFmtId="179" fontId="12" fillId="5" borderId="2" xfId="6" applyNumberFormat="1" applyFont="1" applyFill="1" applyBorder="1" applyAlignment="1">
      <alignment horizontal="right" vertical="center"/>
    </xf>
    <xf numFmtId="179" fontId="33" fillId="5" borderId="2" xfId="6" applyNumberFormat="1" applyFont="1" applyFill="1" applyBorder="1" applyAlignment="1">
      <alignment horizontal="right" vertical="center"/>
    </xf>
    <xf numFmtId="179" fontId="34" fillId="0" borderId="2" xfId="6" applyNumberFormat="1" applyFont="1" applyBorder="1" applyAlignment="1">
      <alignment horizontal="right" vertical="center"/>
    </xf>
    <xf numFmtId="181" fontId="4" fillId="0" borderId="2" xfId="6" applyNumberFormat="1" applyFont="1" applyBorder="1" applyAlignment="1">
      <alignment horizontal="right" vertical="center"/>
    </xf>
    <xf numFmtId="179" fontId="33" fillId="5" borderId="2" xfId="6" applyNumberFormat="1" applyFont="1" applyFill="1" applyBorder="1" applyAlignment="1">
      <alignment horizontal="right" vertical="center" shrinkToFit="1"/>
    </xf>
    <xf numFmtId="176" fontId="35" fillId="0" borderId="0" xfId="0" applyFont="1">
      <alignment vertical="center"/>
    </xf>
    <xf numFmtId="176" fontId="36" fillId="0" borderId="0" xfId="0" applyFont="1">
      <alignment vertical="center"/>
    </xf>
    <xf numFmtId="176" fontId="0" fillId="0" borderId="0" xfId="0" applyAlignment="1"/>
    <xf numFmtId="176" fontId="8" fillId="0" borderId="0" xfId="0" applyFont="1" applyAlignment="1"/>
    <xf numFmtId="176" fontId="35" fillId="0" borderId="0" xfId="0" applyFont="1" applyAlignment="1"/>
    <xf numFmtId="1" fontId="8" fillId="0" borderId="0" xfId="0" applyNumberFormat="1" applyFont="1" applyAlignment="1">
      <alignment vertical="top"/>
    </xf>
    <xf numFmtId="176" fontId="39" fillId="0" borderId="0" xfId="132" applyFont="1" applyAlignment="1" applyProtection="1">
      <alignment horizontal="left" vertical="center"/>
      <protection locked="0"/>
    </xf>
    <xf numFmtId="57" fontId="40" fillId="0" borderId="0" xfId="0" applyNumberFormat="1" applyFont="1" applyAlignment="1">
      <alignment horizontal="center" vertical="center"/>
    </xf>
    <xf numFmtId="176" fontId="39" fillId="0" borderId="0" xfId="132" applyFont="1" applyAlignment="1" applyProtection="1">
      <alignment horizontal="center" vertical="center"/>
      <protection locked="0"/>
    </xf>
    <xf numFmtId="57" fontId="41" fillId="0" borderId="0" xfId="0" applyNumberFormat="1" applyFont="1" applyAlignment="1">
      <alignment horizontal="center" vertical="center"/>
    </xf>
    <xf numFmtId="176" fontId="11" fillId="0" borderId="2" xfId="132" applyFont="1" applyBorder="1" applyAlignment="1" applyProtection="1">
      <alignment horizontal="center" vertical="center"/>
      <protection locked="0"/>
    </xf>
    <xf numFmtId="176" fontId="9" fillId="0" borderId="2" xfId="0" applyFont="1" applyBorder="1" applyAlignment="1">
      <alignment horizontal="center" vertical="center"/>
    </xf>
    <xf numFmtId="176" fontId="33" fillId="0" borderId="2" xfId="132" applyFont="1" applyBorder="1" applyAlignment="1" applyProtection="1">
      <alignment horizontal="center" vertical="center"/>
      <protection locked="0"/>
    </xf>
    <xf numFmtId="176" fontId="0" fillId="0" borderId="2" xfId="108" applyFont="1" applyBorder="1" applyAlignment="1">
      <alignment horizontal="center" vertical="center"/>
    </xf>
    <xf numFmtId="176" fontId="11" fillId="0" borderId="2" xfId="108" applyFont="1" applyBorder="1" applyAlignment="1">
      <alignment horizontal="center" vertical="center"/>
    </xf>
    <xf numFmtId="176" fontId="33" fillId="0" borderId="2" xfId="108" applyFont="1" applyBorder="1" applyAlignment="1">
      <alignment horizontal="center" vertical="center"/>
    </xf>
    <xf numFmtId="177" fontId="85" fillId="0" borderId="2" xfId="132" applyNumberFormat="1" applyBorder="1" applyAlignment="1">
      <alignment horizontal="center" vertical="center"/>
    </xf>
    <xf numFmtId="184" fontId="11" fillId="0" borderId="2" xfId="132" applyNumberFormat="1" applyFont="1" applyBorder="1" applyAlignment="1">
      <alignment horizontal="center" vertical="center"/>
    </xf>
    <xf numFmtId="176" fontId="8" fillId="0" borderId="2" xfId="0" applyFont="1" applyBorder="1" applyAlignment="1">
      <alignment horizontal="center" vertical="center"/>
    </xf>
    <xf numFmtId="176" fontId="11" fillId="0" borderId="2" xfId="0" applyFont="1" applyBorder="1" applyAlignment="1">
      <alignment horizontal="center"/>
    </xf>
    <xf numFmtId="177" fontId="11" fillId="0" borderId="2" xfId="132" applyNumberFormat="1" applyFont="1" applyBorder="1" applyAlignment="1">
      <alignment horizontal="center" vertical="center"/>
    </xf>
    <xf numFmtId="176" fontId="8" fillId="0" borderId="15" xfId="0" applyFont="1" applyBorder="1" applyAlignment="1">
      <alignment horizontal="center" vertical="center"/>
    </xf>
    <xf numFmtId="176" fontId="8" fillId="0" borderId="2" xfId="0" applyFont="1" applyBorder="1" applyAlignment="1"/>
    <xf numFmtId="176" fontId="12" fillId="0" borderId="0" xfId="0" applyFont="1" applyAlignment="1">
      <alignment horizontal="center"/>
    </xf>
    <xf numFmtId="176" fontId="8" fillId="0" borderId="26" xfId="0" applyFont="1" applyBorder="1" applyAlignment="1">
      <alignment horizontal="center" vertical="center"/>
    </xf>
    <xf numFmtId="176" fontId="12" fillId="0" borderId="2" xfId="0" applyFont="1" applyBorder="1" applyAlignment="1">
      <alignment horizontal="center"/>
    </xf>
    <xf numFmtId="176" fontId="12" fillId="0" borderId="11" xfId="108" applyFont="1" applyBorder="1" applyAlignment="1">
      <alignment horizontal="center" vertical="center"/>
    </xf>
    <xf numFmtId="179" fontId="11" fillId="0" borderId="2" xfId="0" applyNumberFormat="1" applyFont="1" applyBorder="1" applyAlignment="1">
      <alignment horizontal="center"/>
    </xf>
    <xf numFmtId="176" fontId="3" fillId="0" borderId="2" xfId="30" applyFont="1" applyBorder="1" applyAlignment="1">
      <alignment horizontal="center" vertical="center"/>
    </xf>
    <xf numFmtId="184" fontId="85" fillId="0" borderId="2" xfId="132" applyNumberFormat="1" applyBorder="1" applyAlignment="1">
      <alignment horizontal="center" vertical="center"/>
    </xf>
    <xf numFmtId="181" fontId="85" fillId="0" borderId="2" xfId="132" applyNumberFormat="1" applyBorder="1" applyAlignment="1">
      <alignment horizontal="center" vertical="center"/>
    </xf>
    <xf numFmtId="176" fontId="12" fillId="0" borderId="2" xfId="0" applyFont="1" applyBorder="1" applyAlignment="1"/>
    <xf numFmtId="176" fontId="0" fillId="0" borderId="4" xfId="0" applyBorder="1" applyAlignment="1">
      <alignment horizontal="center" vertical="center"/>
    </xf>
    <xf numFmtId="176" fontId="0" fillId="0" borderId="5" xfId="0" applyBorder="1" applyAlignment="1">
      <alignment horizontal="center" vertical="center"/>
    </xf>
    <xf numFmtId="176" fontId="0" fillId="0" borderId="15" xfId="0" applyBorder="1" applyAlignment="1">
      <alignment horizontal="center" vertical="center"/>
    </xf>
    <xf numFmtId="176" fontId="0" fillId="0" borderId="6" xfId="0" applyBorder="1" applyAlignment="1">
      <alignment horizontal="center" vertical="center"/>
    </xf>
    <xf numFmtId="176" fontId="0" fillId="0" borderId="27" xfId="0" applyBorder="1" applyAlignment="1">
      <alignment horizontal="center" vertical="center"/>
    </xf>
    <xf numFmtId="176" fontId="0" fillId="0" borderId="20" xfId="0" applyBorder="1" applyAlignment="1">
      <alignment horizontal="center" vertical="center"/>
    </xf>
    <xf numFmtId="176" fontId="0" fillId="0" borderId="28" xfId="0" applyBorder="1" applyAlignment="1">
      <alignment horizontal="center" vertical="center"/>
    </xf>
    <xf numFmtId="176" fontId="0" fillId="0" borderId="9" xfId="0" applyBorder="1" applyAlignment="1">
      <alignment horizontal="center" vertical="center"/>
    </xf>
    <xf numFmtId="176" fontId="0" fillId="0" borderId="29" xfId="0" applyBorder="1" applyAlignment="1">
      <alignment horizontal="center" vertical="center"/>
    </xf>
    <xf numFmtId="176" fontId="0" fillId="0" borderId="10" xfId="0" applyBorder="1" applyAlignment="1">
      <alignment horizontal="center" vertical="center"/>
    </xf>
    <xf numFmtId="176" fontId="0" fillId="0" borderId="21" xfId="0" applyBorder="1" applyAlignment="1">
      <alignment horizontal="center" vertical="center"/>
    </xf>
    <xf numFmtId="176" fontId="42" fillId="0" borderId="0" xfId="0" applyFont="1">
      <alignment vertical="center"/>
    </xf>
    <xf numFmtId="176" fontId="43" fillId="0" borderId="0" xfId="0" applyFont="1">
      <alignment vertical="center"/>
    </xf>
    <xf numFmtId="179" fontId="3" fillId="4" borderId="15" xfId="0" applyNumberFormat="1" applyFont="1" applyFill="1" applyBorder="1" applyAlignment="1">
      <alignment horizontal="right" vertical="center"/>
    </xf>
    <xf numFmtId="179" fontId="3" fillId="5" borderId="15" xfId="0" applyNumberFormat="1" applyFont="1" applyFill="1" applyBorder="1" applyAlignment="1">
      <alignment horizontal="right" vertical="center"/>
    </xf>
    <xf numFmtId="179" fontId="3" fillId="4" borderId="2" xfId="0" applyNumberFormat="1" applyFont="1" applyFill="1" applyBorder="1" applyAlignment="1">
      <alignment horizontal="right" vertical="center"/>
    </xf>
    <xf numFmtId="176" fontId="33" fillId="5" borderId="12" xfId="0" applyFont="1" applyFill="1" applyBorder="1" applyAlignment="1">
      <alignment horizontal="center" vertical="center"/>
    </xf>
    <xf numFmtId="179" fontId="5" fillId="5" borderId="11" xfId="0" applyNumberFormat="1" applyFont="1" applyFill="1" applyBorder="1" applyAlignment="1">
      <alignment horizontal="right" vertical="center"/>
    </xf>
    <xf numFmtId="179" fontId="4" fillId="5" borderId="11" xfId="0" applyNumberFormat="1" applyFont="1" applyFill="1" applyBorder="1" applyAlignment="1">
      <alignment horizontal="right" vertical="center"/>
    </xf>
    <xf numFmtId="176" fontId="33" fillId="5" borderId="25" xfId="0" applyFont="1" applyFill="1" applyBorder="1" applyAlignment="1">
      <alignment horizontal="center" vertical="center" shrinkToFit="1"/>
    </xf>
    <xf numFmtId="179" fontId="44" fillId="5" borderId="11" xfId="0" applyNumberFormat="1" applyFont="1" applyFill="1" applyBorder="1" applyAlignment="1">
      <alignment horizontal="right" vertical="center"/>
    </xf>
    <xf numFmtId="176" fontId="12" fillId="5" borderId="12" xfId="0" applyFont="1" applyFill="1" applyBorder="1" applyAlignment="1">
      <alignment horizontal="center" vertical="center" wrapText="1"/>
    </xf>
    <xf numFmtId="179" fontId="3" fillId="5" borderId="11" xfId="0" applyNumberFormat="1" applyFont="1" applyFill="1" applyBorder="1" applyAlignment="1">
      <alignment horizontal="right" vertical="center"/>
    </xf>
    <xf numFmtId="179" fontId="6" fillId="4" borderId="11" xfId="0" applyNumberFormat="1" applyFont="1" applyFill="1" applyBorder="1" applyAlignment="1">
      <alignment horizontal="right" vertical="center"/>
    </xf>
    <xf numFmtId="179" fontId="44" fillId="3" borderId="11" xfId="0" applyNumberFormat="1" applyFont="1" applyFill="1" applyBorder="1" applyAlignment="1">
      <alignment horizontal="right" vertical="center"/>
    </xf>
    <xf numFmtId="179" fontId="11" fillId="5" borderId="11" xfId="0" applyNumberFormat="1" applyFont="1" applyFill="1" applyBorder="1" applyAlignment="1">
      <alignment horizontal="right" vertical="center"/>
    </xf>
    <xf numFmtId="179" fontId="30" fillId="5" borderId="11" xfId="0" applyNumberFormat="1" applyFont="1" applyFill="1" applyBorder="1" applyAlignment="1">
      <alignment horizontal="right" vertical="center"/>
    </xf>
    <xf numFmtId="183" fontId="45" fillId="4" borderId="11" xfId="0" applyNumberFormat="1" applyFont="1" applyFill="1" applyBorder="1" applyAlignment="1">
      <alignment horizontal="right" vertical="center"/>
    </xf>
    <xf numFmtId="176" fontId="46" fillId="5" borderId="12" xfId="0" applyFont="1" applyFill="1" applyBorder="1" applyAlignment="1">
      <alignment horizontal="center" vertical="center"/>
    </xf>
    <xf numFmtId="179" fontId="47" fillId="5" borderId="11" xfId="0" applyNumberFormat="1" applyFont="1" applyFill="1" applyBorder="1" applyAlignment="1">
      <alignment horizontal="right" vertical="center"/>
    </xf>
    <xf numFmtId="183" fontId="47" fillId="3" borderId="11" xfId="0" applyNumberFormat="1" applyFont="1" applyFill="1" applyBorder="1" applyAlignment="1">
      <alignment horizontal="right" vertical="center"/>
    </xf>
    <xf numFmtId="179" fontId="29" fillId="5" borderId="11" xfId="0" applyNumberFormat="1" applyFont="1" applyFill="1" applyBorder="1" applyAlignment="1">
      <alignment horizontal="right" vertical="center"/>
    </xf>
    <xf numFmtId="183" fontId="29" fillId="3" borderId="11" xfId="0" applyNumberFormat="1" applyFont="1" applyFill="1" applyBorder="1" applyAlignment="1">
      <alignment horizontal="right" vertical="center"/>
    </xf>
    <xf numFmtId="176" fontId="43" fillId="5" borderId="12" xfId="0" applyFont="1" applyFill="1" applyBorder="1" applyAlignment="1">
      <alignment horizontal="center" vertical="center"/>
    </xf>
    <xf numFmtId="179" fontId="48" fillId="5" borderId="11" xfId="0" applyNumberFormat="1" applyFont="1" applyFill="1" applyBorder="1" applyAlignment="1">
      <alignment horizontal="right" vertical="center"/>
    </xf>
    <xf numFmtId="176" fontId="43" fillId="5" borderId="25" xfId="0" applyFont="1" applyFill="1" applyBorder="1" applyAlignment="1">
      <alignment horizontal="center" vertical="center"/>
    </xf>
    <xf numFmtId="183" fontId="48" fillId="3" borderId="11" xfId="0" applyNumberFormat="1" applyFont="1" applyFill="1" applyBorder="1" applyAlignment="1">
      <alignment horizontal="right" vertical="center"/>
    </xf>
    <xf numFmtId="179" fontId="11" fillId="9" borderId="2" xfId="0" applyNumberFormat="1" applyFont="1" applyFill="1" applyBorder="1" applyAlignment="1">
      <alignment horizontal="right" vertical="center"/>
    </xf>
    <xf numFmtId="179" fontId="29" fillId="9" borderId="2" xfId="0" applyNumberFormat="1" applyFont="1" applyFill="1" applyBorder="1" applyAlignment="1">
      <alignment horizontal="right" vertical="center"/>
    </xf>
    <xf numFmtId="179" fontId="29" fillId="9" borderId="15" xfId="0" applyNumberFormat="1" applyFont="1" applyFill="1" applyBorder="1" applyAlignment="1">
      <alignment horizontal="right" vertical="center"/>
    </xf>
    <xf numFmtId="179" fontId="6" fillId="9" borderId="15" xfId="0" applyNumberFormat="1" applyFont="1" applyFill="1" applyBorder="1" applyAlignment="1">
      <alignment horizontal="right" vertical="center"/>
    </xf>
    <xf numFmtId="176" fontId="12" fillId="5" borderId="25" xfId="0" applyFont="1" applyFill="1" applyBorder="1" applyAlignment="1">
      <alignment horizontal="center" vertical="center"/>
    </xf>
    <xf numFmtId="176" fontId="12" fillId="5" borderId="2" xfId="0" applyFont="1" applyFill="1" applyBorder="1" applyAlignment="1">
      <alignment horizontal="center" vertical="center"/>
    </xf>
    <xf numFmtId="179" fontId="30" fillId="5" borderId="2" xfId="0" applyNumberFormat="1" applyFont="1" applyFill="1" applyBorder="1" applyAlignment="1">
      <alignment horizontal="right" vertical="center"/>
    </xf>
    <xf numFmtId="179" fontId="6" fillId="5" borderId="2" xfId="0" applyNumberFormat="1" applyFont="1" applyFill="1" applyBorder="1" applyAlignment="1">
      <alignment horizontal="right" vertical="center"/>
    </xf>
    <xf numFmtId="176" fontId="0" fillId="5" borderId="15" xfId="0" applyFill="1" applyBorder="1" applyAlignment="1">
      <alignment horizontal="center" vertical="center"/>
    </xf>
    <xf numFmtId="176" fontId="12" fillId="10" borderId="2" xfId="0" applyFont="1" applyFill="1" applyBorder="1" applyAlignment="1">
      <alignment horizontal="center" vertical="center"/>
    </xf>
    <xf numFmtId="179" fontId="6" fillId="10" borderId="2" xfId="0" applyNumberFormat="1" applyFont="1" applyFill="1" applyBorder="1" applyAlignment="1">
      <alignment horizontal="right" vertical="center"/>
    </xf>
    <xf numFmtId="176" fontId="12" fillId="10" borderId="15" xfId="0" applyFont="1" applyFill="1" applyBorder="1" applyAlignment="1">
      <alignment horizontal="center" vertical="center"/>
    </xf>
    <xf numFmtId="179" fontId="6" fillId="10" borderId="15" xfId="0" applyNumberFormat="1" applyFont="1" applyFill="1" applyBorder="1" applyAlignment="1">
      <alignment horizontal="right" vertical="center"/>
    </xf>
    <xf numFmtId="176" fontId="12" fillId="2" borderId="2" xfId="0" applyFont="1" applyFill="1" applyBorder="1" applyAlignment="1">
      <alignment horizontal="center" vertical="center"/>
    </xf>
    <xf numFmtId="179" fontId="6" fillId="2" borderId="15" xfId="0" applyNumberFormat="1" applyFont="1" applyFill="1" applyBorder="1" applyAlignment="1">
      <alignment horizontal="right" vertical="center"/>
    </xf>
    <xf numFmtId="176" fontId="12" fillId="2" borderId="15" xfId="0" applyFont="1" applyFill="1" applyBorder="1" applyAlignment="1">
      <alignment horizontal="center" vertical="center"/>
    </xf>
    <xf numFmtId="179" fontId="3" fillId="11" borderId="2" xfId="0" applyNumberFormat="1" applyFont="1" applyFill="1" applyBorder="1" applyAlignment="1">
      <alignment horizontal="right" vertical="center"/>
    </xf>
    <xf numFmtId="179" fontId="3" fillId="12" borderId="2" xfId="0" applyNumberFormat="1" applyFont="1" applyFill="1" applyBorder="1" applyAlignment="1">
      <alignment horizontal="right" vertical="center"/>
    </xf>
    <xf numFmtId="179" fontId="3" fillId="13" borderId="2" xfId="0" applyNumberFormat="1" applyFont="1" applyFill="1" applyBorder="1" applyAlignment="1">
      <alignment horizontal="right" vertical="center"/>
    </xf>
    <xf numFmtId="179" fontId="3" fillId="10" borderId="2" xfId="0" applyNumberFormat="1" applyFont="1" applyFill="1" applyBorder="1" applyAlignment="1">
      <alignment horizontal="right" vertical="center"/>
    </xf>
    <xf numFmtId="179" fontId="0" fillId="0" borderId="2" xfId="0" applyNumberFormat="1" applyBorder="1">
      <alignment vertical="center"/>
    </xf>
    <xf numFmtId="176" fontId="85" fillId="0" borderId="0" xfId="30" applyAlignment="1"/>
    <xf numFmtId="176" fontId="85" fillId="0" borderId="2" xfId="30" applyBorder="1" applyAlignment="1">
      <alignment horizontal="center" vertical="center"/>
    </xf>
    <xf numFmtId="176" fontId="11" fillId="5" borderId="2" xfId="132" applyFont="1" applyFill="1" applyBorder="1" applyAlignment="1" applyProtection="1">
      <alignment horizontal="center" vertical="center"/>
      <protection locked="0"/>
    </xf>
    <xf numFmtId="176" fontId="11" fillId="5" borderId="2" xfId="30" applyFont="1" applyFill="1" applyBorder="1" applyAlignment="1">
      <alignment horizontal="center" vertical="center"/>
    </xf>
    <xf numFmtId="184" fontId="4" fillId="0" borderId="2" xfId="30" applyNumberFormat="1" applyFont="1" applyBorder="1" applyAlignment="1">
      <alignment horizontal="center" vertical="center"/>
    </xf>
    <xf numFmtId="176" fontId="49" fillId="0" borderId="2" xfId="30" applyFont="1" applyBorder="1" applyAlignment="1">
      <alignment horizontal="center" vertical="center"/>
    </xf>
    <xf numFmtId="176" fontId="85" fillId="0" borderId="2" xfId="30" applyBorder="1">
      <alignment vertical="center"/>
    </xf>
    <xf numFmtId="176" fontId="12" fillId="3" borderId="2" xfId="30" applyFont="1" applyFill="1" applyBorder="1">
      <alignment vertical="center"/>
    </xf>
    <xf numFmtId="189" fontId="85" fillId="0" borderId="2" xfId="30" applyNumberFormat="1" applyBorder="1" applyAlignment="1">
      <alignment horizontal="center" vertical="center"/>
    </xf>
    <xf numFmtId="176" fontId="50" fillId="0" borderId="2" xfId="30" applyFont="1" applyBorder="1" applyAlignment="1">
      <alignment horizontal="center" vertical="center"/>
    </xf>
    <xf numFmtId="176" fontId="51" fillId="0" borderId="2" xfId="30" applyFont="1" applyBorder="1" applyAlignment="1">
      <alignment horizontal="center" vertical="center"/>
    </xf>
    <xf numFmtId="177" fontId="6" fillId="2" borderId="2" xfId="133" applyNumberFormat="1" applyFont="1" applyFill="1" applyBorder="1" applyAlignment="1">
      <alignment horizontal="center" vertical="center"/>
    </xf>
    <xf numFmtId="177" fontId="6" fillId="3" borderId="2" xfId="133" applyNumberFormat="1" applyFont="1" applyFill="1" applyBorder="1" applyAlignment="1">
      <alignment horizontal="center" vertical="center"/>
    </xf>
    <xf numFmtId="2" fontId="12" fillId="3" borderId="2" xfId="30" applyNumberFormat="1" applyFont="1" applyFill="1" applyBorder="1" applyAlignment="1">
      <alignment horizontal="center" vertical="center"/>
    </xf>
    <xf numFmtId="179" fontId="12" fillId="2" borderId="2" xfId="30" applyNumberFormat="1" applyFont="1" applyFill="1" applyBorder="1" applyAlignment="1">
      <alignment horizontal="center" vertical="center"/>
    </xf>
    <xf numFmtId="179" fontId="12" fillId="3" borderId="2" xfId="30" applyNumberFormat="1" applyFont="1" applyFill="1" applyBorder="1" applyAlignment="1">
      <alignment horizontal="center" vertical="center"/>
    </xf>
    <xf numFmtId="176" fontId="12" fillId="3" borderId="2" xfId="30" applyFont="1" applyFill="1" applyBorder="1" applyAlignment="1">
      <alignment horizontal="center" vertical="center"/>
    </xf>
    <xf numFmtId="184" fontId="85" fillId="0" borderId="2" xfId="30" applyNumberFormat="1" applyBorder="1" applyAlignment="1">
      <alignment horizontal="center" vertical="center"/>
    </xf>
    <xf numFmtId="179" fontId="6" fillId="2" borderId="2" xfId="133" applyNumberFormat="1" applyFont="1" applyFill="1" applyBorder="1" applyAlignment="1">
      <alignment horizontal="center" vertical="center"/>
    </xf>
    <xf numFmtId="184" fontId="4" fillId="0" borderId="2" xfId="30" applyNumberFormat="1" applyFont="1" applyBorder="1">
      <alignment vertical="center"/>
    </xf>
    <xf numFmtId="176" fontId="85" fillId="0" borderId="2" xfId="30" applyBorder="1" applyAlignment="1">
      <alignment horizontal="center"/>
    </xf>
    <xf numFmtId="176" fontId="52" fillId="0" borderId="0" xfId="30" applyFont="1" applyAlignment="1"/>
    <xf numFmtId="181" fontId="85" fillId="0" borderId="0" xfId="30" applyNumberFormat="1" applyAlignment="1"/>
    <xf numFmtId="176" fontId="35" fillId="0" borderId="0" xfId="32" applyFont="1">
      <alignment vertical="center"/>
    </xf>
    <xf numFmtId="176" fontId="36" fillId="0" borderId="0" xfId="32" applyFont="1">
      <alignment vertical="center"/>
    </xf>
    <xf numFmtId="176" fontId="6" fillId="0" borderId="0" xfId="32" applyAlignment="1"/>
    <xf numFmtId="176" fontId="6" fillId="0" borderId="0" xfId="32">
      <alignment vertical="center"/>
    </xf>
    <xf numFmtId="176" fontId="8" fillId="0" borderId="0" xfId="32" applyFont="1">
      <alignment vertical="center"/>
    </xf>
    <xf numFmtId="176" fontId="35" fillId="0" borderId="0" xfId="32" applyFont="1" applyAlignment="1"/>
    <xf numFmtId="1" fontId="8" fillId="0" borderId="0" xfId="32" applyNumberFormat="1" applyFont="1" applyAlignment="1">
      <alignment vertical="top"/>
    </xf>
    <xf numFmtId="176" fontId="6" fillId="0" borderId="0" xfId="30" applyFont="1">
      <alignment vertical="center"/>
    </xf>
    <xf numFmtId="57" fontId="40" fillId="0" borderId="0" xfId="30" applyNumberFormat="1" applyFont="1" applyAlignment="1">
      <alignment horizontal="center" vertical="center"/>
    </xf>
    <xf numFmtId="176" fontId="35" fillId="0" borderId="0" xfId="30" applyFont="1">
      <alignment vertical="center"/>
    </xf>
    <xf numFmtId="57" fontId="41" fillId="0" borderId="0" xfId="32" applyNumberFormat="1" applyFont="1" applyAlignment="1">
      <alignment horizontal="center" vertical="center"/>
    </xf>
    <xf numFmtId="176" fontId="11" fillId="0" borderId="2" xfId="133" applyFont="1" applyBorder="1" applyAlignment="1" applyProtection="1">
      <alignment horizontal="center" vertical="center"/>
      <protection locked="0"/>
    </xf>
    <xf numFmtId="176" fontId="9" fillId="0" borderId="2" xfId="32" applyFont="1" applyBorder="1" applyAlignment="1">
      <alignment horizontal="center" vertical="center"/>
    </xf>
    <xf numFmtId="176" fontId="33" fillId="0" borderId="2" xfId="133" applyFont="1" applyBorder="1" applyAlignment="1" applyProtection="1">
      <alignment horizontal="center" vertical="center"/>
      <protection locked="0"/>
    </xf>
    <xf numFmtId="176" fontId="0" fillId="0" borderId="2" xfId="109" applyFont="1" applyBorder="1" applyAlignment="1">
      <alignment horizontal="center" vertical="center"/>
    </xf>
    <xf numFmtId="176" fontId="11" fillId="0" borderId="2" xfId="32" applyFont="1" applyBorder="1" applyAlignment="1">
      <alignment horizontal="center" vertical="center"/>
    </xf>
    <xf numFmtId="176" fontId="11" fillId="0" borderId="2" xfId="109" applyFont="1" applyBorder="1" applyAlignment="1">
      <alignment horizontal="center" vertical="center"/>
    </xf>
    <xf numFmtId="0" fontId="8" fillId="0" borderId="2" xfId="32" applyNumberFormat="1" applyFont="1" applyBorder="1" applyAlignment="1">
      <alignment horizontal="center" vertical="center"/>
    </xf>
    <xf numFmtId="176" fontId="33" fillId="0" borderId="2" xfId="109" applyFont="1" applyBorder="1" applyAlignment="1">
      <alignment horizontal="center" vertical="center"/>
    </xf>
    <xf numFmtId="176" fontId="12" fillId="3" borderId="2" xfId="109" applyFont="1" applyFill="1" applyBorder="1" applyAlignment="1">
      <alignment horizontal="center" vertical="center"/>
    </xf>
    <xf numFmtId="176" fontId="11" fillId="3" borderId="2" xfId="109" applyFont="1" applyFill="1" applyBorder="1" applyAlignment="1">
      <alignment horizontal="center" vertical="center"/>
    </xf>
    <xf numFmtId="177" fontId="12" fillId="3" borderId="2" xfId="133" applyNumberFormat="1" applyFont="1" applyFill="1" applyBorder="1" applyAlignment="1">
      <alignment horizontal="center" vertical="center"/>
    </xf>
    <xf numFmtId="184" fontId="11" fillId="3" borderId="2" xfId="133" applyNumberFormat="1" applyFont="1" applyFill="1" applyBorder="1" applyAlignment="1">
      <alignment horizontal="center" vertical="center"/>
    </xf>
    <xf numFmtId="176" fontId="12" fillId="0" borderId="2" xfId="109" applyFont="1" applyBorder="1" applyAlignment="1">
      <alignment horizontal="center" vertical="center"/>
    </xf>
    <xf numFmtId="176" fontId="11" fillId="3" borderId="2" xfId="32" applyFont="1" applyFill="1" applyBorder="1" applyAlignment="1">
      <alignment horizontal="center" vertical="center"/>
    </xf>
    <xf numFmtId="177" fontId="12" fillId="3" borderId="2" xfId="132" applyNumberFormat="1" applyFont="1" applyFill="1" applyBorder="1" applyAlignment="1">
      <alignment horizontal="center" vertical="center"/>
    </xf>
    <xf numFmtId="176" fontId="6" fillId="3" borderId="2" xfId="109" applyFill="1" applyBorder="1" applyAlignment="1">
      <alignment horizontal="center" vertical="center"/>
    </xf>
    <xf numFmtId="177" fontId="6" fillId="3" borderId="2" xfId="109" applyNumberFormat="1" applyFill="1" applyBorder="1" applyAlignment="1">
      <alignment horizontal="center" vertical="center"/>
    </xf>
    <xf numFmtId="182" fontId="6" fillId="3" borderId="2" xfId="32" applyNumberFormat="1" applyFill="1" applyBorder="1" applyAlignment="1">
      <alignment horizontal="center" vertical="center"/>
    </xf>
    <xf numFmtId="178" fontId="6" fillId="3" borderId="2" xfId="133" applyNumberFormat="1" applyFont="1" applyFill="1" applyBorder="1" applyAlignment="1">
      <alignment horizontal="center" vertical="center"/>
    </xf>
    <xf numFmtId="183" fontId="6" fillId="3" borderId="2" xfId="109" applyNumberFormat="1" applyFill="1" applyBorder="1" applyAlignment="1">
      <alignment horizontal="center" vertical="center"/>
    </xf>
    <xf numFmtId="190" fontId="6" fillId="3" borderId="2" xfId="133" applyNumberFormat="1" applyFont="1" applyFill="1" applyBorder="1" applyAlignment="1">
      <alignment horizontal="center" vertical="center"/>
    </xf>
    <xf numFmtId="176" fontId="6" fillId="3" borderId="2" xfId="32" applyFill="1" applyBorder="1" applyAlignment="1">
      <alignment horizontal="center" vertical="center"/>
    </xf>
    <xf numFmtId="179" fontId="6" fillId="3" borderId="2" xfId="109" applyNumberFormat="1" applyFill="1" applyBorder="1" applyAlignment="1">
      <alignment horizontal="center" vertical="center"/>
    </xf>
    <xf numFmtId="179" fontId="6" fillId="3" borderId="2" xfId="32" applyNumberFormat="1" applyFill="1" applyBorder="1" applyAlignment="1">
      <alignment horizontal="center" vertical="center"/>
    </xf>
    <xf numFmtId="176" fontId="12" fillId="0" borderId="0" xfId="32" applyFont="1" applyAlignment="1">
      <alignment horizontal="center" vertical="center"/>
    </xf>
    <xf numFmtId="179" fontId="6" fillId="3" borderId="0" xfId="32" applyNumberFormat="1" applyFill="1" applyAlignment="1">
      <alignment horizontal="center" vertical="center"/>
    </xf>
    <xf numFmtId="176" fontId="12" fillId="0" borderId="2" xfId="32" applyFont="1" applyBorder="1" applyAlignment="1">
      <alignment horizontal="center" vertical="center"/>
    </xf>
    <xf numFmtId="177" fontId="6" fillId="3" borderId="2" xfId="32" applyNumberFormat="1" applyFill="1" applyBorder="1" applyAlignment="1">
      <alignment horizontal="center" vertical="center"/>
    </xf>
    <xf numFmtId="179" fontId="6" fillId="0" borderId="2" xfId="32" applyNumberFormat="1" applyBorder="1" applyAlignment="1">
      <alignment horizontal="center" vertical="center"/>
    </xf>
    <xf numFmtId="177" fontId="6" fillId="0" borderId="2" xfId="133" applyNumberFormat="1" applyFont="1" applyBorder="1" applyAlignment="1">
      <alignment horizontal="center" vertical="center"/>
    </xf>
    <xf numFmtId="176" fontId="12" fillId="0" borderId="11" xfId="109" applyFont="1" applyBorder="1" applyAlignment="1">
      <alignment horizontal="center" vertical="center"/>
    </xf>
    <xf numFmtId="182" fontId="6" fillId="3" borderId="2" xfId="109" applyNumberFormat="1" applyFill="1" applyBorder="1" applyAlignment="1">
      <alignment horizontal="center" vertical="center"/>
    </xf>
    <xf numFmtId="176" fontId="8" fillId="0" borderId="2" xfId="32" applyFont="1" applyBorder="1" applyAlignment="1">
      <alignment horizontal="center" vertical="center"/>
    </xf>
    <xf numFmtId="176" fontId="6" fillId="0" borderId="2" xfId="32" applyBorder="1" applyAlignment="1">
      <alignment horizontal="center" vertical="center"/>
    </xf>
    <xf numFmtId="176" fontId="6" fillId="0" borderId="0" xfId="32" applyAlignment="1">
      <alignment horizontal="center" vertical="center"/>
    </xf>
    <xf numFmtId="57" fontId="40" fillId="0" borderId="0" xfId="32" applyNumberFormat="1" applyFont="1" applyAlignment="1">
      <alignment horizontal="right" vertical="center"/>
    </xf>
    <xf numFmtId="180" fontId="40" fillId="0" borderId="0" xfId="32" applyNumberFormat="1" applyFont="1" applyAlignment="1" applyProtection="1">
      <alignment horizontal="left" vertical="center"/>
      <protection locked="0"/>
    </xf>
    <xf numFmtId="176" fontId="3" fillId="0" borderId="2" xfId="119" applyFont="1" applyBorder="1" applyAlignment="1">
      <alignment horizontal="center" vertical="center"/>
    </xf>
    <xf numFmtId="184" fontId="12" fillId="3" borderId="2" xfId="133" applyNumberFormat="1" applyFont="1" applyFill="1" applyBorder="1" applyAlignment="1">
      <alignment horizontal="center" vertical="center"/>
    </xf>
    <xf numFmtId="177" fontId="12" fillId="2" borderId="2" xfId="133" applyNumberFormat="1" applyFont="1" applyFill="1" applyBorder="1" applyAlignment="1">
      <alignment horizontal="center" vertical="center"/>
    </xf>
    <xf numFmtId="177" fontId="36" fillId="0" borderId="0" xfId="32" applyNumberFormat="1" applyFont="1">
      <alignment vertical="center"/>
    </xf>
    <xf numFmtId="184" fontId="6" fillId="3" borderId="2" xfId="133" applyNumberFormat="1" applyFont="1" applyFill="1" applyBorder="1" applyAlignment="1">
      <alignment horizontal="center" vertical="center"/>
    </xf>
    <xf numFmtId="181" fontId="6" fillId="2" borderId="2" xfId="32" applyNumberFormat="1" applyFill="1" applyBorder="1" applyAlignment="1">
      <alignment horizontal="center" vertical="center"/>
    </xf>
    <xf numFmtId="177" fontId="6" fillId="0" borderId="0" xfId="32" applyNumberFormat="1">
      <alignment vertical="center"/>
    </xf>
    <xf numFmtId="176" fontId="54" fillId="0" borderId="0" xfId="32" applyFont="1">
      <alignment vertical="center"/>
    </xf>
    <xf numFmtId="190" fontId="55" fillId="0" borderId="0" xfId="32" applyNumberFormat="1" applyFont="1">
      <alignment vertical="center"/>
    </xf>
    <xf numFmtId="176" fontId="6" fillId="5" borderId="8" xfId="32" applyFill="1" applyBorder="1" applyAlignment="1">
      <alignment horizontal="center" vertical="center" wrapText="1"/>
    </xf>
    <xf numFmtId="176" fontId="8" fillId="5" borderId="2" xfId="32" applyFont="1" applyFill="1" applyBorder="1" applyAlignment="1">
      <alignment horizontal="center" vertical="center" wrapText="1"/>
    </xf>
    <xf numFmtId="176" fontId="54" fillId="5" borderId="6" xfId="32" applyFont="1" applyFill="1" applyBorder="1">
      <alignment vertical="center"/>
    </xf>
    <xf numFmtId="179" fontId="54" fillId="5" borderId="2" xfId="32" applyNumberFormat="1" applyFont="1" applyFill="1" applyBorder="1" applyAlignment="1">
      <alignment horizontal="center" vertical="center"/>
    </xf>
    <xf numFmtId="184" fontId="54" fillId="5" borderId="2" xfId="32" applyNumberFormat="1" applyFont="1" applyFill="1" applyBorder="1" applyAlignment="1">
      <alignment horizontal="center" vertical="center"/>
    </xf>
    <xf numFmtId="178" fontId="54" fillId="5" borderId="2" xfId="32" applyNumberFormat="1" applyFont="1" applyFill="1" applyBorder="1" applyAlignment="1">
      <alignment horizontal="center" vertical="center"/>
    </xf>
    <xf numFmtId="176" fontId="58" fillId="5" borderId="6" xfId="32" applyFont="1" applyFill="1" applyBorder="1">
      <alignment vertical="center"/>
    </xf>
    <xf numFmtId="184" fontId="8" fillId="2" borderId="2" xfId="35" applyNumberFormat="1" applyFont="1" applyFill="1" applyBorder="1" applyAlignment="1">
      <alignment horizontal="center" vertical="center"/>
    </xf>
    <xf numFmtId="177" fontId="54" fillId="5" borderId="11" xfId="32" applyNumberFormat="1" applyFont="1" applyFill="1" applyBorder="1" applyAlignment="1">
      <alignment horizontal="center" vertical="center" wrapText="1"/>
    </xf>
    <xf numFmtId="177" fontId="54" fillId="5" borderId="2" xfId="32" applyNumberFormat="1" applyFont="1" applyFill="1" applyBorder="1" applyAlignment="1">
      <alignment horizontal="center" vertical="center" wrapText="1"/>
    </xf>
    <xf numFmtId="184" fontId="54" fillId="5" borderId="2" xfId="32" applyNumberFormat="1" applyFont="1" applyFill="1" applyBorder="1" applyAlignment="1">
      <alignment horizontal="center" vertical="center" wrapText="1"/>
    </xf>
    <xf numFmtId="178" fontId="54" fillId="5" borderId="2" xfId="32" applyNumberFormat="1" applyFont="1" applyFill="1" applyBorder="1" applyAlignment="1">
      <alignment horizontal="center" vertical="center" wrapText="1"/>
    </xf>
    <xf numFmtId="176" fontId="54" fillId="5" borderId="28" xfId="32" applyFont="1" applyFill="1" applyBorder="1" applyAlignment="1">
      <alignment horizontal="center" vertical="center"/>
    </xf>
    <xf numFmtId="176" fontId="58" fillId="5" borderId="16" xfId="32" applyFont="1" applyFill="1" applyBorder="1">
      <alignment vertical="center"/>
    </xf>
    <xf numFmtId="177" fontId="54" fillId="5" borderId="2" xfId="32" applyNumberFormat="1" applyFont="1" applyFill="1" applyBorder="1" applyAlignment="1">
      <alignment horizontal="center" vertical="center"/>
    </xf>
    <xf numFmtId="184" fontId="8" fillId="0" borderId="2" xfId="35" applyNumberFormat="1" applyFont="1" applyBorder="1" applyAlignment="1">
      <alignment horizontal="center" vertical="center"/>
    </xf>
    <xf numFmtId="182" fontId="54" fillId="5" borderId="2" xfId="32" applyNumberFormat="1" applyFont="1" applyFill="1" applyBorder="1" applyAlignment="1">
      <alignment horizontal="center" vertical="center" shrinkToFit="1"/>
    </xf>
    <xf numFmtId="176" fontId="58" fillId="5" borderId="27" xfId="32" applyFont="1" applyFill="1" applyBorder="1">
      <alignment vertical="center"/>
    </xf>
    <xf numFmtId="177" fontId="54" fillId="5" borderId="20" xfId="32" applyNumberFormat="1" applyFont="1" applyFill="1" applyBorder="1" applyAlignment="1">
      <alignment horizontal="center" vertical="center"/>
    </xf>
    <xf numFmtId="179" fontId="8" fillId="0" borderId="20" xfId="35" applyNumberFormat="1" applyFont="1" applyBorder="1" applyAlignment="1">
      <alignment horizontal="center" vertical="center"/>
    </xf>
    <xf numFmtId="184" fontId="8" fillId="0" borderId="20" xfId="35" applyNumberFormat="1" applyFont="1" applyBorder="1" applyAlignment="1">
      <alignment horizontal="center" vertical="center"/>
    </xf>
    <xf numFmtId="182" fontId="54" fillId="5" borderId="20" xfId="32" applyNumberFormat="1" applyFont="1" applyFill="1" applyBorder="1" applyAlignment="1">
      <alignment horizontal="center" vertical="center" shrinkToFit="1"/>
    </xf>
    <xf numFmtId="176" fontId="6" fillId="5" borderId="0" xfId="32" applyFill="1">
      <alignment vertical="center"/>
    </xf>
    <xf numFmtId="177" fontId="54" fillId="5" borderId="0" xfId="32" applyNumberFormat="1" applyFont="1" applyFill="1" applyAlignment="1">
      <alignment horizontal="center" vertical="center"/>
    </xf>
    <xf numFmtId="184" fontId="8" fillId="0" borderId="0" xfId="35" applyNumberFormat="1" applyFont="1" applyAlignment="1">
      <alignment horizontal="center" vertical="center"/>
    </xf>
    <xf numFmtId="176" fontId="54" fillId="5" borderId="28" xfId="32" applyFont="1" applyFill="1" applyBorder="1" applyAlignment="1">
      <alignment horizontal="center" vertical="center" wrapText="1"/>
    </xf>
    <xf numFmtId="177" fontId="54" fillId="7" borderId="2" xfId="32" applyNumberFormat="1" applyFont="1" applyFill="1" applyBorder="1" applyAlignment="1">
      <alignment horizontal="center" vertical="center" wrapText="1"/>
    </xf>
    <xf numFmtId="177" fontId="54" fillId="0" borderId="0" xfId="32" applyNumberFormat="1" applyFont="1">
      <alignment vertical="center"/>
    </xf>
    <xf numFmtId="178" fontId="54" fillId="0" borderId="0" xfId="32" applyNumberFormat="1" applyFont="1" applyAlignment="1">
      <alignment vertical="center" shrinkToFit="1"/>
    </xf>
    <xf numFmtId="176" fontId="54" fillId="5" borderId="2" xfId="32" applyFont="1" applyFill="1" applyBorder="1" applyAlignment="1">
      <alignment horizontal="center" vertical="center"/>
    </xf>
    <xf numFmtId="177" fontId="54" fillId="7" borderId="2" xfId="32" applyNumberFormat="1" applyFont="1" applyFill="1" applyBorder="1" applyAlignment="1">
      <alignment horizontal="center" vertical="center"/>
    </xf>
    <xf numFmtId="177" fontId="8" fillId="0" borderId="0" xfId="32" applyNumberFormat="1" applyFont="1">
      <alignment vertical="center"/>
    </xf>
    <xf numFmtId="184" fontId="6" fillId="0" borderId="0" xfId="32" applyNumberFormat="1">
      <alignment vertical="center"/>
    </xf>
    <xf numFmtId="189" fontId="8" fillId="0" borderId="0" xfId="32" applyNumberFormat="1" applyFont="1">
      <alignment vertical="center"/>
    </xf>
    <xf numFmtId="190" fontId="54" fillId="5" borderId="2" xfId="32" applyNumberFormat="1" applyFont="1" applyFill="1" applyBorder="1" applyAlignment="1">
      <alignment horizontal="center" vertical="center"/>
    </xf>
    <xf numFmtId="182" fontId="54" fillId="5" borderId="2" xfId="32" applyNumberFormat="1" applyFont="1" applyFill="1" applyBorder="1" applyAlignment="1">
      <alignment horizontal="center" vertical="center"/>
    </xf>
    <xf numFmtId="190" fontId="54" fillId="5" borderId="2" xfId="32" applyNumberFormat="1" applyFont="1" applyFill="1" applyBorder="1" applyAlignment="1">
      <alignment horizontal="center" vertical="center" wrapText="1"/>
    </xf>
    <xf numFmtId="183" fontId="54" fillId="5" borderId="2" xfId="32" applyNumberFormat="1" applyFont="1" applyFill="1" applyBorder="1" applyAlignment="1">
      <alignment horizontal="center" vertical="center" shrinkToFit="1"/>
    </xf>
    <xf numFmtId="178" fontId="54" fillId="5" borderId="2" xfId="32" applyNumberFormat="1" applyFont="1" applyFill="1" applyBorder="1" applyAlignment="1">
      <alignment horizontal="center" vertical="center" shrinkToFit="1"/>
    </xf>
    <xf numFmtId="183" fontId="54" fillId="5" borderId="20" xfId="32" applyNumberFormat="1" applyFont="1" applyFill="1" applyBorder="1" applyAlignment="1">
      <alignment horizontal="center" vertical="center" shrinkToFit="1"/>
    </xf>
    <xf numFmtId="177" fontId="54" fillId="5" borderId="20" xfId="32" applyNumberFormat="1" applyFont="1" applyFill="1" applyBorder="1" applyAlignment="1">
      <alignment horizontal="center" vertical="center" shrinkToFit="1"/>
    </xf>
    <xf numFmtId="181" fontId="8" fillId="0" borderId="20" xfId="35" applyNumberFormat="1" applyFont="1" applyBorder="1" applyAlignment="1">
      <alignment horizontal="center" vertical="center"/>
    </xf>
    <xf numFmtId="178" fontId="54" fillId="5" borderId="20" xfId="32" applyNumberFormat="1" applyFont="1" applyFill="1" applyBorder="1" applyAlignment="1">
      <alignment horizontal="center" vertical="center" shrinkToFit="1"/>
    </xf>
    <xf numFmtId="190" fontId="54" fillId="5" borderId="2" xfId="32" applyNumberFormat="1" applyFont="1" applyFill="1" applyBorder="1" applyAlignment="1">
      <alignment horizontal="center" vertical="center" wrapText="1" shrinkToFit="1"/>
    </xf>
    <xf numFmtId="177" fontId="54" fillId="5" borderId="2" xfId="32" applyNumberFormat="1" applyFont="1" applyFill="1" applyBorder="1" applyAlignment="1">
      <alignment horizontal="center" vertical="center" shrinkToFit="1"/>
    </xf>
    <xf numFmtId="177" fontId="54" fillId="0" borderId="0" xfId="32" applyNumberFormat="1" applyFont="1" applyAlignment="1">
      <alignment vertical="center" shrinkToFit="1"/>
    </xf>
    <xf numFmtId="190" fontId="54" fillId="5" borderId="2" xfId="32" applyNumberFormat="1" applyFont="1" applyFill="1" applyBorder="1" applyAlignment="1">
      <alignment horizontal="center" vertical="center" shrinkToFit="1"/>
    </xf>
    <xf numFmtId="178" fontId="54" fillId="5" borderId="20" xfId="32" applyNumberFormat="1" applyFont="1" applyFill="1" applyBorder="1" applyAlignment="1">
      <alignment horizontal="center" vertical="center"/>
    </xf>
    <xf numFmtId="177" fontId="6" fillId="5" borderId="0" xfId="32" applyNumberFormat="1" applyFill="1">
      <alignment vertical="center"/>
    </xf>
    <xf numFmtId="176" fontId="8" fillId="5" borderId="10" xfId="32" applyFont="1" applyFill="1" applyBorder="1" applyAlignment="1">
      <alignment horizontal="center" vertical="center" wrapText="1"/>
    </xf>
    <xf numFmtId="182" fontId="54" fillId="5" borderId="10" xfId="32" applyNumberFormat="1" applyFont="1" applyFill="1" applyBorder="1" applyAlignment="1">
      <alignment horizontal="center" vertical="center"/>
    </xf>
    <xf numFmtId="182" fontId="54" fillId="5" borderId="10" xfId="32" applyNumberFormat="1" applyFont="1" applyFill="1" applyBorder="1" applyAlignment="1">
      <alignment horizontal="center" vertical="center" shrinkToFit="1"/>
    </xf>
    <xf numFmtId="182" fontId="54" fillId="5" borderId="21" xfId="32" applyNumberFormat="1" applyFont="1" applyFill="1" applyBorder="1" applyAlignment="1">
      <alignment horizontal="center" vertical="center" shrinkToFit="1"/>
    </xf>
    <xf numFmtId="177" fontId="54" fillId="5" borderId="10" xfId="32" applyNumberFormat="1" applyFont="1" applyFill="1" applyBorder="1" applyAlignment="1">
      <alignment horizontal="center" vertical="center"/>
    </xf>
    <xf numFmtId="177" fontId="54" fillId="5" borderId="10" xfId="32" applyNumberFormat="1" applyFont="1" applyFill="1" applyBorder="1" applyAlignment="1">
      <alignment horizontal="center" vertical="center" wrapText="1"/>
    </xf>
    <xf numFmtId="190" fontId="54" fillId="5" borderId="20" xfId="32" applyNumberFormat="1" applyFont="1" applyFill="1" applyBorder="1" applyAlignment="1">
      <alignment horizontal="center" vertical="center"/>
    </xf>
    <xf numFmtId="177" fontId="54" fillId="5" borderId="21" xfId="32" applyNumberFormat="1" applyFont="1" applyFill="1" applyBorder="1" applyAlignment="1">
      <alignment horizontal="center" vertical="center"/>
    </xf>
    <xf numFmtId="177" fontId="6" fillId="2" borderId="0" xfId="32" applyNumberFormat="1" applyFill="1" applyAlignment="1">
      <alignment horizontal="center" vertical="center"/>
    </xf>
    <xf numFmtId="182" fontId="6" fillId="0" borderId="0" xfId="32" applyNumberFormat="1">
      <alignment vertical="center"/>
    </xf>
    <xf numFmtId="178" fontId="6" fillId="0" borderId="0" xfId="32" applyNumberFormat="1">
      <alignment vertical="center"/>
    </xf>
    <xf numFmtId="176" fontId="4" fillId="0" borderId="2" xfId="30" applyFont="1" applyBorder="1" applyAlignment="1">
      <alignment horizontal="center" vertical="center"/>
    </xf>
    <xf numFmtId="177" fontId="3" fillId="0" borderId="2" xfId="133" applyNumberFormat="1" applyFont="1" applyBorder="1" applyAlignment="1">
      <alignment horizontal="center" vertical="center"/>
    </xf>
    <xf numFmtId="2" fontId="85" fillId="0" borderId="2" xfId="30" applyNumberFormat="1" applyBorder="1" applyAlignment="1">
      <alignment horizontal="center" vertical="center"/>
    </xf>
    <xf numFmtId="179" fontId="85" fillId="0" borderId="2" xfId="30" applyNumberFormat="1" applyBorder="1" applyAlignment="1">
      <alignment horizontal="center" vertical="center"/>
    </xf>
    <xf numFmtId="179" fontId="3" fillId="0" borderId="2" xfId="133" applyNumberFormat="1" applyFont="1" applyBorder="1" applyAlignment="1">
      <alignment horizontal="center" vertical="center"/>
    </xf>
    <xf numFmtId="176" fontId="4" fillId="0" borderId="2" xfId="30" applyFont="1" applyBorder="1">
      <alignment vertical="center"/>
    </xf>
    <xf numFmtId="177" fontId="85" fillId="0" borderId="2" xfId="133" applyNumberFormat="1" applyBorder="1" applyAlignment="1">
      <alignment horizontal="center" vertical="center"/>
    </xf>
    <xf numFmtId="184" fontId="11" fillId="0" borderId="2" xfId="133" applyNumberFormat="1" applyFont="1" applyBorder="1" applyAlignment="1">
      <alignment horizontal="center" vertical="center"/>
    </xf>
    <xf numFmtId="176" fontId="11" fillId="0" borderId="2" xfId="32" applyFont="1" applyBorder="1" applyAlignment="1">
      <alignment horizontal="center"/>
    </xf>
    <xf numFmtId="176" fontId="6" fillId="0" borderId="2" xfId="109" applyBorder="1" applyAlignment="1">
      <alignment horizontal="center" vertical="center"/>
    </xf>
    <xf numFmtId="176" fontId="3" fillId="0" borderId="2" xfId="109" applyFont="1" applyBorder="1" applyAlignment="1">
      <alignment horizontal="center" vertical="center"/>
    </xf>
    <xf numFmtId="177" fontId="3" fillId="0" borderId="2" xfId="109" applyNumberFormat="1" applyFont="1" applyBorder="1" applyAlignment="1">
      <alignment horizontal="center" vertical="center"/>
    </xf>
    <xf numFmtId="182" fontId="6" fillId="0" borderId="2" xfId="32" applyNumberFormat="1" applyBorder="1" applyAlignment="1">
      <alignment horizontal="center"/>
    </xf>
    <xf numFmtId="178" fontId="3" fillId="0" borderId="2" xfId="133" applyNumberFormat="1" applyFont="1" applyBorder="1" applyAlignment="1">
      <alignment horizontal="center" vertical="center"/>
    </xf>
    <xf numFmtId="179" fontId="3" fillId="0" borderId="2" xfId="109" applyNumberFormat="1" applyFont="1" applyBorder="1" applyAlignment="1">
      <alignment horizontal="center" vertical="center"/>
    </xf>
    <xf numFmtId="182" fontId="3" fillId="0" borderId="2" xfId="109" applyNumberFormat="1" applyFont="1" applyBorder="1" applyAlignment="1">
      <alignment horizontal="center" vertical="center"/>
    </xf>
    <xf numFmtId="183" fontId="3" fillId="0" borderId="2" xfId="109" applyNumberFormat="1" applyFont="1" applyBorder="1" applyAlignment="1">
      <alignment horizontal="center" vertical="center"/>
    </xf>
    <xf numFmtId="190" fontId="3" fillId="0" borderId="2" xfId="133" applyNumberFormat="1" applyFont="1" applyBorder="1" applyAlignment="1">
      <alignment horizontal="center" vertical="center"/>
    </xf>
    <xf numFmtId="176" fontId="8" fillId="0" borderId="15" xfId="32" applyFont="1" applyBorder="1" applyAlignment="1">
      <alignment horizontal="center" vertical="center"/>
    </xf>
    <xf numFmtId="176" fontId="8" fillId="0" borderId="2" xfId="32" applyFont="1" applyBorder="1">
      <alignment vertical="center"/>
    </xf>
    <xf numFmtId="176" fontId="12" fillId="0" borderId="0" xfId="32" applyFont="1" applyAlignment="1">
      <alignment horizontal="center"/>
    </xf>
    <xf numFmtId="179" fontId="6" fillId="0" borderId="0" xfId="32" applyNumberFormat="1" applyAlignment="1">
      <alignment horizontal="center"/>
    </xf>
    <xf numFmtId="176" fontId="8" fillId="0" borderId="26" xfId="32" applyFont="1" applyBorder="1" applyAlignment="1">
      <alignment horizontal="center" vertical="center"/>
    </xf>
    <xf numFmtId="176" fontId="12" fillId="0" borderId="2" xfId="32" applyFont="1" applyBorder="1" applyAlignment="1">
      <alignment horizontal="center"/>
    </xf>
    <xf numFmtId="177" fontId="6" fillId="0" borderId="2" xfId="32" applyNumberFormat="1" applyBorder="1" applyAlignment="1">
      <alignment horizontal="center"/>
    </xf>
    <xf numFmtId="179" fontId="6" fillId="0" borderId="2" xfId="32" applyNumberFormat="1" applyBorder="1" applyAlignment="1">
      <alignment horizontal="center"/>
    </xf>
    <xf numFmtId="176" fontId="6" fillId="0" borderId="2" xfId="32" applyBorder="1" applyAlignment="1">
      <alignment horizontal="center"/>
    </xf>
    <xf numFmtId="184" fontId="85" fillId="0" borderId="2" xfId="133" applyNumberFormat="1" applyBorder="1" applyAlignment="1">
      <alignment horizontal="center" vertical="center"/>
    </xf>
    <xf numFmtId="181" fontId="85" fillId="0" borderId="2" xfId="133" applyNumberFormat="1" applyBorder="1" applyAlignment="1">
      <alignment horizontal="center" vertical="center"/>
    </xf>
    <xf numFmtId="184" fontId="3" fillId="0" borderId="2" xfId="133" applyNumberFormat="1" applyFont="1" applyBorder="1" applyAlignment="1">
      <alignment horizontal="center" vertical="center"/>
    </xf>
    <xf numFmtId="177" fontId="6" fillId="0" borderId="2" xfId="32" applyNumberFormat="1" applyBorder="1" applyAlignment="1">
      <alignment horizontal="center" vertical="center"/>
    </xf>
    <xf numFmtId="182" fontId="6" fillId="0" borderId="2" xfId="109" applyNumberFormat="1" applyBorder="1" applyAlignment="1">
      <alignment horizontal="center" vertical="center"/>
    </xf>
    <xf numFmtId="183" fontId="6" fillId="0" borderId="2" xfId="109" applyNumberFormat="1" applyBorder="1" applyAlignment="1">
      <alignment horizontal="center" vertical="center"/>
    </xf>
    <xf numFmtId="176" fontId="12" fillId="0" borderId="2" xfId="32" applyFont="1" applyBorder="1">
      <alignment vertical="center"/>
    </xf>
    <xf numFmtId="176" fontId="85" fillId="0" borderId="0" xfId="30">
      <alignment vertical="center"/>
    </xf>
    <xf numFmtId="176" fontId="11" fillId="0" borderId="0" xfId="35" applyFont="1">
      <alignment vertical="center"/>
    </xf>
    <xf numFmtId="176" fontId="9" fillId="0" borderId="0" xfId="35" applyFont="1" applyAlignment="1">
      <alignment horizontal="left" vertical="center"/>
    </xf>
    <xf numFmtId="176" fontId="9" fillId="0" borderId="0" xfId="35" applyFont="1" applyAlignment="1">
      <alignment horizontal="center" vertical="center"/>
    </xf>
    <xf numFmtId="176" fontId="9" fillId="0" borderId="0" xfId="35" applyFont="1">
      <alignment vertical="center"/>
    </xf>
    <xf numFmtId="176" fontId="6" fillId="0" borderId="2" xfId="35" applyBorder="1" applyAlignment="1">
      <alignment horizontal="center" vertical="center"/>
    </xf>
    <xf numFmtId="180" fontId="6" fillId="0" borderId="2" xfId="35" applyNumberFormat="1" applyBorder="1" applyAlignment="1">
      <alignment horizontal="center" vertical="center" wrapText="1"/>
    </xf>
    <xf numFmtId="176" fontId="6" fillId="0" borderId="2" xfId="30" applyFont="1" applyBorder="1" applyAlignment="1">
      <alignment horizontal="center" vertical="center" shrinkToFit="1"/>
    </xf>
    <xf numFmtId="179" fontId="85" fillId="0" borderId="2" xfId="30" applyNumberFormat="1" applyBorder="1" applyAlignment="1" applyProtection="1">
      <alignment horizontal="right" vertical="center"/>
      <protection locked="0"/>
    </xf>
    <xf numFmtId="179" fontId="12" fillId="0" borderId="2" xfId="30" applyNumberFormat="1" applyFont="1" applyBorder="1" applyAlignment="1" applyProtection="1">
      <alignment horizontal="right" vertical="center"/>
      <protection locked="0"/>
    </xf>
    <xf numFmtId="179" fontId="12" fillId="0" borderId="2" xfId="35" applyNumberFormat="1" applyFont="1" applyBorder="1" applyAlignment="1">
      <alignment horizontal="right" vertical="center"/>
    </xf>
    <xf numFmtId="179" fontId="85" fillId="0" borderId="2" xfId="30" applyNumberFormat="1" applyBorder="1" applyAlignment="1">
      <alignment horizontal="right" vertical="center"/>
    </xf>
    <xf numFmtId="176" fontId="6" fillId="0" borderId="15" xfId="30" applyFont="1" applyBorder="1" applyAlignment="1">
      <alignment horizontal="center" vertical="center" shrinkToFit="1"/>
    </xf>
    <xf numFmtId="179" fontId="12" fillId="0" borderId="15" xfId="30" applyNumberFormat="1" applyFont="1" applyBorder="1" applyAlignment="1" applyProtection="1">
      <alignment horizontal="right" vertical="center"/>
      <protection locked="0"/>
    </xf>
    <xf numFmtId="179" fontId="12" fillId="0" borderId="15" xfId="35" applyNumberFormat="1" applyFont="1" applyBorder="1" applyAlignment="1">
      <alignment horizontal="right" vertical="center"/>
    </xf>
    <xf numFmtId="179" fontId="85" fillId="0" borderId="15" xfId="30" applyNumberFormat="1" applyBorder="1" applyAlignment="1">
      <alignment horizontal="right" vertical="center"/>
    </xf>
    <xf numFmtId="179" fontId="12" fillId="0" borderId="2" xfId="30" applyNumberFormat="1" applyFont="1" applyBorder="1" applyAlignment="1">
      <alignment horizontal="right" vertical="center"/>
    </xf>
    <xf numFmtId="183" fontId="85" fillId="0" borderId="2" xfId="30" applyNumberFormat="1" applyBorder="1" applyAlignment="1">
      <alignment horizontal="right" vertical="center"/>
    </xf>
    <xf numFmtId="179" fontId="52" fillId="0" borderId="2" xfId="30" applyNumberFormat="1" applyFont="1" applyBorder="1" applyAlignment="1">
      <alignment horizontal="right" vertical="center"/>
    </xf>
    <xf numFmtId="179" fontId="85" fillId="0" borderId="0" xfId="30" applyNumberFormat="1" applyAlignment="1">
      <alignment horizontal="right" vertical="center"/>
    </xf>
    <xf numFmtId="179" fontId="6" fillId="0" borderId="0" xfId="35" applyNumberFormat="1" applyAlignment="1">
      <alignment horizontal="center" vertical="center"/>
    </xf>
    <xf numFmtId="176" fontId="3" fillId="0" borderId="2" xfId="30" applyFont="1" applyBorder="1">
      <alignment vertical="center"/>
    </xf>
    <xf numFmtId="179" fontId="52" fillId="0" borderId="2" xfId="35" applyNumberFormat="1" applyFont="1" applyBorder="1" applyAlignment="1">
      <alignment horizontal="right" vertical="center"/>
    </xf>
    <xf numFmtId="179" fontId="31" fillId="0" borderId="0" xfId="30" applyNumberFormat="1" applyFont="1">
      <alignment vertical="center"/>
    </xf>
    <xf numFmtId="176" fontId="6" fillId="0" borderId="0" xfId="32" applyProtection="1">
      <alignment vertical="center"/>
      <protection locked="0"/>
    </xf>
    <xf numFmtId="179" fontId="61" fillId="5" borderId="2" xfId="32" applyNumberFormat="1" applyFont="1" applyFill="1" applyBorder="1" applyAlignment="1">
      <alignment horizontal="center" vertical="center"/>
    </xf>
    <xf numFmtId="179" fontId="61" fillId="2" borderId="2" xfId="32" applyNumberFormat="1" applyFont="1" applyFill="1" applyBorder="1" applyAlignment="1">
      <alignment horizontal="center" vertical="center"/>
    </xf>
    <xf numFmtId="179" fontId="9" fillId="2" borderId="2" xfId="35" applyNumberFormat="1" applyFont="1" applyFill="1" applyBorder="1" applyAlignment="1">
      <alignment horizontal="center" vertical="center"/>
    </xf>
    <xf numFmtId="184" fontId="9" fillId="2" borderId="2" xfId="35" applyNumberFormat="1" applyFont="1" applyFill="1" applyBorder="1" applyAlignment="1">
      <alignment horizontal="center" vertical="center"/>
    </xf>
    <xf numFmtId="176" fontId="54" fillId="5" borderId="6" xfId="32" applyFont="1" applyFill="1" applyBorder="1" applyAlignment="1">
      <alignment horizontal="center" vertical="center"/>
    </xf>
    <xf numFmtId="177" fontId="61" fillId="5" borderId="2" xfId="32" applyNumberFormat="1" applyFont="1" applyFill="1" applyBorder="1" applyAlignment="1">
      <alignment horizontal="center" vertical="center"/>
    </xf>
    <xf numFmtId="177" fontId="61" fillId="2" borderId="2" xfId="32" applyNumberFormat="1" applyFont="1" applyFill="1" applyBorder="1" applyAlignment="1">
      <alignment horizontal="center" vertical="center"/>
    </xf>
    <xf numFmtId="177" fontId="61" fillId="5" borderId="20" xfId="32" applyNumberFormat="1" applyFont="1" applyFill="1" applyBorder="1" applyAlignment="1">
      <alignment horizontal="center" vertical="center"/>
    </xf>
    <xf numFmtId="177" fontId="61" fillId="2" borderId="20" xfId="32" applyNumberFormat="1" applyFont="1" applyFill="1" applyBorder="1" applyAlignment="1">
      <alignment horizontal="center" vertical="center"/>
    </xf>
    <xf numFmtId="179" fontId="9" fillId="2" borderId="20" xfId="35" applyNumberFormat="1" applyFont="1" applyFill="1" applyBorder="1" applyAlignment="1">
      <alignment horizontal="center" vertical="center"/>
    </xf>
    <xf numFmtId="184" fontId="9" fillId="2" borderId="20" xfId="35" applyNumberFormat="1" applyFont="1" applyFill="1" applyBorder="1" applyAlignment="1">
      <alignment horizontal="center" vertical="center"/>
    </xf>
    <xf numFmtId="2" fontId="62" fillId="0" borderId="0" xfId="0" applyNumberFormat="1" applyFont="1" applyAlignment="1">
      <alignment horizontal="center" vertical="center"/>
    </xf>
    <xf numFmtId="177" fontId="62" fillId="0" borderId="0" xfId="0" applyNumberFormat="1" applyFont="1">
      <alignment vertical="center"/>
    </xf>
    <xf numFmtId="2" fontId="62" fillId="0" borderId="0" xfId="0" applyNumberFormat="1" applyFont="1">
      <alignment vertical="center"/>
    </xf>
    <xf numFmtId="184" fontId="0" fillId="0" borderId="0" xfId="0" applyNumberFormat="1">
      <alignment vertical="center"/>
    </xf>
    <xf numFmtId="2" fontId="6" fillId="0" borderId="0" xfId="32" applyNumberFormat="1">
      <alignment vertical="center"/>
    </xf>
    <xf numFmtId="186" fontId="6" fillId="0" borderId="0" xfId="32" applyNumberFormat="1">
      <alignment vertical="center"/>
    </xf>
    <xf numFmtId="177" fontId="63" fillId="5" borderId="2" xfId="32" applyNumberFormat="1" applyFont="1" applyFill="1" applyBorder="1" applyAlignment="1">
      <alignment horizontal="center" vertical="center" wrapText="1"/>
    </xf>
    <xf numFmtId="177" fontId="63" fillId="7" borderId="2" xfId="32" applyNumberFormat="1" applyFont="1" applyFill="1" applyBorder="1" applyAlignment="1">
      <alignment horizontal="center" vertical="center" wrapText="1"/>
    </xf>
    <xf numFmtId="178" fontId="63" fillId="5" borderId="2" xfId="32" applyNumberFormat="1" applyFont="1" applyFill="1" applyBorder="1" applyAlignment="1">
      <alignment horizontal="center" vertical="center" wrapText="1"/>
    </xf>
    <xf numFmtId="2" fontId="6" fillId="0" borderId="0" xfId="32" applyNumberFormat="1" applyAlignment="1">
      <alignment horizontal="center" vertical="center"/>
    </xf>
    <xf numFmtId="1" fontId="6" fillId="0" borderId="0" xfId="32" applyNumberFormat="1">
      <alignment vertical="center"/>
    </xf>
    <xf numFmtId="1" fontId="54" fillId="0" borderId="0" xfId="32" applyNumberFormat="1" applyFont="1">
      <alignment vertical="center"/>
    </xf>
    <xf numFmtId="177" fontId="12" fillId="0" borderId="0" xfId="32" applyNumberFormat="1" applyFont="1" applyAlignment="1">
      <alignment horizontal="center" vertical="center"/>
    </xf>
    <xf numFmtId="177" fontId="12" fillId="0" borderId="2" xfId="32" applyNumberFormat="1" applyFont="1" applyBorder="1" applyAlignment="1">
      <alignment horizontal="center" vertical="center"/>
    </xf>
    <xf numFmtId="176" fontId="6" fillId="0" borderId="2" xfId="32" applyBorder="1">
      <alignment vertical="center"/>
    </xf>
    <xf numFmtId="177" fontId="8" fillId="0" borderId="0" xfId="32" applyNumberFormat="1" applyFont="1" applyAlignment="1">
      <alignment horizontal="center" vertical="center"/>
    </xf>
    <xf numFmtId="189" fontId="12" fillId="2" borderId="2" xfId="32" applyNumberFormat="1" applyFont="1" applyFill="1" applyBorder="1">
      <alignment vertical="center"/>
    </xf>
    <xf numFmtId="177" fontId="6" fillId="2" borderId="2" xfId="32" applyNumberFormat="1" applyFill="1" applyBorder="1" applyAlignment="1">
      <alignment horizontal="center" vertical="center"/>
    </xf>
    <xf numFmtId="177" fontId="12" fillId="0" borderId="2" xfId="32" applyNumberFormat="1" applyFont="1" applyBorder="1">
      <alignment vertical="center"/>
    </xf>
    <xf numFmtId="182" fontId="54" fillId="0" borderId="0" xfId="32" applyNumberFormat="1" applyFont="1">
      <alignment vertical="center"/>
    </xf>
    <xf numFmtId="176" fontId="54" fillId="5" borderId="2" xfId="32" applyFont="1" applyFill="1" applyBorder="1">
      <alignment vertical="center"/>
    </xf>
    <xf numFmtId="176" fontId="58" fillId="5" borderId="2" xfId="32" applyFont="1" applyFill="1" applyBorder="1">
      <alignment vertical="center"/>
    </xf>
    <xf numFmtId="181" fontId="9" fillId="2" borderId="2" xfId="35" applyNumberFormat="1" applyFont="1" applyFill="1" applyBorder="1" applyAlignment="1">
      <alignment horizontal="center" vertical="center"/>
    </xf>
    <xf numFmtId="176" fontId="58" fillId="5" borderId="20" xfId="32" applyFont="1" applyFill="1" applyBorder="1">
      <alignment vertical="center"/>
    </xf>
    <xf numFmtId="177" fontId="8" fillId="5" borderId="20" xfId="32" applyNumberFormat="1" applyFont="1" applyFill="1" applyBorder="1" applyAlignment="1">
      <alignment horizontal="center" vertical="center" shrinkToFit="1"/>
    </xf>
    <xf numFmtId="181" fontId="9" fillId="2" borderId="20" xfId="35" applyNumberFormat="1" applyFont="1" applyFill="1" applyBorder="1" applyAlignment="1">
      <alignment horizontal="center" vertical="center"/>
    </xf>
    <xf numFmtId="190" fontId="63" fillId="5" borderId="2" xfId="32" applyNumberFormat="1" applyFont="1" applyFill="1" applyBorder="1" applyAlignment="1">
      <alignment horizontal="center" vertical="center" wrapText="1" shrinkToFit="1"/>
    </xf>
    <xf numFmtId="176" fontId="63" fillId="5" borderId="2" xfId="32" applyFont="1" applyFill="1" applyBorder="1" applyAlignment="1">
      <alignment horizontal="center" vertical="center"/>
    </xf>
    <xf numFmtId="177" fontId="63" fillId="5" borderId="2" xfId="32" applyNumberFormat="1" applyFont="1" applyFill="1" applyBorder="1" applyAlignment="1">
      <alignment horizontal="center" vertical="center" shrinkToFit="1"/>
    </xf>
    <xf numFmtId="178" fontId="63" fillId="5" borderId="2" xfId="32" applyNumberFormat="1" applyFont="1" applyFill="1" applyBorder="1" applyAlignment="1">
      <alignment horizontal="center" vertical="center"/>
    </xf>
    <xf numFmtId="191" fontId="6" fillId="0" borderId="0" xfId="32" applyNumberFormat="1">
      <alignment vertical="center"/>
    </xf>
    <xf numFmtId="181" fontId="8" fillId="2" borderId="2" xfId="35" applyNumberFormat="1" applyFont="1" applyFill="1" applyBorder="1" applyAlignment="1">
      <alignment horizontal="center" vertical="center"/>
    </xf>
    <xf numFmtId="179" fontId="8" fillId="2" borderId="20" xfId="35" applyNumberFormat="1" applyFont="1" applyFill="1" applyBorder="1" applyAlignment="1">
      <alignment horizontal="center" vertical="center"/>
    </xf>
    <xf numFmtId="181" fontId="8" fillId="2" borderId="20" xfId="35" applyNumberFormat="1" applyFont="1" applyFill="1" applyBorder="1" applyAlignment="1">
      <alignment horizontal="center" vertical="center"/>
    </xf>
    <xf numFmtId="176" fontId="64" fillId="0" borderId="0" xfId="32" applyFont="1">
      <alignment vertical="center"/>
    </xf>
    <xf numFmtId="190" fontId="63" fillId="5" borderId="2" xfId="32" applyNumberFormat="1" applyFont="1" applyFill="1" applyBorder="1" applyAlignment="1">
      <alignment horizontal="center" vertical="center" shrinkToFit="1"/>
    </xf>
    <xf numFmtId="177" fontId="63" fillId="5" borderId="2" xfId="32" applyNumberFormat="1" applyFont="1" applyFill="1" applyBorder="1" applyAlignment="1">
      <alignment horizontal="center" vertical="center"/>
    </xf>
    <xf numFmtId="178" fontId="63" fillId="5" borderId="2" xfId="32" applyNumberFormat="1" applyFont="1" applyFill="1" applyBorder="1" applyAlignment="1">
      <alignment horizontal="center" vertical="center" shrinkToFit="1"/>
    </xf>
    <xf numFmtId="0" fontId="6" fillId="0" borderId="0" xfId="32" applyNumberFormat="1">
      <alignment vertical="center"/>
    </xf>
    <xf numFmtId="177" fontId="61" fillId="2" borderId="10" xfId="32" applyNumberFormat="1" applyFont="1" applyFill="1" applyBorder="1" applyAlignment="1">
      <alignment horizontal="center" vertical="center"/>
    </xf>
    <xf numFmtId="177" fontId="61" fillId="2" borderId="21" xfId="32" applyNumberFormat="1" applyFont="1" applyFill="1" applyBorder="1" applyAlignment="1">
      <alignment horizontal="center" vertical="center"/>
    </xf>
    <xf numFmtId="190" fontId="63" fillId="5" borderId="2" xfId="32" applyNumberFormat="1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181" fontId="0" fillId="0" borderId="2" xfId="0" applyNumberFormat="1" applyBorder="1" applyAlignment="1">
      <alignment horizontal="center" vertical="center"/>
    </xf>
    <xf numFmtId="191" fontId="0" fillId="0" borderId="2" xfId="0" applyNumberFormat="1" applyBorder="1" applyAlignment="1">
      <alignment horizontal="center" vertical="center"/>
    </xf>
    <xf numFmtId="181" fontId="0" fillId="0" borderId="0" xfId="0" applyNumberFormat="1">
      <alignment vertical="center"/>
    </xf>
    <xf numFmtId="179" fontId="8" fillId="0" borderId="2" xfId="35" applyNumberFormat="1" applyFont="1" applyBorder="1" applyAlignment="1" applyProtection="1">
      <alignment horizontal="center" vertical="center"/>
      <protection locked="0"/>
    </xf>
    <xf numFmtId="176" fontId="8" fillId="14" borderId="2" xfId="35" applyFont="1" applyFill="1" applyBorder="1" applyAlignment="1" applyProtection="1">
      <alignment horizontal="center" vertical="center"/>
      <protection locked="0"/>
    </xf>
    <xf numFmtId="176" fontId="8" fillId="14" borderId="2" xfId="35" applyFont="1" applyFill="1" applyBorder="1" applyAlignment="1">
      <alignment horizontal="center" vertical="center"/>
    </xf>
    <xf numFmtId="182" fontId="8" fillId="0" borderId="2" xfId="35" applyNumberFormat="1" applyFont="1" applyBorder="1" applyAlignment="1" applyProtection="1">
      <alignment horizontal="center" vertical="center"/>
      <protection locked="0"/>
    </xf>
    <xf numFmtId="183" fontId="8" fillId="0" borderId="2" xfId="35" applyNumberFormat="1" applyFont="1" applyBorder="1" applyAlignment="1" applyProtection="1">
      <alignment horizontal="center" vertical="center"/>
      <protection locked="0"/>
    </xf>
    <xf numFmtId="179" fontId="65" fillId="0" borderId="0" xfId="135" applyNumberFormat="1" applyFill="1" applyBorder="1">
      <alignment vertical="center"/>
    </xf>
    <xf numFmtId="182" fontId="65" fillId="0" borderId="0" xfId="135" applyNumberFormat="1" applyFill="1" applyBorder="1">
      <alignment vertical="center"/>
    </xf>
    <xf numFmtId="176" fontId="8" fillId="0" borderId="0" xfId="35" applyFont="1">
      <alignment vertical="center"/>
    </xf>
    <xf numFmtId="179" fontId="6" fillId="0" borderId="2" xfId="0" applyNumberFormat="1" applyFont="1" applyBorder="1" applyAlignment="1">
      <alignment horizontal="center" vertical="center"/>
    </xf>
    <xf numFmtId="179" fontId="6" fillId="2" borderId="2" xfId="35" applyNumberFormat="1" applyFill="1" applyBorder="1" applyAlignment="1">
      <alignment horizontal="center" vertical="center"/>
    </xf>
    <xf numFmtId="179" fontId="6" fillId="0" borderId="2" xfId="35" applyNumberFormat="1" applyBorder="1" applyAlignment="1">
      <alignment horizontal="center" vertical="center"/>
    </xf>
    <xf numFmtId="176" fontId="8" fillId="0" borderId="15" xfId="35" applyFont="1" applyBorder="1" applyAlignment="1">
      <alignment horizontal="center" vertical="center"/>
    </xf>
    <xf numFmtId="176" fontId="8" fillId="0" borderId="5" xfId="0" applyFont="1" applyBorder="1" applyAlignment="1">
      <alignment horizontal="center" vertical="center" shrinkToFit="1"/>
    </xf>
    <xf numFmtId="179" fontId="6" fillId="0" borderId="5" xfId="35" applyNumberFormat="1" applyBorder="1" applyAlignment="1">
      <alignment horizontal="center" vertical="center"/>
    </xf>
    <xf numFmtId="176" fontId="3" fillId="0" borderId="5" xfId="0" applyFont="1" applyBorder="1" applyAlignment="1">
      <alignment horizontal="center" vertical="center"/>
    </xf>
    <xf numFmtId="181" fontId="6" fillId="0" borderId="5" xfId="35" applyNumberFormat="1" applyBorder="1" applyAlignment="1">
      <alignment horizontal="center" vertical="center"/>
    </xf>
    <xf numFmtId="192" fontId="6" fillId="0" borderId="2" xfId="35" applyNumberFormat="1" applyBorder="1" applyAlignment="1">
      <alignment horizontal="center" vertical="center"/>
    </xf>
    <xf numFmtId="181" fontId="6" fillId="0" borderId="2" xfId="35" applyNumberFormat="1" applyBorder="1" applyAlignment="1">
      <alignment horizontal="center" vertical="center"/>
    </xf>
    <xf numFmtId="176" fontId="3" fillId="0" borderId="2" xfId="0" applyFont="1" applyBorder="1" applyAlignment="1">
      <alignment horizontal="center" vertical="center"/>
    </xf>
    <xf numFmtId="176" fontId="8" fillId="0" borderId="20" xfId="35" applyFont="1" applyBorder="1" applyAlignment="1">
      <alignment horizontal="center" vertical="center"/>
    </xf>
    <xf numFmtId="179" fontId="6" fillId="0" borderId="20" xfId="35" applyNumberFormat="1" applyBorder="1" applyAlignment="1">
      <alignment horizontal="center" vertical="center"/>
    </xf>
    <xf numFmtId="181" fontId="6" fillId="0" borderId="20" xfId="35" applyNumberFormat="1" applyBorder="1" applyAlignment="1">
      <alignment horizontal="center" vertical="center"/>
    </xf>
    <xf numFmtId="176" fontId="8" fillId="0" borderId="11" xfId="0" applyFont="1" applyBorder="1" applyAlignment="1">
      <alignment horizontal="center" vertical="center" shrinkToFit="1"/>
    </xf>
    <xf numFmtId="179" fontId="6" fillId="0" borderId="11" xfId="35" applyNumberFormat="1" applyBorder="1" applyAlignment="1">
      <alignment horizontal="center" vertical="center"/>
    </xf>
    <xf numFmtId="179" fontId="6" fillId="0" borderId="11" xfId="0" applyNumberFormat="1" applyFont="1" applyBorder="1" applyAlignment="1">
      <alignment horizontal="center" vertical="center"/>
    </xf>
    <xf numFmtId="181" fontId="6" fillId="0" borderId="11" xfId="0" applyNumberFormat="1" applyFont="1" applyBorder="1" applyAlignment="1">
      <alignment horizontal="center" vertical="center"/>
    </xf>
    <xf numFmtId="181" fontId="6" fillId="0" borderId="2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81" fontId="3" fillId="0" borderId="5" xfId="0" applyNumberFormat="1" applyFont="1" applyBorder="1" applyAlignment="1">
      <alignment horizontal="center" vertical="center"/>
    </xf>
    <xf numFmtId="181" fontId="3" fillId="0" borderId="2" xfId="0" applyNumberFormat="1" applyFont="1" applyBorder="1" applyAlignment="1">
      <alignment horizontal="center" vertical="center"/>
    </xf>
    <xf numFmtId="176" fontId="6" fillId="0" borderId="0" xfId="35" applyAlignment="1">
      <alignment horizontal="center" vertical="center"/>
    </xf>
    <xf numFmtId="179" fontId="8" fillId="0" borderId="2" xfId="35" applyNumberFormat="1" applyFont="1" applyBorder="1" applyProtection="1">
      <alignment vertical="center"/>
      <protection locked="0"/>
    </xf>
    <xf numFmtId="176" fontId="6" fillId="14" borderId="2" xfId="35" applyFill="1" applyBorder="1" applyProtection="1">
      <alignment vertical="center"/>
      <protection locked="0"/>
    </xf>
    <xf numFmtId="179" fontId="8" fillId="0" borderId="2" xfId="35" applyNumberFormat="1" applyFont="1" applyBorder="1">
      <alignment vertical="center"/>
    </xf>
    <xf numFmtId="176" fontId="6" fillId="14" borderId="2" xfId="35" applyFill="1" applyBorder="1">
      <alignment vertical="center"/>
    </xf>
    <xf numFmtId="176" fontId="8" fillId="0" borderId="10" xfId="35" applyFont="1" applyBorder="1" applyAlignment="1">
      <alignment horizontal="center" vertical="center"/>
    </xf>
    <xf numFmtId="184" fontId="3" fillId="0" borderId="2" xfId="0" applyNumberFormat="1" applyFont="1" applyBorder="1" applyAlignment="1">
      <alignment horizontal="center" vertical="center"/>
    </xf>
    <xf numFmtId="182" fontId="6" fillId="0" borderId="2" xfId="35" applyNumberFormat="1" applyBorder="1" applyAlignment="1">
      <alignment horizontal="center" vertical="center"/>
    </xf>
    <xf numFmtId="183" fontId="6" fillId="0" borderId="10" xfId="35" applyNumberFormat="1" applyBorder="1" applyAlignment="1">
      <alignment horizontal="center" vertical="center"/>
    </xf>
    <xf numFmtId="182" fontId="6" fillId="0" borderId="5" xfId="35" applyNumberFormat="1" applyBorder="1" applyAlignment="1">
      <alignment horizontal="center" vertical="center"/>
    </xf>
    <xf numFmtId="183" fontId="6" fillId="0" borderId="9" xfId="35" applyNumberFormat="1" applyBorder="1" applyAlignment="1">
      <alignment horizontal="center" vertical="center"/>
    </xf>
    <xf numFmtId="179" fontId="6" fillId="0" borderId="8" xfId="35" applyNumberFormat="1" applyBorder="1" applyAlignment="1">
      <alignment horizontal="center" vertical="center"/>
    </xf>
    <xf numFmtId="193" fontId="6" fillId="0" borderId="2" xfId="35" applyNumberFormat="1" applyBorder="1" applyAlignment="1">
      <alignment horizontal="center" vertical="center"/>
    </xf>
    <xf numFmtId="179" fontId="6" fillId="0" borderId="10" xfId="35" applyNumberFormat="1" applyBorder="1" applyAlignment="1">
      <alignment horizontal="center" vertical="center"/>
    </xf>
    <xf numFmtId="182" fontId="6" fillId="0" borderId="20" xfId="35" applyNumberFormat="1" applyBorder="1" applyAlignment="1">
      <alignment horizontal="center" vertical="center"/>
    </xf>
    <xf numFmtId="183" fontId="6" fillId="0" borderId="21" xfId="35" applyNumberFormat="1" applyBorder="1" applyAlignment="1">
      <alignment horizontal="center" vertical="center"/>
    </xf>
    <xf numFmtId="182" fontId="6" fillId="0" borderId="11" xfId="35" applyNumberFormat="1" applyBorder="1" applyAlignment="1">
      <alignment horizontal="center" vertical="center"/>
    </xf>
    <xf numFmtId="183" fontId="6" fillId="0" borderId="52" xfId="35" applyNumberFormat="1" applyBorder="1" applyAlignment="1">
      <alignment horizontal="center" vertical="center"/>
    </xf>
    <xf numFmtId="179" fontId="6" fillId="0" borderId="19" xfId="35" applyNumberFormat="1" applyBorder="1" applyAlignment="1">
      <alignment horizontal="center" vertical="center"/>
    </xf>
    <xf numFmtId="179" fontId="6" fillId="0" borderId="21" xfId="35" applyNumberFormat="1" applyBorder="1" applyAlignment="1">
      <alignment horizontal="center" vertical="center"/>
    </xf>
    <xf numFmtId="182" fontId="8" fillId="0" borderId="2" xfId="35" applyNumberFormat="1" applyFont="1" applyBorder="1" applyProtection="1">
      <alignment vertical="center"/>
      <protection locked="0"/>
    </xf>
    <xf numFmtId="183" fontId="8" fillId="0" borderId="2" xfId="35" applyNumberFormat="1" applyFont="1" applyBorder="1" applyProtection="1">
      <alignment vertical="center"/>
      <protection locked="0"/>
    </xf>
    <xf numFmtId="182" fontId="8" fillId="0" borderId="2" xfId="35" applyNumberFormat="1" applyFont="1" applyBorder="1">
      <alignment vertical="center"/>
    </xf>
    <xf numFmtId="183" fontId="8" fillId="0" borderId="2" xfId="35" applyNumberFormat="1" applyFont="1" applyBorder="1">
      <alignment vertical="center"/>
    </xf>
    <xf numFmtId="0" fontId="6" fillId="0" borderId="0" xfId="35" applyNumberFormat="1">
      <alignment vertical="center"/>
    </xf>
    <xf numFmtId="179" fontId="6" fillId="0" borderId="5" xfId="0" applyNumberFormat="1" applyFont="1" applyBorder="1" applyAlignment="1">
      <alignment horizontal="center" vertical="center"/>
    </xf>
    <xf numFmtId="181" fontId="6" fillId="0" borderId="5" xfId="0" applyNumberFormat="1" applyFont="1" applyBorder="1" applyAlignment="1">
      <alignment horizontal="center" vertical="center"/>
    </xf>
    <xf numFmtId="179" fontId="11" fillId="0" borderId="0" xfId="35" applyNumberFormat="1" applyFont="1">
      <alignment vertical="center"/>
    </xf>
    <xf numFmtId="179" fontId="11" fillId="0" borderId="0" xfId="35" applyNumberFormat="1" applyFont="1" applyProtection="1">
      <alignment vertical="center"/>
      <protection locked="0"/>
    </xf>
    <xf numFmtId="180" fontId="52" fillId="0" borderId="1" xfId="0" applyNumberFormat="1" applyFont="1" applyBorder="1" applyProtection="1">
      <alignment vertical="center"/>
      <protection locked="0"/>
    </xf>
    <xf numFmtId="176" fontId="52" fillId="0" borderId="1" xfId="0" applyFont="1" applyBorder="1" applyProtection="1">
      <alignment vertical="center"/>
      <protection locked="0"/>
    </xf>
    <xf numFmtId="179" fontId="0" fillId="0" borderId="0" xfId="0" applyNumberFormat="1" applyAlignment="1">
      <alignment horizontal="center" vertical="center"/>
    </xf>
    <xf numFmtId="2" fontId="0" fillId="0" borderId="2" xfId="0" applyNumberFormat="1" applyBorder="1" applyAlignment="1" applyProtection="1">
      <alignment horizontal="center" vertical="center"/>
      <protection locked="0"/>
    </xf>
    <xf numFmtId="176" fontId="0" fillId="0" borderId="2" xfId="0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2" fontId="0" fillId="3" borderId="2" xfId="0" applyNumberFormat="1" applyFill="1" applyBorder="1" applyAlignment="1" applyProtection="1">
      <alignment horizontal="center" vertical="center"/>
      <protection locked="0"/>
    </xf>
    <xf numFmtId="176" fontId="0" fillId="0" borderId="0" xfId="0" applyAlignment="1" applyProtection="1">
      <alignment horizontal="center" vertical="center"/>
      <protection locked="0"/>
    </xf>
    <xf numFmtId="177" fontId="0" fillId="0" borderId="0" xfId="0" applyNumberFormat="1" applyProtection="1">
      <alignment vertical="center"/>
      <protection locked="0"/>
    </xf>
    <xf numFmtId="189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76" fontId="13" fillId="0" borderId="1" xfId="0" applyFont="1" applyBorder="1">
      <alignment vertical="center"/>
    </xf>
    <xf numFmtId="194" fontId="0" fillId="0" borderId="0" xfId="0" applyNumberFormat="1" applyAlignment="1">
      <alignment horizontal="center" vertical="center"/>
    </xf>
    <xf numFmtId="191" fontId="67" fillId="0" borderId="0" xfId="0" applyNumberFormat="1" applyFont="1" applyAlignment="1">
      <alignment horizontal="center" vertical="center"/>
    </xf>
    <xf numFmtId="191" fontId="13" fillId="0" borderId="0" xfId="0" applyNumberFormat="1" applyFont="1" applyAlignment="1">
      <alignment horizontal="center" vertical="center"/>
    </xf>
    <xf numFmtId="191" fontId="0" fillId="0" borderId="0" xfId="0" applyNumberFormat="1" applyAlignment="1">
      <alignment horizontal="center" vertical="center"/>
    </xf>
    <xf numFmtId="176" fontId="68" fillId="0" borderId="0" xfId="0" applyFont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2" fontId="69" fillId="0" borderId="0" xfId="0" applyNumberFormat="1" applyFont="1" applyAlignment="1">
      <alignment horizontal="center" vertical="center"/>
    </xf>
    <xf numFmtId="2" fontId="68" fillId="0" borderId="0" xfId="0" applyNumberFormat="1" applyFont="1" applyAlignment="1">
      <alignment horizontal="center" vertical="center"/>
    </xf>
    <xf numFmtId="190" fontId="12" fillId="0" borderId="0" xfId="0" applyNumberFormat="1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90" fontId="13" fillId="0" borderId="0" xfId="0" applyNumberFormat="1" applyFont="1" applyAlignment="1">
      <alignment horizontal="center" vertical="center"/>
    </xf>
    <xf numFmtId="184" fontId="12" fillId="0" borderId="0" xfId="0" applyNumberFormat="1" applyFont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176" fontId="40" fillId="0" borderId="0" xfId="32" applyFont="1" applyAlignment="1">
      <alignment horizontal="right" vertical="center"/>
    </xf>
    <xf numFmtId="177" fontId="53" fillId="2" borderId="62" xfId="32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 applyProtection="1">
      <alignment horizontal="center" vertical="center"/>
      <protection locked="0"/>
    </xf>
    <xf numFmtId="176" fontId="0" fillId="3" borderId="2" xfId="0" applyFill="1" applyBorder="1" applyAlignment="1" applyProtection="1">
      <alignment horizontal="center" vertical="center"/>
      <protection locked="0"/>
    </xf>
    <xf numFmtId="176" fontId="52" fillId="0" borderId="0" xfId="0" applyFont="1">
      <alignment vertical="center"/>
    </xf>
    <xf numFmtId="176" fontId="52" fillId="2" borderId="0" xfId="0" applyFont="1" applyFill="1" applyAlignment="1">
      <alignment horizontal="center" vertical="center"/>
    </xf>
    <xf numFmtId="31" fontId="66" fillId="2" borderId="1" xfId="0" applyNumberFormat="1" applyFont="1" applyFill="1" applyBorder="1" applyAlignment="1">
      <alignment horizontal="center" vertical="center"/>
    </xf>
    <xf numFmtId="2" fontId="85" fillId="3" borderId="2" xfId="0" applyNumberFormat="1" applyFont="1" applyFill="1" applyBorder="1" applyAlignment="1" applyProtection="1">
      <alignment horizontal="center" vertical="center"/>
      <protection locked="0"/>
    </xf>
    <xf numFmtId="180" fontId="52" fillId="0" borderId="1" xfId="0" applyNumberFormat="1" applyFont="1" applyBorder="1" applyAlignment="1" applyProtection="1">
      <alignment horizontal="center" vertical="center"/>
      <protection locked="0"/>
    </xf>
    <xf numFmtId="176" fontId="13" fillId="0" borderId="1" xfId="0" applyFont="1" applyBorder="1" applyAlignment="1">
      <alignment horizontal="center" vertical="center"/>
    </xf>
    <xf numFmtId="176" fontId="0" fillId="0" borderId="13" xfId="0" applyBorder="1" applyAlignment="1">
      <alignment horizontal="center" vertical="center"/>
    </xf>
    <xf numFmtId="176" fontId="0" fillId="0" borderId="8" xfId="0" applyBorder="1" applyAlignment="1">
      <alignment horizontal="center" vertical="center"/>
    </xf>
    <xf numFmtId="176" fontId="0" fillId="0" borderId="15" xfId="0" applyBorder="1" applyAlignment="1">
      <alignment horizontal="center" vertical="center"/>
    </xf>
    <xf numFmtId="176" fontId="0" fillId="0" borderId="11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31" fontId="9" fillId="0" borderId="0" xfId="35" applyNumberFormat="1" applyFont="1" applyAlignment="1">
      <alignment horizontal="left" vertical="center"/>
    </xf>
    <xf numFmtId="176" fontId="9" fillId="0" borderId="0" xfId="35" applyFont="1" applyAlignment="1">
      <alignment horizontal="left" vertical="center"/>
    </xf>
    <xf numFmtId="180" fontId="9" fillId="0" borderId="0" xfId="35" applyNumberFormat="1" applyFont="1" applyAlignment="1">
      <alignment horizontal="center" vertical="center"/>
    </xf>
    <xf numFmtId="176" fontId="8" fillId="0" borderId="5" xfId="35" applyFont="1" applyBorder="1" applyAlignment="1">
      <alignment horizontal="center" vertical="center"/>
    </xf>
    <xf numFmtId="176" fontId="8" fillId="0" borderId="9" xfId="35" applyFont="1" applyBorder="1" applyAlignment="1">
      <alignment horizontal="center" vertical="center"/>
    </xf>
    <xf numFmtId="176" fontId="8" fillId="0" borderId="5" xfId="35" applyFont="1" applyBorder="1" applyAlignment="1">
      <alignment horizontal="center" vertical="center" wrapText="1"/>
    </xf>
    <xf numFmtId="176" fontId="8" fillId="0" borderId="2" xfId="35" applyFont="1" applyBorder="1" applyAlignment="1">
      <alignment horizontal="center" vertical="center" wrapText="1"/>
    </xf>
    <xf numFmtId="176" fontId="8" fillId="0" borderId="2" xfId="35" applyFont="1" applyBorder="1" applyAlignment="1">
      <alignment horizontal="center" vertical="center"/>
    </xf>
    <xf numFmtId="176" fontId="6" fillId="0" borderId="0" xfId="35" applyAlignment="1">
      <alignment horizontal="center" vertical="center"/>
    </xf>
    <xf numFmtId="176" fontId="8" fillId="0" borderId="15" xfId="35" applyFont="1" applyBorder="1" applyAlignment="1">
      <alignment horizontal="center" vertical="center" wrapText="1"/>
    </xf>
    <xf numFmtId="176" fontId="6" fillId="0" borderId="2" xfId="35" applyBorder="1" applyAlignment="1">
      <alignment horizontal="center" vertical="center"/>
    </xf>
    <xf numFmtId="176" fontId="6" fillId="0" borderId="1" xfId="35" applyBorder="1" applyAlignment="1">
      <alignment horizontal="center" vertical="center"/>
    </xf>
    <xf numFmtId="176" fontId="8" fillId="0" borderId="10" xfId="35" applyFont="1" applyBorder="1" applyAlignment="1">
      <alignment horizontal="center" vertical="center"/>
    </xf>
    <xf numFmtId="176" fontId="7" fillId="0" borderId="0" xfId="35" applyFont="1" applyAlignment="1">
      <alignment horizontal="center"/>
    </xf>
    <xf numFmtId="176" fontId="8" fillId="0" borderId="4" xfId="35" applyFont="1" applyBorder="1" applyAlignment="1">
      <alignment horizontal="center" vertical="center" wrapText="1"/>
    </xf>
    <xf numFmtId="176" fontId="8" fillId="0" borderId="6" xfId="35" applyFont="1" applyBorder="1" applyAlignment="1">
      <alignment horizontal="center" vertical="center" wrapText="1"/>
    </xf>
    <xf numFmtId="176" fontId="8" fillId="0" borderId="16" xfId="35" applyFont="1" applyBorder="1" applyAlignment="1">
      <alignment horizontal="center" vertical="center" wrapText="1"/>
    </xf>
    <xf numFmtId="176" fontId="8" fillId="0" borderId="27" xfId="35" applyFont="1" applyBorder="1" applyAlignment="1">
      <alignment horizontal="center" vertical="center" wrapText="1"/>
    </xf>
    <xf numFmtId="176" fontId="31" fillId="0" borderId="0" xfId="35" applyFont="1" applyAlignment="1">
      <alignment horizontal="left" vertical="center"/>
    </xf>
    <xf numFmtId="176" fontId="8" fillId="0" borderId="0" xfId="35" applyFont="1" applyAlignment="1">
      <alignment horizontal="left" vertical="center"/>
    </xf>
    <xf numFmtId="31" fontId="8" fillId="0" borderId="0" xfId="35" applyNumberFormat="1" applyFont="1" applyAlignment="1" applyProtection="1">
      <alignment horizontal="center" vertical="center"/>
      <protection locked="0"/>
    </xf>
    <xf numFmtId="176" fontId="8" fillId="0" borderId="0" xfId="35" applyFont="1" applyAlignment="1" applyProtection="1">
      <alignment horizontal="center" vertical="center"/>
      <protection locked="0"/>
    </xf>
    <xf numFmtId="176" fontId="8" fillId="0" borderId="0" xfId="35" applyFont="1" applyAlignment="1">
      <alignment horizontal="center" vertical="center" wrapText="1"/>
    </xf>
    <xf numFmtId="176" fontId="7" fillId="0" borderId="0" xfId="35" applyFont="1" applyAlignment="1">
      <alignment horizontal="center" vertical="center"/>
    </xf>
    <xf numFmtId="176" fontId="8" fillId="0" borderId="28" xfId="35" applyFont="1" applyBorder="1" applyAlignment="1">
      <alignment horizontal="center" vertical="center" wrapText="1"/>
    </xf>
    <xf numFmtId="176" fontId="0" fillId="0" borderId="2" xfId="0" applyBorder="1" applyAlignment="1">
      <alignment horizontal="center" vertical="center"/>
    </xf>
    <xf numFmtId="176" fontId="2" fillId="0" borderId="0" xfId="0" applyFont="1" applyAlignment="1">
      <alignment horizontal="center" vertical="center"/>
    </xf>
    <xf numFmtId="31" fontId="3" fillId="0" borderId="1" xfId="0" applyNumberFormat="1" applyFont="1" applyBorder="1" applyAlignment="1">
      <alignment horizontal="right" vertical="center"/>
    </xf>
    <xf numFmtId="31" fontId="3" fillId="0" borderId="1" xfId="0" applyNumberFormat="1" applyFont="1" applyBorder="1" applyAlignment="1">
      <alignment horizontal="left" vertical="center"/>
    </xf>
    <xf numFmtId="176" fontId="56" fillId="5" borderId="0" xfId="32" applyFont="1" applyFill="1" applyAlignment="1" applyProtection="1">
      <alignment horizontal="center" vertical="center"/>
      <protection locked="0"/>
    </xf>
    <xf numFmtId="176" fontId="33" fillId="5" borderId="0" xfId="32" applyFont="1" applyFill="1" applyAlignment="1" applyProtection="1">
      <alignment horizontal="center" vertical="center"/>
      <protection locked="0"/>
    </xf>
    <xf numFmtId="176" fontId="57" fillId="5" borderId="5" xfId="32" applyFont="1" applyFill="1" applyBorder="1" applyAlignment="1" applyProtection="1">
      <alignment horizontal="center" vertical="center"/>
      <protection locked="0"/>
    </xf>
    <xf numFmtId="176" fontId="6" fillId="5" borderId="48" xfId="32" applyFill="1" applyBorder="1" applyAlignment="1" applyProtection="1">
      <alignment horizontal="center" vertical="center"/>
      <protection locked="0"/>
    </xf>
    <xf numFmtId="176" fontId="6" fillId="5" borderId="49" xfId="32" applyFill="1" applyBorder="1" applyAlignment="1">
      <alignment horizontal="center" vertical="center"/>
    </xf>
    <xf numFmtId="176" fontId="6" fillId="5" borderId="2" xfId="32" applyFill="1" applyBorder="1" applyAlignment="1">
      <alignment horizontal="center" vertical="center" wrapText="1"/>
    </xf>
    <xf numFmtId="176" fontId="57" fillId="5" borderId="2" xfId="32" applyFont="1" applyFill="1" applyBorder="1" applyAlignment="1">
      <alignment horizontal="center" vertical="center"/>
    </xf>
    <xf numFmtId="176" fontId="6" fillId="5" borderId="50" xfId="32" applyFill="1" applyBorder="1" applyAlignment="1" applyProtection="1">
      <alignment horizontal="center" vertical="center"/>
      <protection locked="0"/>
    </xf>
    <xf numFmtId="176" fontId="6" fillId="5" borderId="51" xfId="32" applyFill="1" applyBorder="1" applyAlignment="1">
      <alignment horizontal="center" vertical="center"/>
    </xf>
    <xf numFmtId="176" fontId="8" fillId="5" borderId="2" xfId="32" applyFont="1" applyFill="1" applyBorder="1" applyAlignment="1">
      <alignment horizontal="center" vertical="center" wrapText="1"/>
    </xf>
    <xf numFmtId="176" fontId="57" fillId="5" borderId="13" xfId="32" applyFont="1" applyFill="1" applyBorder="1" applyAlignment="1">
      <alignment horizontal="center" vertical="center"/>
    </xf>
    <xf numFmtId="176" fontId="57" fillId="5" borderId="8" xfId="32" applyFont="1" applyFill="1" applyBorder="1" applyAlignment="1">
      <alignment horizontal="center" vertical="center"/>
    </xf>
    <xf numFmtId="176" fontId="57" fillId="5" borderId="12" xfId="32" applyFont="1" applyFill="1" applyBorder="1" applyAlignment="1">
      <alignment horizontal="center" vertical="center"/>
    </xf>
    <xf numFmtId="176" fontId="57" fillId="5" borderId="43" xfId="32" applyFont="1" applyFill="1" applyBorder="1" applyAlignment="1">
      <alignment horizontal="center" vertical="center"/>
    </xf>
    <xf numFmtId="176" fontId="8" fillId="5" borderId="15" xfId="32" applyFont="1" applyFill="1" applyBorder="1" applyAlignment="1">
      <alignment horizontal="center" vertical="center" wrapText="1"/>
    </xf>
    <xf numFmtId="176" fontId="8" fillId="5" borderId="11" xfId="32" applyFont="1" applyFill="1" applyBorder="1" applyAlignment="1">
      <alignment horizontal="center" vertical="center" wrapText="1"/>
    </xf>
    <xf numFmtId="177" fontId="12" fillId="0" borderId="2" xfId="32" applyNumberFormat="1" applyFont="1" applyBorder="1" applyAlignment="1">
      <alignment horizontal="center" vertical="center"/>
    </xf>
    <xf numFmtId="176" fontId="6" fillId="5" borderId="39" xfId="32" applyFill="1" applyBorder="1" applyAlignment="1">
      <alignment horizontal="center" vertical="center"/>
    </xf>
    <xf numFmtId="176" fontId="6" fillId="5" borderId="40" xfId="32" applyFill="1" applyBorder="1" applyAlignment="1">
      <alignment horizontal="center" vertical="center"/>
    </xf>
    <xf numFmtId="176" fontId="6" fillId="5" borderId="41" xfId="32" applyFill="1" applyBorder="1" applyAlignment="1">
      <alignment horizontal="center" vertical="center"/>
    </xf>
    <xf numFmtId="176" fontId="6" fillId="5" borderId="15" xfId="32" applyFill="1" applyBorder="1" applyAlignment="1">
      <alignment horizontal="center" vertical="center" wrapText="1"/>
    </xf>
    <xf numFmtId="176" fontId="6" fillId="5" borderId="11" xfId="32" applyFill="1" applyBorder="1" applyAlignment="1">
      <alignment horizontal="center" vertical="center" wrapText="1"/>
    </xf>
    <xf numFmtId="176" fontId="6" fillId="5" borderId="37" xfId="32" applyFill="1" applyBorder="1" applyAlignment="1">
      <alignment horizontal="center" vertical="center"/>
    </xf>
    <xf numFmtId="176" fontId="6" fillId="5" borderId="35" xfId="32" applyFill="1" applyBorder="1" applyAlignment="1">
      <alignment horizontal="center" vertical="center"/>
    </xf>
    <xf numFmtId="176" fontId="6" fillId="5" borderId="36" xfId="32" applyFill="1" applyBorder="1" applyAlignment="1">
      <alignment horizontal="center" vertical="center"/>
    </xf>
    <xf numFmtId="176" fontId="6" fillId="5" borderId="13" xfId="32" applyFill="1" applyBorder="1" applyAlignment="1">
      <alignment horizontal="center" vertical="center" wrapText="1"/>
    </xf>
    <xf numFmtId="176" fontId="6" fillId="5" borderId="8" xfId="32" applyFill="1" applyBorder="1" applyAlignment="1">
      <alignment horizontal="center" vertical="center" wrapText="1"/>
    </xf>
    <xf numFmtId="176" fontId="6" fillId="5" borderId="5" xfId="32" applyFill="1" applyBorder="1" applyAlignment="1" applyProtection="1">
      <alignment horizontal="center" vertical="center" wrapText="1"/>
      <protection locked="0"/>
    </xf>
    <xf numFmtId="176" fontId="6" fillId="5" borderId="9" xfId="32" applyFill="1" applyBorder="1" applyAlignment="1" applyProtection="1">
      <alignment horizontal="center" vertical="center" wrapText="1"/>
      <protection locked="0"/>
    </xf>
    <xf numFmtId="176" fontId="6" fillId="5" borderId="10" xfId="32" applyFill="1" applyBorder="1" applyAlignment="1">
      <alignment horizontal="center" vertical="center" wrapText="1"/>
    </xf>
    <xf numFmtId="176" fontId="54" fillId="5" borderId="5" xfId="32" applyFont="1" applyFill="1" applyBorder="1" applyAlignment="1" applyProtection="1">
      <alignment horizontal="center" vertical="center" wrapText="1"/>
      <protection locked="0"/>
    </xf>
    <xf numFmtId="176" fontId="54" fillId="5" borderId="2" xfId="32" applyFont="1" applyFill="1" applyBorder="1" applyAlignment="1">
      <alignment horizontal="center" vertical="center" wrapText="1"/>
    </xf>
    <xf numFmtId="176" fontId="54" fillId="5" borderId="15" xfId="32" applyFont="1" applyFill="1" applyBorder="1" applyAlignment="1">
      <alignment horizontal="center" vertical="center" wrapText="1"/>
    </xf>
    <xf numFmtId="176" fontId="54" fillId="5" borderId="24" xfId="32" applyFont="1" applyFill="1" applyBorder="1" applyAlignment="1">
      <alignment horizontal="center" vertical="center" wrapText="1"/>
    </xf>
    <xf numFmtId="176" fontId="54" fillId="5" borderId="11" xfId="32" applyFont="1" applyFill="1" applyBorder="1" applyAlignment="1">
      <alignment horizontal="center" vertical="center" wrapText="1"/>
    </xf>
    <xf numFmtId="176" fontId="6" fillId="5" borderId="43" xfId="32" applyFill="1" applyBorder="1" applyAlignment="1">
      <alignment horizontal="center" vertical="center" wrapText="1"/>
    </xf>
    <xf numFmtId="176" fontId="6" fillId="5" borderId="12" xfId="32" applyFill="1" applyBorder="1" applyAlignment="1">
      <alignment horizontal="center" vertical="center" wrapText="1"/>
    </xf>
    <xf numFmtId="179" fontId="60" fillId="0" borderId="0" xfId="30" applyNumberFormat="1" applyFont="1" applyAlignment="1">
      <alignment horizontal="center" vertical="center"/>
    </xf>
    <xf numFmtId="176" fontId="9" fillId="0" borderId="0" xfId="35" applyFont="1" applyAlignment="1">
      <alignment horizontal="center" vertical="center"/>
    </xf>
    <xf numFmtId="180" fontId="6" fillId="0" borderId="2" xfId="35" applyNumberFormat="1" applyBorder="1" applyAlignment="1">
      <alignment horizontal="center" vertical="center" wrapText="1"/>
    </xf>
    <xf numFmtId="180" fontId="6" fillId="0" borderId="15" xfId="35" applyNumberFormat="1" applyBorder="1" applyAlignment="1">
      <alignment horizontal="center" vertical="center" wrapText="1"/>
    </xf>
    <xf numFmtId="176" fontId="6" fillId="0" borderId="2" xfId="35" applyBorder="1" applyAlignment="1">
      <alignment horizontal="center" vertical="center" wrapText="1"/>
    </xf>
    <xf numFmtId="57" fontId="37" fillId="0" borderId="0" xfId="32" applyNumberFormat="1" applyFont="1" applyAlignment="1">
      <alignment horizontal="center" vertical="center"/>
    </xf>
    <xf numFmtId="180" fontId="38" fillId="0" borderId="0" xfId="32" applyNumberFormat="1" applyFont="1" applyAlignment="1">
      <alignment horizontal="center" vertical="center"/>
    </xf>
    <xf numFmtId="1" fontId="11" fillId="0" borderId="0" xfId="32" applyNumberFormat="1" applyFont="1" applyAlignment="1">
      <alignment horizontal="left" vertical="top"/>
    </xf>
    <xf numFmtId="176" fontId="6" fillId="0" borderId="2" xfId="32" applyBorder="1" applyAlignment="1">
      <alignment horizontal="center" vertical="center"/>
    </xf>
    <xf numFmtId="181" fontId="85" fillId="0" borderId="12" xfId="30" applyNumberFormat="1" applyBorder="1" applyAlignment="1">
      <alignment horizontal="center"/>
    </xf>
    <xf numFmtId="181" fontId="85" fillId="0" borderId="13" xfId="30" applyNumberFormat="1" applyBorder="1" applyAlignment="1">
      <alignment horizontal="center"/>
    </xf>
    <xf numFmtId="181" fontId="85" fillId="0" borderId="8" xfId="30" applyNumberFormat="1" applyBorder="1" applyAlignment="1">
      <alignment horizontal="center"/>
    </xf>
    <xf numFmtId="176" fontId="23" fillId="0" borderId="0" xfId="30" applyFont="1" applyAlignment="1">
      <alignment horizontal="center" vertical="center"/>
    </xf>
    <xf numFmtId="31" fontId="3" fillId="0" borderId="1" xfId="30" applyNumberFormat="1" applyFont="1" applyBorder="1" applyAlignment="1">
      <alignment horizontal="center" vertical="center"/>
    </xf>
    <xf numFmtId="176" fontId="56" fillId="5" borderId="30" xfId="32" applyFont="1" applyFill="1" applyBorder="1" applyAlignment="1">
      <alignment horizontal="center" vertical="center"/>
    </xf>
    <xf numFmtId="14" fontId="59" fillId="5" borderId="30" xfId="32" applyNumberFormat="1" applyFont="1" applyFill="1" applyBorder="1" applyAlignment="1">
      <alignment horizontal="center"/>
    </xf>
    <xf numFmtId="176" fontId="57" fillId="5" borderId="33" xfId="32" applyFont="1" applyFill="1" applyBorder="1" applyAlignment="1">
      <alignment horizontal="center" vertical="center"/>
    </xf>
    <xf numFmtId="176" fontId="57" fillId="5" borderId="34" xfId="32" applyFont="1" applyFill="1" applyBorder="1" applyAlignment="1">
      <alignment horizontal="center" vertical="center"/>
    </xf>
    <xf numFmtId="176" fontId="57" fillId="5" borderId="38" xfId="32" applyFont="1" applyFill="1" applyBorder="1" applyAlignment="1">
      <alignment horizontal="center" vertical="center"/>
    </xf>
    <xf numFmtId="176" fontId="57" fillId="5" borderId="42" xfId="32" applyFont="1" applyFill="1" applyBorder="1" applyAlignment="1">
      <alignment horizontal="center" vertical="center"/>
    </xf>
    <xf numFmtId="176" fontId="6" fillId="5" borderId="31" xfId="32" applyFill="1" applyBorder="1" applyAlignment="1">
      <alignment horizontal="center" vertical="center"/>
    </xf>
    <xf numFmtId="176" fontId="54" fillId="5" borderId="32" xfId="32" applyFont="1" applyFill="1" applyBorder="1" applyAlignment="1">
      <alignment horizontal="center" vertical="center" wrapText="1"/>
    </xf>
    <xf numFmtId="176" fontId="6" fillId="5" borderId="3" xfId="32" applyFill="1" applyBorder="1" applyAlignment="1">
      <alignment horizontal="center" vertical="center" wrapText="1"/>
    </xf>
    <xf numFmtId="176" fontId="6" fillId="5" borderId="47" xfId="32" applyFill="1" applyBorder="1" applyAlignment="1">
      <alignment horizontal="center" vertical="center" wrapText="1"/>
    </xf>
    <xf numFmtId="176" fontId="6" fillId="5" borderId="1" xfId="32" applyFill="1" applyBorder="1" applyAlignment="1">
      <alignment horizontal="center" vertical="center" wrapText="1"/>
    </xf>
    <xf numFmtId="176" fontId="6" fillId="5" borderId="46" xfId="32" applyFill="1" applyBorder="1" applyAlignment="1">
      <alignment horizontal="center" vertical="center" wrapText="1"/>
    </xf>
    <xf numFmtId="176" fontId="6" fillId="5" borderId="44" xfId="32" applyFill="1" applyBorder="1" applyAlignment="1">
      <alignment horizontal="center" vertical="center" wrapText="1"/>
    </xf>
    <xf numFmtId="176" fontId="6" fillId="5" borderId="45" xfId="32" applyFill="1" applyBorder="1" applyAlignment="1">
      <alignment horizontal="center" vertical="center" wrapText="1"/>
    </xf>
    <xf numFmtId="176" fontId="6" fillId="3" borderId="62" xfId="32" applyFill="1" applyBorder="1" applyAlignment="1">
      <alignment horizontal="center" vertical="center" wrapText="1"/>
    </xf>
    <xf numFmtId="176" fontId="6" fillId="3" borderId="62" xfId="32" applyFill="1" applyBorder="1" applyAlignment="1">
      <alignment horizontal="center" vertical="center"/>
    </xf>
    <xf numFmtId="176" fontId="6" fillId="0" borderId="0" xfId="32" applyAlignment="1">
      <alignment horizontal="center" vertical="center"/>
    </xf>
    <xf numFmtId="176" fontId="6" fillId="0" borderId="62" xfId="32" applyBorder="1" applyAlignment="1">
      <alignment horizontal="center" vertical="center"/>
    </xf>
    <xf numFmtId="181" fontId="12" fillId="0" borderId="12" xfId="30" applyNumberFormat="1" applyFont="1" applyBorder="1" applyAlignment="1">
      <alignment horizontal="center" vertical="center"/>
    </xf>
    <xf numFmtId="181" fontId="12" fillId="0" borderId="13" xfId="30" applyNumberFormat="1" applyFont="1" applyBorder="1" applyAlignment="1">
      <alignment horizontal="center" vertical="center"/>
    </xf>
    <xf numFmtId="181" fontId="12" fillId="0" borderId="8" xfId="30" applyNumberFormat="1" applyFont="1" applyBorder="1" applyAlignment="1">
      <alignment horizontal="center" vertical="center"/>
    </xf>
    <xf numFmtId="176" fontId="23" fillId="0" borderId="0" xfId="6" applyFont="1" applyAlignment="1">
      <alignment horizontal="center" vertical="center"/>
    </xf>
    <xf numFmtId="57" fontId="12" fillId="0" borderId="1" xfId="0" applyNumberFormat="1" applyFont="1" applyBorder="1" applyAlignment="1">
      <alignment horizontal="right" vertical="center"/>
    </xf>
    <xf numFmtId="176" fontId="12" fillId="0" borderId="1" xfId="0" applyFont="1" applyBorder="1" applyAlignment="1">
      <alignment horizontal="right" vertical="center"/>
    </xf>
    <xf numFmtId="176" fontId="11" fillId="0" borderId="2" xfId="0" applyFont="1" applyBorder="1" applyAlignment="1">
      <alignment horizontal="center" vertical="center"/>
    </xf>
    <xf numFmtId="180" fontId="12" fillId="0" borderId="15" xfId="0" applyNumberFormat="1" applyFont="1" applyBorder="1" applyAlignment="1">
      <alignment horizontal="center" vertical="center" wrapText="1"/>
    </xf>
    <xf numFmtId="180" fontId="12" fillId="0" borderId="11" xfId="0" applyNumberFormat="1" applyFont="1" applyBorder="1" applyAlignment="1">
      <alignment horizontal="center" vertical="center" wrapText="1"/>
    </xf>
    <xf numFmtId="176" fontId="12" fillId="5" borderId="15" xfId="0" applyFont="1" applyFill="1" applyBorder="1" applyAlignment="1">
      <alignment horizontal="center" vertical="center" wrapText="1"/>
    </xf>
    <xf numFmtId="176" fontId="12" fillId="5" borderId="24" xfId="0" applyFont="1" applyFill="1" applyBorder="1" applyAlignment="1">
      <alignment horizontal="center" vertical="center" wrapText="1"/>
    </xf>
    <xf numFmtId="176" fontId="12" fillId="5" borderId="11" xfId="0" applyFont="1" applyFill="1" applyBorder="1" applyAlignment="1">
      <alignment horizontal="center" vertical="center" wrapText="1"/>
    </xf>
    <xf numFmtId="176" fontId="12" fillId="5" borderId="2" xfId="0" applyFont="1" applyFill="1" applyBorder="1" applyAlignment="1">
      <alignment horizontal="center" vertical="center" wrapText="1"/>
    </xf>
    <xf numFmtId="176" fontId="0" fillId="5" borderId="15" xfId="0" applyFill="1" applyBorder="1" applyAlignment="1">
      <alignment horizontal="center" vertical="center" wrapText="1" shrinkToFit="1"/>
    </xf>
    <xf numFmtId="176" fontId="0" fillId="5" borderId="24" xfId="0" applyFill="1" applyBorder="1" applyAlignment="1">
      <alignment horizontal="center" vertical="center" wrapText="1" shrinkToFit="1"/>
    </xf>
    <xf numFmtId="176" fontId="0" fillId="5" borderId="11" xfId="0" applyFill="1" applyBorder="1" applyAlignment="1">
      <alignment horizontal="center" vertical="center" wrapText="1" shrinkToFit="1"/>
    </xf>
    <xf numFmtId="176" fontId="12" fillId="5" borderId="15" xfId="0" applyFont="1" applyFill="1" applyBorder="1" applyAlignment="1">
      <alignment horizontal="center" vertical="center" wrapText="1" shrinkToFit="1"/>
    </xf>
    <xf numFmtId="176" fontId="12" fillId="5" borderId="24" xfId="0" applyFont="1" applyFill="1" applyBorder="1" applyAlignment="1">
      <alignment horizontal="center" vertical="center" wrapText="1" shrinkToFit="1"/>
    </xf>
    <xf numFmtId="176" fontId="12" fillId="5" borderId="11" xfId="0" applyFont="1" applyFill="1" applyBorder="1" applyAlignment="1">
      <alignment horizontal="center" vertical="center" wrapText="1" shrinkToFit="1"/>
    </xf>
    <xf numFmtId="176" fontId="2" fillId="0" borderId="15" xfId="0" applyFont="1" applyBorder="1" applyAlignment="1">
      <alignment horizontal="center" vertical="center"/>
    </xf>
    <xf numFmtId="176" fontId="0" fillId="0" borderId="5" xfId="0" applyBorder="1" applyAlignment="1">
      <alignment horizontal="center" vertical="center"/>
    </xf>
    <xf numFmtId="176" fontId="0" fillId="0" borderId="9" xfId="0" applyBorder="1" applyAlignment="1">
      <alignment horizontal="center" vertical="center"/>
    </xf>
    <xf numFmtId="176" fontId="0" fillId="0" borderId="4" xfId="0" applyBorder="1" applyAlignment="1">
      <alignment horizontal="center" vertical="center"/>
    </xf>
    <xf numFmtId="176" fontId="0" fillId="0" borderId="16" xfId="0" applyBorder="1" applyAlignment="1">
      <alignment horizontal="center" vertical="center"/>
    </xf>
    <xf numFmtId="57" fontId="37" fillId="0" borderId="0" xfId="0" applyNumberFormat="1" applyFont="1" applyAlignment="1">
      <alignment horizontal="center" vertical="center"/>
    </xf>
    <xf numFmtId="57" fontId="38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left" vertical="top"/>
    </xf>
    <xf numFmtId="179" fontId="85" fillId="0" borderId="2" xfId="6" applyNumberFormat="1" applyBorder="1" applyAlignment="1">
      <alignment horizontal="right" vertical="center"/>
    </xf>
    <xf numFmtId="176" fontId="85" fillId="0" borderId="2" xfId="6" applyBorder="1" applyAlignment="1">
      <alignment horizontal="center" vertical="center"/>
    </xf>
    <xf numFmtId="31" fontId="85" fillId="0" borderId="0" xfId="6" applyNumberFormat="1" applyAlignment="1">
      <alignment horizontal="center" vertical="center"/>
    </xf>
    <xf numFmtId="176" fontId="85" fillId="0" borderId="0" xfId="6" applyAlignment="1">
      <alignment horizontal="center" vertical="center"/>
    </xf>
    <xf numFmtId="176" fontId="4" fillId="0" borderId="2" xfId="6" applyFont="1" applyBorder="1" applyAlignment="1">
      <alignment horizontal="center" vertical="center"/>
    </xf>
    <xf numFmtId="179" fontId="85" fillId="0" borderId="2" xfId="6" applyNumberFormat="1" applyBorder="1" applyAlignment="1">
      <alignment horizontal="center" vertical="center"/>
    </xf>
    <xf numFmtId="176" fontId="18" fillId="0" borderId="0" xfId="0" applyFont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176" fontId="11" fillId="0" borderId="5" xfId="0" applyFont="1" applyBorder="1" applyAlignment="1">
      <alignment horizontal="center" vertical="center"/>
    </xf>
    <xf numFmtId="176" fontId="11" fillId="0" borderId="9" xfId="0" applyFont="1" applyBorder="1" applyAlignment="1">
      <alignment horizontal="center" vertical="center"/>
    </xf>
    <xf numFmtId="176" fontId="6" fillId="0" borderId="17" xfId="0" applyFont="1" applyBorder="1" applyAlignment="1">
      <alignment horizontal="center" vertical="center"/>
    </xf>
    <xf numFmtId="176" fontId="6" fillId="0" borderId="18" xfId="0" applyFont="1" applyBorder="1" applyAlignment="1">
      <alignment horizontal="center" vertical="center"/>
    </xf>
    <xf numFmtId="0" fontId="6" fillId="0" borderId="18" xfId="0" applyNumberFormat="1" applyFont="1" applyBorder="1" applyAlignment="1">
      <alignment horizontal="center" vertical="center"/>
    </xf>
    <xf numFmtId="176" fontId="6" fillId="0" borderId="19" xfId="0" applyFont="1" applyBorder="1" applyAlignment="1">
      <alignment horizontal="center" vertical="center"/>
    </xf>
    <xf numFmtId="176" fontId="6" fillId="0" borderId="4" xfId="0" applyFont="1" applyBorder="1" applyAlignment="1">
      <alignment horizontal="center" vertical="center"/>
    </xf>
    <xf numFmtId="176" fontId="6" fillId="0" borderId="6" xfId="0" applyFont="1" applyBorder="1" applyAlignment="1">
      <alignment horizontal="center" vertical="center"/>
    </xf>
    <xf numFmtId="185" fontId="11" fillId="0" borderId="5" xfId="0" applyNumberFormat="1" applyFont="1" applyBorder="1" applyAlignment="1">
      <alignment horizontal="center" vertical="center"/>
    </xf>
    <xf numFmtId="185" fontId="11" fillId="0" borderId="2" xfId="0" applyNumberFormat="1" applyFont="1" applyBorder="1" applyAlignment="1">
      <alignment horizontal="center" vertical="center"/>
    </xf>
    <xf numFmtId="0" fontId="11" fillId="0" borderId="5" xfId="0" applyNumberFormat="1" applyFont="1" applyBorder="1" applyAlignment="1">
      <alignment horizontal="center" vertical="center" shrinkToFit="1"/>
    </xf>
    <xf numFmtId="0" fontId="11" fillId="0" borderId="2" xfId="0" applyNumberFormat="1" applyFont="1" applyBorder="1" applyAlignment="1">
      <alignment horizontal="center" vertical="center" shrinkToFit="1"/>
    </xf>
    <xf numFmtId="176" fontId="11" fillId="0" borderId="5" xfId="0" applyFont="1" applyBorder="1" applyAlignment="1">
      <alignment horizontal="center" vertical="center" shrinkToFit="1"/>
    </xf>
    <xf numFmtId="176" fontId="11" fillId="0" borderId="2" xfId="0" applyFont="1" applyBorder="1" applyAlignment="1">
      <alignment horizontal="center" vertical="center" shrinkToFit="1"/>
    </xf>
    <xf numFmtId="176" fontId="10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58" fontId="6" fillId="0" borderId="12" xfId="0" applyNumberFormat="1" applyFont="1" applyBorder="1" applyAlignment="1">
      <alignment horizontal="center" vertical="center"/>
    </xf>
    <xf numFmtId="58" fontId="6" fillId="0" borderId="13" xfId="0" applyNumberFormat="1" applyFont="1" applyBorder="1" applyAlignment="1">
      <alignment horizontal="center" vertical="center"/>
    </xf>
    <xf numFmtId="58" fontId="6" fillId="0" borderId="8" xfId="0" applyNumberFormat="1" applyFont="1" applyBorder="1" applyAlignment="1">
      <alignment horizontal="center" vertical="center"/>
    </xf>
    <xf numFmtId="176" fontId="6" fillId="0" borderId="12" xfId="0" applyFont="1" applyBorder="1" applyAlignment="1">
      <alignment horizontal="center" vertical="center"/>
    </xf>
    <xf numFmtId="176" fontId="6" fillId="0" borderId="13" xfId="0" applyFont="1" applyBorder="1" applyAlignment="1">
      <alignment horizontal="center" vertical="center"/>
    </xf>
    <xf numFmtId="176" fontId="6" fillId="0" borderId="8" xfId="0" applyFont="1" applyBorder="1" applyAlignment="1">
      <alignment horizontal="center" vertical="center"/>
    </xf>
    <xf numFmtId="176" fontId="11" fillId="0" borderId="4" xfId="0" applyFont="1" applyBorder="1" applyAlignment="1">
      <alignment horizontal="center" vertical="center"/>
    </xf>
    <xf numFmtId="176" fontId="11" fillId="0" borderId="6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 shrinkToFit="1"/>
    </xf>
    <xf numFmtId="49" fontId="11" fillId="0" borderId="2" xfId="0" applyNumberFormat="1" applyFont="1" applyBorder="1" applyAlignment="1">
      <alignment horizontal="center" vertical="center" shrinkToFit="1"/>
    </xf>
    <xf numFmtId="177" fontId="8" fillId="0" borderId="0" xfId="35" applyNumberFormat="1" applyFont="1" applyAlignment="1">
      <alignment horizontal="center" vertical="center" wrapText="1"/>
    </xf>
    <xf numFmtId="177" fontId="6" fillId="0" borderId="0" xfId="35" applyNumberFormat="1" applyAlignment="1">
      <alignment horizontal="center" vertical="center"/>
    </xf>
    <xf numFmtId="176" fontId="4" fillId="0" borderId="2" xfId="0" applyFont="1" applyBorder="1" applyAlignment="1">
      <alignment horizontal="center" vertical="center"/>
    </xf>
    <xf numFmtId="176" fontId="5" fillId="0" borderId="3" xfId="0" applyFont="1" applyBorder="1" applyAlignment="1">
      <alignment horizontal="center" vertical="center"/>
    </xf>
    <xf numFmtId="176" fontId="5" fillId="0" borderId="0" xfId="0" applyFont="1" applyAlignment="1">
      <alignment horizontal="center" vertical="center"/>
    </xf>
    <xf numFmtId="176" fontId="1" fillId="0" borderId="0" xfId="0" applyFont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/>
    </xf>
  </cellXfs>
  <cellStyles count="177">
    <cellStyle name="20% - 强调文字颜色 1 2" xfId="4" xr:uid="{00000000-0005-0000-0000-000034000000}"/>
    <cellStyle name="20% - 强调文字颜色 1 3" xfId="23" xr:uid="{00000000-0005-0000-0000-000047000000}"/>
    <cellStyle name="20% - 强调文字颜色 1 4" xfId="15" xr:uid="{00000000-0005-0000-0000-00003F000000}"/>
    <cellStyle name="20% - 强调文字颜色 2 2" xfId="24" xr:uid="{00000000-0005-0000-0000-000048000000}"/>
    <cellStyle name="20% - 强调文字颜色 2 3" xfId="13" xr:uid="{00000000-0005-0000-0000-00003D000000}"/>
    <cellStyle name="20% - 强调文字颜色 2 4" xfId="25" xr:uid="{00000000-0005-0000-0000-000049000000}"/>
    <cellStyle name="20% - 强调文字颜色 3 2" xfId="26" xr:uid="{00000000-0005-0000-0000-00004A000000}"/>
    <cellStyle name="20% - 强调文字颜色 3 3" xfId="14" xr:uid="{00000000-0005-0000-0000-00003E000000}"/>
    <cellStyle name="20% - 强调文字颜色 3 4" xfId="27" xr:uid="{00000000-0005-0000-0000-00004B000000}"/>
    <cellStyle name="20% - 强调文字颜色 4 2" xfId="29" xr:uid="{00000000-0005-0000-0000-00004D000000}"/>
    <cellStyle name="20% - 强调文字颜色 4 3" xfId="31" xr:uid="{00000000-0005-0000-0000-00004F000000}"/>
    <cellStyle name="20% - 强调文字颜色 4 4" xfId="33" xr:uid="{00000000-0005-0000-0000-000051000000}"/>
    <cellStyle name="20% - 强调文字颜色 5 2" xfId="36" xr:uid="{00000000-0005-0000-0000-000054000000}"/>
    <cellStyle name="20% - 强调文字颜色 5 3" xfId="12" xr:uid="{00000000-0005-0000-0000-00003C000000}"/>
    <cellStyle name="20% - 强调文字颜色 5 4" xfId="37" xr:uid="{00000000-0005-0000-0000-000055000000}"/>
    <cellStyle name="20% - 强调文字颜色 6 2" xfId="39" xr:uid="{00000000-0005-0000-0000-000057000000}"/>
    <cellStyle name="20% - 强调文字颜色 6 3" xfId="40" xr:uid="{00000000-0005-0000-0000-000058000000}"/>
    <cellStyle name="20% - 强调文字颜色 6 4" xfId="41" xr:uid="{00000000-0005-0000-0000-000059000000}"/>
    <cellStyle name="40% - 强调文字颜色 1 2" xfId="43" xr:uid="{00000000-0005-0000-0000-00005B000000}"/>
    <cellStyle name="40% - 强调文字颜色 1 3" xfId="44" xr:uid="{00000000-0005-0000-0000-00005C000000}"/>
    <cellStyle name="40% - 强调文字颜色 1 4" xfId="45" xr:uid="{00000000-0005-0000-0000-00005D000000}"/>
    <cellStyle name="40% - 强调文字颜色 2 2" xfId="46" xr:uid="{00000000-0005-0000-0000-00005E000000}"/>
    <cellStyle name="40% - 强调文字颜色 2 3" xfId="47" xr:uid="{00000000-0005-0000-0000-00005F000000}"/>
    <cellStyle name="40% - 强调文字颜色 2 4" xfId="48" xr:uid="{00000000-0005-0000-0000-000060000000}"/>
    <cellStyle name="40% - 强调文字颜色 3 2" xfId="49" xr:uid="{00000000-0005-0000-0000-000061000000}"/>
    <cellStyle name="40% - 强调文字颜色 3 3" xfId="50" xr:uid="{00000000-0005-0000-0000-000062000000}"/>
    <cellStyle name="40% - 强调文字颜色 3 4" xfId="51" xr:uid="{00000000-0005-0000-0000-000063000000}"/>
    <cellStyle name="40% - 强调文字颜色 4 2" xfId="11" xr:uid="{00000000-0005-0000-0000-00003B000000}"/>
    <cellStyle name="40% - 强调文字颜色 4 3" xfId="52" xr:uid="{00000000-0005-0000-0000-000064000000}"/>
    <cellStyle name="40% - 强调文字颜色 4 4" xfId="53" xr:uid="{00000000-0005-0000-0000-000065000000}"/>
    <cellStyle name="40% - 强调文字颜色 5 2" xfId="54" xr:uid="{00000000-0005-0000-0000-000066000000}"/>
    <cellStyle name="40% - 强调文字颜色 5 3" xfId="55" xr:uid="{00000000-0005-0000-0000-000067000000}"/>
    <cellStyle name="40% - 强调文字颜色 5 4" xfId="56" xr:uid="{00000000-0005-0000-0000-000068000000}"/>
    <cellStyle name="40% - 强调文字颜色 6 2" xfId="57" xr:uid="{00000000-0005-0000-0000-000069000000}"/>
    <cellStyle name="40% - 强调文字颜色 6 3" xfId="58" xr:uid="{00000000-0005-0000-0000-00006A000000}"/>
    <cellStyle name="40% - 强调文字颜色 6 4" xfId="59" xr:uid="{00000000-0005-0000-0000-00006B000000}"/>
    <cellStyle name="60% - 强调文字颜色 1 2" xfId="28" xr:uid="{00000000-0005-0000-0000-00004C000000}"/>
    <cellStyle name="60% - 强调文字颜色 1 3" xfId="60" xr:uid="{00000000-0005-0000-0000-00006C000000}"/>
    <cellStyle name="60% - 强调文字颜色 1 4" xfId="61" xr:uid="{00000000-0005-0000-0000-00006D000000}"/>
    <cellStyle name="60% - 强调文字颜色 2 2" xfId="34" xr:uid="{00000000-0005-0000-0000-000052000000}"/>
    <cellStyle name="60% - 强调文字颜色 2 3" xfId="7" xr:uid="{00000000-0005-0000-0000-000037000000}"/>
    <cellStyle name="60% - 强调文字颜色 2 4" xfId="62" xr:uid="{00000000-0005-0000-0000-00006E000000}"/>
    <cellStyle name="60% - 强调文字颜色 3 2" xfId="38" xr:uid="{00000000-0005-0000-0000-000056000000}"/>
    <cellStyle name="60% - 强调文字颜色 3 3" xfId="64" xr:uid="{00000000-0005-0000-0000-000070000000}"/>
    <cellStyle name="60% - 强调文字颜色 3 4" xfId="65" xr:uid="{00000000-0005-0000-0000-000071000000}"/>
    <cellStyle name="60% - 强调文字颜色 4 2" xfId="42" xr:uid="{00000000-0005-0000-0000-00005A000000}"/>
    <cellStyle name="60% - 强调文字颜色 4 3" xfId="66" xr:uid="{00000000-0005-0000-0000-000072000000}"/>
    <cellStyle name="60% - 强调文字颜色 4 4" xfId="67" xr:uid="{00000000-0005-0000-0000-000073000000}"/>
    <cellStyle name="60% - 强调文字颜色 5 2" xfId="68" xr:uid="{00000000-0005-0000-0000-000074000000}"/>
    <cellStyle name="60% - 强调文字颜色 5 3" xfId="69" xr:uid="{00000000-0005-0000-0000-000075000000}"/>
    <cellStyle name="60% - 强调文字颜色 5 4" xfId="70" xr:uid="{00000000-0005-0000-0000-000076000000}"/>
    <cellStyle name="60% - 强调文字颜色 6 2" xfId="71" xr:uid="{00000000-0005-0000-0000-000077000000}"/>
    <cellStyle name="60% - 强调文字颜色 6 3" xfId="72" xr:uid="{00000000-0005-0000-0000-000078000000}"/>
    <cellStyle name="60% - 强调文字颜色 6 4" xfId="73" xr:uid="{00000000-0005-0000-0000-000079000000}"/>
    <cellStyle name="标题 1 2" xfId="74" xr:uid="{00000000-0005-0000-0000-00007A000000}"/>
    <cellStyle name="标题 1 3" xfId="75" xr:uid="{00000000-0005-0000-0000-00007B000000}"/>
    <cellStyle name="标题 1 4" xfId="76" xr:uid="{00000000-0005-0000-0000-00007C000000}"/>
    <cellStyle name="标题 2 2" xfId="77" xr:uid="{00000000-0005-0000-0000-00007D000000}"/>
    <cellStyle name="标题 2 3" xfId="78" xr:uid="{00000000-0005-0000-0000-00007E000000}"/>
    <cellStyle name="标题 2 4" xfId="79" xr:uid="{00000000-0005-0000-0000-00007F000000}"/>
    <cellStyle name="标题 3 2" xfId="80" xr:uid="{00000000-0005-0000-0000-000080000000}"/>
    <cellStyle name="标题 3 3" xfId="81" xr:uid="{00000000-0005-0000-0000-000081000000}"/>
    <cellStyle name="标题 3 4" xfId="82" xr:uid="{00000000-0005-0000-0000-000082000000}"/>
    <cellStyle name="标题 4 2" xfId="83" xr:uid="{00000000-0005-0000-0000-000083000000}"/>
    <cellStyle name="标题 4 3" xfId="84" xr:uid="{00000000-0005-0000-0000-000084000000}"/>
    <cellStyle name="标题 4 4" xfId="85" xr:uid="{00000000-0005-0000-0000-000085000000}"/>
    <cellStyle name="标题 5" xfId="87" xr:uid="{00000000-0005-0000-0000-000087000000}"/>
    <cellStyle name="标题 6" xfId="88" xr:uid="{00000000-0005-0000-0000-000088000000}"/>
    <cellStyle name="标题 7" xfId="89" xr:uid="{00000000-0005-0000-0000-000089000000}"/>
    <cellStyle name="差 2" xfId="90" xr:uid="{00000000-0005-0000-0000-00008A000000}"/>
    <cellStyle name="差 3" xfId="91" xr:uid="{00000000-0005-0000-0000-00008B000000}"/>
    <cellStyle name="差 4" xfId="92" xr:uid="{00000000-0005-0000-0000-00008C000000}"/>
    <cellStyle name="常规" xfId="0" builtinId="0"/>
    <cellStyle name="常规 10" xfId="93" xr:uid="{00000000-0005-0000-0000-00008D000000}"/>
    <cellStyle name="常规 11" xfId="94" xr:uid="{00000000-0005-0000-0000-00008E000000}"/>
    <cellStyle name="常规 12" xfId="95" xr:uid="{00000000-0005-0000-0000-00008F000000}"/>
    <cellStyle name="常规 13" xfId="96" xr:uid="{00000000-0005-0000-0000-000090000000}"/>
    <cellStyle name="常规 14" xfId="97" xr:uid="{00000000-0005-0000-0000-000091000000}"/>
    <cellStyle name="常规 15" xfId="98" xr:uid="{00000000-0005-0000-0000-000092000000}"/>
    <cellStyle name="常规 16" xfId="100" xr:uid="{00000000-0005-0000-0000-000094000000}"/>
    <cellStyle name="常规 17" xfId="102" xr:uid="{00000000-0005-0000-0000-000096000000}"/>
    <cellStyle name="常规 18" xfId="104" xr:uid="{00000000-0005-0000-0000-000098000000}"/>
    <cellStyle name="常规 19" xfId="106" xr:uid="{00000000-0005-0000-0000-00009A000000}"/>
    <cellStyle name="常规 2" xfId="108" xr:uid="{00000000-0005-0000-0000-00009C000000}"/>
    <cellStyle name="常规 2 2" xfId="109" xr:uid="{00000000-0005-0000-0000-00009D000000}"/>
    <cellStyle name="常规 2 3" xfId="110" xr:uid="{00000000-0005-0000-0000-00009E000000}"/>
    <cellStyle name="常规 20" xfId="99" xr:uid="{00000000-0005-0000-0000-000093000000}"/>
    <cellStyle name="常规 21" xfId="101" xr:uid="{00000000-0005-0000-0000-000095000000}"/>
    <cellStyle name="常规 22" xfId="103" xr:uid="{00000000-0005-0000-0000-000097000000}"/>
    <cellStyle name="常规 23" xfId="105" xr:uid="{00000000-0005-0000-0000-000099000000}"/>
    <cellStyle name="常规 24" xfId="107" xr:uid="{00000000-0005-0000-0000-00009B000000}"/>
    <cellStyle name="常规 25" xfId="111" xr:uid="{00000000-0005-0000-0000-00009F000000}"/>
    <cellStyle name="常规 26" xfId="10" xr:uid="{00000000-0005-0000-0000-00003A000000}"/>
    <cellStyle name="常规 27" xfId="113" xr:uid="{00000000-0005-0000-0000-0000A1000000}"/>
    <cellStyle name="常规 28" xfId="115" xr:uid="{00000000-0005-0000-0000-0000A3000000}"/>
    <cellStyle name="常规 29" xfId="117" xr:uid="{00000000-0005-0000-0000-0000A5000000}"/>
    <cellStyle name="常规 3" xfId="30" xr:uid="{00000000-0005-0000-0000-00004E000000}"/>
    <cellStyle name="常规 3 2" xfId="119" xr:uid="{00000000-0005-0000-0000-0000A7000000}"/>
    <cellStyle name="常规 3 3" xfId="120" xr:uid="{00000000-0005-0000-0000-0000A8000000}"/>
    <cellStyle name="常规 30" xfId="112" xr:uid="{00000000-0005-0000-0000-0000A0000000}"/>
    <cellStyle name="常规 31" xfId="9" xr:uid="{00000000-0005-0000-0000-000039000000}"/>
    <cellStyle name="常规 32" xfId="114" xr:uid="{00000000-0005-0000-0000-0000A2000000}"/>
    <cellStyle name="常规 33" xfId="116" xr:uid="{00000000-0005-0000-0000-0000A4000000}"/>
    <cellStyle name="常规 34" xfId="118" xr:uid="{00000000-0005-0000-0000-0000A6000000}"/>
    <cellStyle name="常规 35" xfId="121" xr:uid="{00000000-0005-0000-0000-0000A9000000}"/>
    <cellStyle name="常规 36" xfId="123" xr:uid="{00000000-0005-0000-0000-0000AB000000}"/>
    <cellStyle name="常规 37" xfId="125" xr:uid="{00000000-0005-0000-0000-0000AD000000}"/>
    <cellStyle name="常规 38" xfId="127" xr:uid="{00000000-0005-0000-0000-0000AF000000}"/>
    <cellStyle name="常规 39" xfId="2" xr:uid="{00000000-0005-0000-0000-000032000000}"/>
    <cellStyle name="常规 4" xfId="32" xr:uid="{00000000-0005-0000-0000-000050000000}"/>
    <cellStyle name="常规 4 2" xfId="129" xr:uid="{00000000-0005-0000-0000-0000B1000000}"/>
    <cellStyle name="常规 40" xfId="122" xr:uid="{00000000-0005-0000-0000-0000AA000000}"/>
    <cellStyle name="常规 41" xfId="124" xr:uid="{00000000-0005-0000-0000-0000AC000000}"/>
    <cellStyle name="常规 42" xfId="126" xr:uid="{00000000-0005-0000-0000-0000AE000000}"/>
    <cellStyle name="常规 43" xfId="128" xr:uid="{00000000-0005-0000-0000-0000B0000000}"/>
    <cellStyle name="常规 44" xfId="1" xr:uid="{00000000-0005-0000-0000-000031000000}"/>
    <cellStyle name="常规 5" xfId="35" xr:uid="{00000000-0005-0000-0000-000053000000}"/>
    <cellStyle name="常规 5 2" xfId="8" xr:uid="{00000000-0005-0000-0000-000038000000}"/>
    <cellStyle name="常规 6" xfId="6" xr:uid="{00000000-0005-0000-0000-000036000000}"/>
    <cellStyle name="常规 7" xfId="63" xr:uid="{00000000-0005-0000-0000-00006F000000}"/>
    <cellStyle name="常规 8" xfId="130" xr:uid="{00000000-0005-0000-0000-0000B2000000}"/>
    <cellStyle name="常规 9" xfId="131" xr:uid="{00000000-0005-0000-0000-0000B3000000}"/>
    <cellStyle name="常规_Sheet1" xfId="132" xr:uid="{00000000-0005-0000-0000-0000B4000000}"/>
    <cellStyle name="常规_Sheet1 2" xfId="133" xr:uid="{00000000-0005-0000-0000-0000B5000000}"/>
    <cellStyle name="常规_分子公司矿山生产定期统计月报表（样表改）(1)" xfId="134" xr:uid="{00000000-0005-0000-0000-0000B6000000}"/>
    <cellStyle name="好 2" xfId="135" xr:uid="{00000000-0005-0000-0000-0000B7000000}"/>
    <cellStyle name="好 3" xfId="136" xr:uid="{00000000-0005-0000-0000-0000B8000000}"/>
    <cellStyle name="好 4" xfId="137" xr:uid="{00000000-0005-0000-0000-0000B9000000}"/>
    <cellStyle name="好 5" xfId="138" xr:uid="{00000000-0005-0000-0000-0000BA000000}"/>
    <cellStyle name="汇总 2" xfId="139" xr:uid="{00000000-0005-0000-0000-0000BB000000}"/>
    <cellStyle name="汇总 3" xfId="140" xr:uid="{00000000-0005-0000-0000-0000BC000000}"/>
    <cellStyle name="汇总 4" xfId="141" xr:uid="{00000000-0005-0000-0000-0000BD000000}"/>
    <cellStyle name="计算 2" xfId="5" xr:uid="{00000000-0005-0000-0000-000035000000}"/>
    <cellStyle name="计算 3" xfId="20" xr:uid="{00000000-0005-0000-0000-000044000000}"/>
    <cellStyle name="计算 4" xfId="21" xr:uid="{00000000-0005-0000-0000-000045000000}"/>
    <cellStyle name="检查单元格 2" xfId="86" xr:uid="{00000000-0005-0000-0000-000086000000}"/>
    <cellStyle name="检查单元格 3" xfId="142" xr:uid="{00000000-0005-0000-0000-0000BE000000}"/>
    <cellStyle name="检查单元格 4" xfId="143" xr:uid="{00000000-0005-0000-0000-0000BF000000}"/>
    <cellStyle name="解释性文本 2" xfId="144" xr:uid="{00000000-0005-0000-0000-0000C0000000}"/>
    <cellStyle name="解释性文本 3" xfId="145" xr:uid="{00000000-0005-0000-0000-0000C1000000}"/>
    <cellStyle name="解释性文本 4" xfId="146" xr:uid="{00000000-0005-0000-0000-0000C2000000}"/>
    <cellStyle name="警告文本 2" xfId="147" xr:uid="{00000000-0005-0000-0000-0000C3000000}"/>
    <cellStyle name="警告文本 3" xfId="148" xr:uid="{00000000-0005-0000-0000-0000C4000000}"/>
    <cellStyle name="警告文本 4" xfId="149" xr:uid="{00000000-0005-0000-0000-0000C5000000}"/>
    <cellStyle name="链接单元格 2" xfId="150" xr:uid="{00000000-0005-0000-0000-0000C6000000}"/>
    <cellStyle name="链接单元格 3" xfId="16" xr:uid="{00000000-0005-0000-0000-000040000000}"/>
    <cellStyle name="链接单元格 4" xfId="17" xr:uid="{00000000-0005-0000-0000-000041000000}"/>
    <cellStyle name="强调文字颜色 1 2" xfId="151" xr:uid="{00000000-0005-0000-0000-0000C7000000}"/>
    <cellStyle name="强调文字颜色 1 3" xfId="152" xr:uid="{00000000-0005-0000-0000-0000C8000000}"/>
    <cellStyle name="强调文字颜色 1 4" xfId="153" xr:uid="{00000000-0005-0000-0000-0000C9000000}"/>
    <cellStyle name="强调文字颜色 2 2" xfId="154" xr:uid="{00000000-0005-0000-0000-0000CA000000}"/>
    <cellStyle name="强调文字颜色 2 3" xfId="155" xr:uid="{00000000-0005-0000-0000-0000CB000000}"/>
    <cellStyle name="强调文字颜色 2 4" xfId="156" xr:uid="{00000000-0005-0000-0000-0000CC000000}"/>
    <cellStyle name="强调文字颜色 3 2" xfId="157" xr:uid="{00000000-0005-0000-0000-0000CD000000}"/>
    <cellStyle name="强调文字颜色 3 3" xfId="158" xr:uid="{00000000-0005-0000-0000-0000CE000000}"/>
    <cellStyle name="强调文字颜色 3 4" xfId="159" xr:uid="{00000000-0005-0000-0000-0000CF000000}"/>
    <cellStyle name="强调文字颜色 4 2" xfId="160" xr:uid="{00000000-0005-0000-0000-0000D0000000}"/>
    <cellStyle name="强调文字颜色 4 3" xfId="161" xr:uid="{00000000-0005-0000-0000-0000D1000000}"/>
    <cellStyle name="强调文字颜色 4 4" xfId="162" xr:uid="{00000000-0005-0000-0000-0000D2000000}"/>
    <cellStyle name="强调文字颜色 5 2" xfId="163" xr:uid="{00000000-0005-0000-0000-0000D3000000}"/>
    <cellStyle name="强调文字颜色 5 3" xfId="164" xr:uid="{00000000-0005-0000-0000-0000D4000000}"/>
    <cellStyle name="强调文字颜色 5 4" xfId="165" xr:uid="{00000000-0005-0000-0000-0000D5000000}"/>
    <cellStyle name="强调文字颜色 6 2" xfId="166" xr:uid="{00000000-0005-0000-0000-0000D6000000}"/>
    <cellStyle name="强调文字颜色 6 3" xfId="167" xr:uid="{00000000-0005-0000-0000-0000D7000000}"/>
    <cellStyle name="强调文字颜色 6 4" xfId="168" xr:uid="{00000000-0005-0000-0000-0000D8000000}"/>
    <cellStyle name="适中 2" xfId="22" xr:uid="{00000000-0005-0000-0000-000046000000}"/>
    <cellStyle name="适中 3" xfId="169" xr:uid="{00000000-0005-0000-0000-0000D9000000}"/>
    <cellStyle name="适中 4" xfId="170" xr:uid="{00000000-0005-0000-0000-0000DA000000}"/>
    <cellStyle name="输出 2" xfId="18" xr:uid="{00000000-0005-0000-0000-000042000000}"/>
    <cellStyle name="输出 3" xfId="3" xr:uid="{00000000-0005-0000-0000-000033000000}"/>
    <cellStyle name="输出 4" xfId="19" xr:uid="{00000000-0005-0000-0000-000043000000}"/>
    <cellStyle name="输入 2" xfId="171" xr:uid="{00000000-0005-0000-0000-0000DB000000}"/>
    <cellStyle name="输入 3" xfId="172" xr:uid="{00000000-0005-0000-0000-0000DC000000}"/>
    <cellStyle name="输入 4" xfId="173" xr:uid="{00000000-0005-0000-0000-0000DD000000}"/>
    <cellStyle name="注释 2" xfId="174" xr:uid="{00000000-0005-0000-0000-0000DE000000}"/>
    <cellStyle name="注释 3" xfId="175" xr:uid="{00000000-0005-0000-0000-0000DF000000}"/>
    <cellStyle name="注释 4" xfId="176" xr:uid="{00000000-0005-0000-0000-0000E0000000}"/>
  </cellStyles>
  <dxfs count="0"/>
  <tableStyles count="0" defaultTableStyle="TableStyleMedium2" defaultPivotStyle="PivotStyleLight16"/>
  <colors>
    <mruColors>
      <color rgb="FF3333FF"/>
      <color rgb="FFEA8E28"/>
      <color rgb="FF996633"/>
      <color rgb="FFFF00FF"/>
      <color rgb="FFDAD638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152400</xdr:colOff>
      <xdr:row>1</xdr:row>
      <xdr:rowOff>9525</xdr:rowOff>
    </xdr:from>
    <xdr:to>
      <xdr:col>26</xdr:col>
      <xdr:colOff>1</xdr:colOff>
      <xdr:row>2</xdr:row>
      <xdr:rowOff>135255</xdr:rowOff>
    </xdr:to>
    <xdr:sp macro="" textlink="">
      <xdr:nvSpPr>
        <xdr:cNvPr id="26625" name="Text Box 7">
          <a:extLst>
            <a:ext uri="{FF2B5EF4-FFF2-40B4-BE49-F238E27FC236}">
              <a16:creationId xmlns:a16="http://schemas.microsoft.com/office/drawing/2014/main" id="{00000000-0008-0000-0A00-000001680000}"/>
            </a:ext>
          </a:extLst>
        </xdr:cNvPr>
        <xdr:cNvSpPr txBox="1">
          <a:spLocks noChangeArrowheads="1"/>
        </xdr:cNvSpPr>
      </xdr:nvSpPr>
      <xdr:spPr>
        <a:xfrm>
          <a:off x="8534400" y="645795"/>
          <a:ext cx="247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25</xdr:col>
      <xdr:colOff>28575</xdr:colOff>
      <xdr:row>2</xdr:row>
      <xdr:rowOff>209550</xdr:rowOff>
    </xdr:from>
    <xdr:to>
      <xdr:col>25</xdr:col>
      <xdr:colOff>249555</xdr:colOff>
      <xdr:row>4</xdr:row>
      <xdr:rowOff>15240</xdr:rowOff>
    </xdr:to>
    <xdr:sp macro="" textlink="">
      <xdr:nvSpPr>
        <xdr:cNvPr id="26626" name="Text Box 8">
          <a:extLst>
            <a:ext uri="{FF2B5EF4-FFF2-40B4-BE49-F238E27FC236}">
              <a16:creationId xmlns:a16="http://schemas.microsoft.com/office/drawing/2014/main" id="{00000000-0008-0000-0A00-000002680000}"/>
            </a:ext>
          </a:extLst>
        </xdr:cNvPr>
        <xdr:cNvSpPr txBox="1">
          <a:spLocks noChangeArrowheads="1"/>
        </xdr:cNvSpPr>
      </xdr:nvSpPr>
      <xdr:spPr>
        <a:xfrm>
          <a:off x="8410575" y="1101090"/>
          <a:ext cx="228600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25</xdr:col>
      <xdr:colOff>142875</xdr:colOff>
      <xdr:row>8</xdr:row>
      <xdr:rowOff>66675</xdr:rowOff>
    </xdr:from>
    <xdr:to>
      <xdr:col>26</xdr:col>
      <xdr:colOff>15876</xdr:colOff>
      <xdr:row>9</xdr:row>
      <xdr:rowOff>190500</xdr:rowOff>
    </xdr:to>
    <xdr:sp macro="" textlink="">
      <xdr:nvSpPr>
        <xdr:cNvPr id="26627" name="Text Box 9">
          <a:extLst>
            <a:ext uri="{FF2B5EF4-FFF2-40B4-BE49-F238E27FC236}">
              <a16:creationId xmlns:a16="http://schemas.microsoft.com/office/drawing/2014/main" id="{00000000-0008-0000-0A00-000003680000}"/>
            </a:ext>
          </a:extLst>
        </xdr:cNvPr>
        <xdr:cNvSpPr txBox="1">
          <a:spLocks noChangeArrowheads="1"/>
        </xdr:cNvSpPr>
      </xdr:nvSpPr>
      <xdr:spPr>
        <a:xfrm>
          <a:off x="8524875" y="1953260"/>
          <a:ext cx="247650" cy="379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25</xdr:col>
      <xdr:colOff>28575</xdr:colOff>
      <xdr:row>9</xdr:row>
      <xdr:rowOff>209550</xdr:rowOff>
    </xdr:from>
    <xdr:to>
      <xdr:col>25</xdr:col>
      <xdr:colOff>249555</xdr:colOff>
      <xdr:row>14</xdr:row>
      <xdr:rowOff>15240</xdr:rowOff>
    </xdr:to>
    <xdr:sp macro="" textlink="">
      <xdr:nvSpPr>
        <xdr:cNvPr id="26628" name="Text Box 10">
          <a:extLst>
            <a:ext uri="{FF2B5EF4-FFF2-40B4-BE49-F238E27FC236}">
              <a16:creationId xmlns:a16="http://schemas.microsoft.com/office/drawing/2014/main" id="{00000000-0008-0000-0A00-000004680000}"/>
            </a:ext>
          </a:extLst>
        </xdr:cNvPr>
        <xdr:cNvSpPr txBox="1">
          <a:spLocks noChangeArrowheads="1"/>
        </xdr:cNvSpPr>
      </xdr:nvSpPr>
      <xdr:spPr>
        <a:xfrm>
          <a:off x="8410575" y="2351405"/>
          <a:ext cx="22860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10</xdr:col>
      <xdr:colOff>142875</xdr:colOff>
      <xdr:row>1</xdr:row>
      <xdr:rowOff>66675</xdr:rowOff>
    </xdr:from>
    <xdr:to>
      <xdr:col>11</xdr:col>
      <xdr:colOff>3599</xdr:colOff>
      <xdr:row>2</xdr:row>
      <xdr:rowOff>190500</xdr:rowOff>
    </xdr:to>
    <xdr:sp macro="" textlink="">
      <xdr:nvSpPr>
        <xdr:cNvPr id="26629" name="Text Box 11">
          <a:extLst>
            <a:ext uri="{FF2B5EF4-FFF2-40B4-BE49-F238E27FC236}">
              <a16:creationId xmlns:a16="http://schemas.microsoft.com/office/drawing/2014/main" id="{00000000-0008-0000-0A00-000005680000}"/>
            </a:ext>
          </a:extLst>
        </xdr:cNvPr>
        <xdr:cNvSpPr txBox="1">
          <a:spLocks noChangeArrowheads="1"/>
        </xdr:cNvSpPr>
      </xdr:nvSpPr>
      <xdr:spPr>
        <a:xfrm>
          <a:off x="5153025" y="702945"/>
          <a:ext cx="247650" cy="379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10</xdr:col>
      <xdr:colOff>28575</xdr:colOff>
      <xdr:row>2</xdr:row>
      <xdr:rowOff>209550</xdr:rowOff>
    </xdr:from>
    <xdr:to>
      <xdr:col>10</xdr:col>
      <xdr:colOff>249555</xdr:colOff>
      <xdr:row>4</xdr:row>
      <xdr:rowOff>15240</xdr:rowOff>
    </xdr:to>
    <xdr:sp macro="" textlink="">
      <xdr:nvSpPr>
        <xdr:cNvPr id="26630" name="Text Box 12">
          <a:extLst>
            <a:ext uri="{FF2B5EF4-FFF2-40B4-BE49-F238E27FC236}">
              <a16:creationId xmlns:a16="http://schemas.microsoft.com/office/drawing/2014/main" id="{00000000-0008-0000-0A00-000006680000}"/>
            </a:ext>
          </a:extLst>
        </xdr:cNvPr>
        <xdr:cNvSpPr txBox="1">
          <a:spLocks noChangeArrowheads="1"/>
        </xdr:cNvSpPr>
      </xdr:nvSpPr>
      <xdr:spPr>
        <a:xfrm>
          <a:off x="5038725" y="1101090"/>
          <a:ext cx="228600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10</xdr:col>
      <xdr:colOff>142875</xdr:colOff>
      <xdr:row>8</xdr:row>
      <xdr:rowOff>66675</xdr:rowOff>
    </xdr:from>
    <xdr:to>
      <xdr:col>11</xdr:col>
      <xdr:colOff>3599</xdr:colOff>
      <xdr:row>9</xdr:row>
      <xdr:rowOff>190500</xdr:rowOff>
    </xdr:to>
    <xdr:sp macro="" textlink="">
      <xdr:nvSpPr>
        <xdr:cNvPr id="26631" name="Text Box 13">
          <a:extLst>
            <a:ext uri="{FF2B5EF4-FFF2-40B4-BE49-F238E27FC236}">
              <a16:creationId xmlns:a16="http://schemas.microsoft.com/office/drawing/2014/main" id="{00000000-0008-0000-0A00-000007680000}"/>
            </a:ext>
          </a:extLst>
        </xdr:cNvPr>
        <xdr:cNvSpPr txBox="1">
          <a:spLocks noChangeArrowheads="1"/>
        </xdr:cNvSpPr>
      </xdr:nvSpPr>
      <xdr:spPr>
        <a:xfrm>
          <a:off x="5153025" y="1953260"/>
          <a:ext cx="247650" cy="379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10</xdr:col>
      <xdr:colOff>28575</xdr:colOff>
      <xdr:row>9</xdr:row>
      <xdr:rowOff>209550</xdr:rowOff>
    </xdr:from>
    <xdr:to>
      <xdr:col>10</xdr:col>
      <xdr:colOff>249555</xdr:colOff>
      <xdr:row>14</xdr:row>
      <xdr:rowOff>15240</xdr:rowOff>
    </xdr:to>
    <xdr:sp macro="" textlink="">
      <xdr:nvSpPr>
        <xdr:cNvPr id="26632" name="Text Box 14">
          <a:extLst>
            <a:ext uri="{FF2B5EF4-FFF2-40B4-BE49-F238E27FC236}">
              <a16:creationId xmlns:a16="http://schemas.microsoft.com/office/drawing/2014/main" id="{00000000-0008-0000-0A00-000008680000}"/>
            </a:ext>
          </a:extLst>
        </xdr:cNvPr>
        <xdr:cNvSpPr txBox="1">
          <a:spLocks noChangeArrowheads="1"/>
        </xdr:cNvSpPr>
      </xdr:nvSpPr>
      <xdr:spPr>
        <a:xfrm>
          <a:off x="5038725" y="2351405"/>
          <a:ext cx="22860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0</xdr:col>
      <xdr:colOff>114300</xdr:colOff>
      <xdr:row>1</xdr:row>
      <xdr:rowOff>76200</xdr:rowOff>
    </xdr:from>
    <xdr:to>
      <xdr:col>0</xdr:col>
      <xdr:colOff>320040</xdr:colOff>
      <xdr:row>2</xdr:row>
      <xdr:rowOff>209550</xdr:rowOff>
    </xdr:to>
    <xdr:sp macro="" textlink="">
      <xdr:nvSpPr>
        <xdr:cNvPr id="26633" name="Text Box 15">
          <a:extLst>
            <a:ext uri="{FF2B5EF4-FFF2-40B4-BE49-F238E27FC236}">
              <a16:creationId xmlns:a16="http://schemas.microsoft.com/office/drawing/2014/main" id="{00000000-0008-0000-0A00-000009680000}"/>
            </a:ext>
          </a:extLst>
        </xdr:cNvPr>
        <xdr:cNvSpPr txBox="1">
          <a:spLocks noChangeArrowheads="1"/>
        </xdr:cNvSpPr>
      </xdr:nvSpPr>
      <xdr:spPr>
        <a:xfrm>
          <a:off x="114300" y="712470"/>
          <a:ext cx="247650" cy="379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0</xdr:col>
      <xdr:colOff>28575</xdr:colOff>
      <xdr:row>2</xdr:row>
      <xdr:rowOff>209550</xdr:rowOff>
    </xdr:from>
    <xdr:to>
      <xdr:col>0</xdr:col>
      <xdr:colOff>249555</xdr:colOff>
      <xdr:row>4</xdr:row>
      <xdr:rowOff>15240</xdr:rowOff>
    </xdr:to>
    <xdr:sp macro="" textlink="">
      <xdr:nvSpPr>
        <xdr:cNvPr id="26634" name="Text Box 16">
          <a:extLst>
            <a:ext uri="{FF2B5EF4-FFF2-40B4-BE49-F238E27FC236}">
              <a16:creationId xmlns:a16="http://schemas.microsoft.com/office/drawing/2014/main" id="{00000000-0008-0000-0A00-00000A680000}"/>
            </a:ext>
          </a:extLst>
        </xdr:cNvPr>
        <xdr:cNvSpPr txBox="1">
          <a:spLocks noChangeArrowheads="1"/>
        </xdr:cNvSpPr>
      </xdr:nvSpPr>
      <xdr:spPr>
        <a:xfrm>
          <a:off x="28575" y="1101090"/>
          <a:ext cx="228600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0</xdr:col>
      <xdr:colOff>142875</xdr:colOff>
      <xdr:row>8</xdr:row>
      <xdr:rowOff>66675</xdr:rowOff>
    </xdr:from>
    <xdr:to>
      <xdr:col>0</xdr:col>
      <xdr:colOff>361950</xdr:colOff>
      <xdr:row>9</xdr:row>
      <xdr:rowOff>190500</xdr:rowOff>
    </xdr:to>
    <xdr:sp macro="" textlink="">
      <xdr:nvSpPr>
        <xdr:cNvPr id="26635" name="Text Box 17">
          <a:extLst>
            <a:ext uri="{FF2B5EF4-FFF2-40B4-BE49-F238E27FC236}">
              <a16:creationId xmlns:a16="http://schemas.microsoft.com/office/drawing/2014/main" id="{00000000-0008-0000-0A00-00000B680000}"/>
            </a:ext>
          </a:extLst>
        </xdr:cNvPr>
        <xdr:cNvSpPr txBox="1">
          <a:spLocks noChangeArrowheads="1"/>
        </xdr:cNvSpPr>
      </xdr:nvSpPr>
      <xdr:spPr>
        <a:xfrm>
          <a:off x="142875" y="1953260"/>
          <a:ext cx="247650" cy="379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0</xdr:col>
      <xdr:colOff>28575</xdr:colOff>
      <xdr:row>9</xdr:row>
      <xdr:rowOff>209550</xdr:rowOff>
    </xdr:from>
    <xdr:to>
      <xdr:col>0</xdr:col>
      <xdr:colOff>249555</xdr:colOff>
      <xdr:row>14</xdr:row>
      <xdr:rowOff>15240</xdr:rowOff>
    </xdr:to>
    <xdr:sp macro="" textlink="">
      <xdr:nvSpPr>
        <xdr:cNvPr id="26636" name="Text Box 18">
          <a:extLst>
            <a:ext uri="{FF2B5EF4-FFF2-40B4-BE49-F238E27FC236}">
              <a16:creationId xmlns:a16="http://schemas.microsoft.com/office/drawing/2014/main" id="{00000000-0008-0000-0A00-00000C680000}"/>
            </a:ext>
          </a:extLst>
        </xdr:cNvPr>
        <xdr:cNvSpPr txBox="1">
          <a:spLocks noChangeArrowheads="1"/>
        </xdr:cNvSpPr>
      </xdr:nvSpPr>
      <xdr:spPr>
        <a:xfrm>
          <a:off x="28575" y="2351405"/>
          <a:ext cx="22860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10</xdr:col>
      <xdr:colOff>142875</xdr:colOff>
      <xdr:row>8</xdr:row>
      <xdr:rowOff>66675</xdr:rowOff>
    </xdr:from>
    <xdr:to>
      <xdr:col>11</xdr:col>
      <xdr:colOff>3599</xdr:colOff>
      <xdr:row>9</xdr:row>
      <xdr:rowOff>190500</xdr:rowOff>
    </xdr:to>
    <xdr:sp macro="" textlink="">
      <xdr:nvSpPr>
        <xdr:cNvPr id="26637" name="Text Box 19">
          <a:extLst>
            <a:ext uri="{FF2B5EF4-FFF2-40B4-BE49-F238E27FC236}">
              <a16:creationId xmlns:a16="http://schemas.microsoft.com/office/drawing/2014/main" id="{00000000-0008-0000-0A00-00000D680000}"/>
            </a:ext>
          </a:extLst>
        </xdr:cNvPr>
        <xdr:cNvSpPr txBox="1">
          <a:spLocks noChangeArrowheads="1"/>
        </xdr:cNvSpPr>
      </xdr:nvSpPr>
      <xdr:spPr>
        <a:xfrm>
          <a:off x="5153025" y="1953260"/>
          <a:ext cx="247650" cy="379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25</xdr:col>
      <xdr:colOff>142875</xdr:colOff>
      <xdr:row>8</xdr:row>
      <xdr:rowOff>66675</xdr:rowOff>
    </xdr:from>
    <xdr:to>
      <xdr:col>26</xdr:col>
      <xdr:colOff>15876</xdr:colOff>
      <xdr:row>9</xdr:row>
      <xdr:rowOff>190500</xdr:rowOff>
    </xdr:to>
    <xdr:sp macro="" textlink="">
      <xdr:nvSpPr>
        <xdr:cNvPr id="26638" name="Text Box 20">
          <a:extLst>
            <a:ext uri="{FF2B5EF4-FFF2-40B4-BE49-F238E27FC236}">
              <a16:creationId xmlns:a16="http://schemas.microsoft.com/office/drawing/2014/main" id="{00000000-0008-0000-0A00-00000E680000}"/>
            </a:ext>
          </a:extLst>
        </xdr:cNvPr>
        <xdr:cNvSpPr txBox="1">
          <a:spLocks noChangeArrowheads="1"/>
        </xdr:cNvSpPr>
      </xdr:nvSpPr>
      <xdr:spPr>
        <a:xfrm>
          <a:off x="8524875" y="1953260"/>
          <a:ext cx="247650" cy="379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25</xdr:col>
      <xdr:colOff>142875</xdr:colOff>
      <xdr:row>25</xdr:row>
      <xdr:rowOff>66675</xdr:rowOff>
    </xdr:from>
    <xdr:to>
      <xdr:col>26</xdr:col>
      <xdr:colOff>15876</xdr:colOff>
      <xdr:row>26</xdr:row>
      <xdr:rowOff>97154</xdr:rowOff>
    </xdr:to>
    <xdr:sp macro="" textlink="">
      <xdr:nvSpPr>
        <xdr:cNvPr id="26639" name="Text Box 21">
          <a:extLst>
            <a:ext uri="{FF2B5EF4-FFF2-40B4-BE49-F238E27FC236}">
              <a16:creationId xmlns:a16="http://schemas.microsoft.com/office/drawing/2014/main" id="{00000000-0008-0000-0A00-00000F680000}"/>
            </a:ext>
          </a:extLst>
        </xdr:cNvPr>
        <xdr:cNvSpPr txBox="1">
          <a:spLocks noChangeArrowheads="1"/>
        </xdr:cNvSpPr>
      </xdr:nvSpPr>
      <xdr:spPr>
        <a:xfrm>
          <a:off x="8524875" y="5140325"/>
          <a:ext cx="2476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25</xdr:col>
      <xdr:colOff>28575</xdr:colOff>
      <xdr:row>26</xdr:row>
      <xdr:rowOff>209550</xdr:rowOff>
    </xdr:from>
    <xdr:to>
      <xdr:col>25</xdr:col>
      <xdr:colOff>249555</xdr:colOff>
      <xdr:row>28</xdr:row>
      <xdr:rowOff>152400</xdr:rowOff>
    </xdr:to>
    <xdr:sp macro="" textlink="">
      <xdr:nvSpPr>
        <xdr:cNvPr id="26640" name="Text Box 22">
          <a:extLst>
            <a:ext uri="{FF2B5EF4-FFF2-40B4-BE49-F238E27FC236}">
              <a16:creationId xmlns:a16="http://schemas.microsoft.com/office/drawing/2014/main" id="{00000000-0008-0000-0A00-000010680000}"/>
            </a:ext>
          </a:extLst>
        </xdr:cNvPr>
        <xdr:cNvSpPr txBox="1">
          <a:spLocks noChangeArrowheads="1"/>
        </xdr:cNvSpPr>
      </xdr:nvSpPr>
      <xdr:spPr>
        <a:xfrm>
          <a:off x="8410575" y="5607050"/>
          <a:ext cx="2286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10</xdr:col>
      <xdr:colOff>142875</xdr:colOff>
      <xdr:row>25</xdr:row>
      <xdr:rowOff>66675</xdr:rowOff>
    </xdr:from>
    <xdr:to>
      <xdr:col>11</xdr:col>
      <xdr:colOff>3599</xdr:colOff>
      <xdr:row>26</xdr:row>
      <xdr:rowOff>97154</xdr:rowOff>
    </xdr:to>
    <xdr:sp macro="" textlink="">
      <xdr:nvSpPr>
        <xdr:cNvPr id="26641" name="Text Box 23">
          <a:extLst>
            <a:ext uri="{FF2B5EF4-FFF2-40B4-BE49-F238E27FC236}">
              <a16:creationId xmlns:a16="http://schemas.microsoft.com/office/drawing/2014/main" id="{00000000-0008-0000-0A00-000011680000}"/>
            </a:ext>
          </a:extLst>
        </xdr:cNvPr>
        <xdr:cNvSpPr txBox="1">
          <a:spLocks noChangeArrowheads="1"/>
        </xdr:cNvSpPr>
      </xdr:nvSpPr>
      <xdr:spPr>
        <a:xfrm>
          <a:off x="5153025" y="5140325"/>
          <a:ext cx="2476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10</xdr:col>
      <xdr:colOff>28575</xdr:colOff>
      <xdr:row>26</xdr:row>
      <xdr:rowOff>209550</xdr:rowOff>
    </xdr:from>
    <xdr:to>
      <xdr:col>10</xdr:col>
      <xdr:colOff>249555</xdr:colOff>
      <xdr:row>28</xdr:row>
      <xdr:rowOff>152400</xdr:rowOff>
    </xdr:to>
    <xdr:sp macro="" textlink="">
      <xdr:nvSpPr>
        <xdr:cNvPr id="26642" name="Text Box 24">
          <a:extLst>
            <a:ext uri="{FF2B5EF4-FFF2-40B4-BE49-F238E27FC236}">
              <a16:creationId xmlns:a16="http://schemas.microsoft.com/office/drawing/2014/main" id="{00000000-0008-0000-0A00-000012680000}"/>
            </a:ext>
          </a:extLst>
        </xdr:cNvPr>
        <xdr:cNvSpPr txBox="1">
          <a:spLocks noChangeArrowheads="1"/>
        </xdr:cNvSpPr>
      </xdr:nvSpPr>
      <xdr:spPr>
        <a:xfrm>
          <a:off x="5038725" y="5607050"/>
          <a:ext cx="2286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0</xdr:col>
      <xdr:colOff>142875</xdr:colOff>
      <xdr:row>25</xdr:row>
      <xdr:rowOff>66675</xdr:rowOff>
    </xdr:from>
    <xdr:to>
      <xdr:col>0</xdr:col>
      <xdr:colOff>361950</xdr:colOff>
      <xdr:row>26</xdr:row>
      <xdr:rowOff>97154</xdr:rowOff>
    </xdr:to>
    <xdr:sp macro="" textlink="">
      <xdr:nvSpPr>
        <xdr:cNvPr id="26643" name="Text Box 25">
          <a:extLst>
            <a:ext uri="{FF2B5EF4-FFF2-40B4-BE49-F238E27FC236}">
              <a16:creationId xmlns:a16="http://schemas.microsoft.com/office/drawing/2014/main" id="{00000000-0008-0000-0A00-000013680000}"/>
            </a:ext>
          </a:extLst>
        </xdr:cNvPr>
        <xdr:cNvSpPr txBox="1">
          <a:spLocks noChangeArrowheads="1"/>
        </xdr:cNvSpPr>
      </xdr:nvSpPr>
      <xdr:spPr>
        <a:xfrm>
          <a:off x="142875" y="5140325"/>
          <a:ext cx="2476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0</xdr:col>
      <xdr:colOff>28575</xdr:colOff>
      <xdr:row>26</xdr:row>
      <xdr:rowOff>209550</xdr:rowOff>
    </xdr:from>
    <xdr:to>
      <xdr:col>0</xdr:col>
      <xdr:colOff>249555</xdr:colOff>
      <xdr:row>28</xdr:row>
      <xdr:rowOff>152400</xdr:rowOff>
    </xdr:to>
    <xdr:sp macro="" textlink="">
      <xdr:nvSpPr>
        <xdr:cNvPr id="26644" name="Text Box 26">
          <a:extLst>
            <a:ext uri="{FF2B5EF4-FFF2-40B4-BE49-F238E27FC236}">
              <a16:creationId xmlns:a16="http://schemas.microsoft.com/office/drawing/2014/main" id="{00000000-0008-0000-0A00-000014680000}"/>
            </a:ext>
          </a:extLst>
        </xdr:cNvPr>
        <xdr:cNvSpPr txBox="1">
          <a:spLocks noChangeArrowheads="1"/>
        </xdr:cNvSpPr>
      </xdr:nvSpPr>
      <xdr:spPr>
        <a:xfrm>
          <a:off x="28575" y="5607050"/>
          <a:ext cx="2286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10</xdr:col>
      <xdr:colOff>142875</xdr:colOff>
      <xdr:row>25</xdr:row>
      <xdr:rowOff>66675</xdr:rowOff>
    </xdr:from>
    <xdr:to>
      <xdr:col>11</xdr:col>
      <xdr:colOff>3599</xdr:colOff>
      <xdr:row>26</xdr:row>
      <xdr:rowOff>97154</xdr:rowOff>
    </xdr:to>
    <xdr:sp macro="" textlink="">
      <xdr:nvSpPr>
        <xdr:cNvPr id="26645" name="Text Box 27">
          <a:extLst>
            <a:ext uri="{FF2B5EF4-FFF2-40B4-BE49-F238E27FC236}">
              <a16:creationId xmlns:a16="http://schemas.microsoft.com/office/drawing/2014/main" id="{00000000-0008-0000-0A00-000015680000}"/>
            </a:ext>
          </a:extLst>
        </xdr:cNvPr>
        <xdr:cNvSpPr txBox="1">
          <a:spLocks noChangeArrowheads="1"/>
        </xdr:cNvSpPr>
      </xdr:nvSpPr>
      <xdr:spPr>
        <a:xfrm>
          <a:off x="5153025" y="5140325"/>
          <a:ext cx="2476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25</xdr:col>
      <xdr:colOff>142875</xdr:colOff>
      <xdr:row>25</xdr:row>
      <xdr:rowOff>66675</xdr:rowOff>
    </xdr:from>
    <xdr:to>
      <xdr:col>26</xdr:col>
      <xdr:colOff>15876</xdr:colOff>
      <xdr:row>26</xdr:row>
      <xdr:rowOff>97154</xdr:rowOff>
    </xdr:to>
    <xdr:sp macro="" textlink="">
      <xdr:nvSpPr>
        <xdr:cNvPr id="26646" name="Text Box 28">
          <a:extLst>
            <a:ext uri="{FF2B5EF4-FFF2-40B4-BE49-F238E27FC236}">
              <a16:creationId xmlns:a16="http://schemas.microsoft.com/office/drawing/2014/main" id="{00000000-0008-0000-0A00-000016680000}"/>
            </a:ext>
          </a:extLst>
        </xdr:cNvPr>
        <xdr:cNvSpPr txBox="1">
          <a:spLocks noChangeArrowheads="1"/>
        </xdr:cNvSpPr>
      </xdr:nvSpPr>
      <xdr:spPr>
        <a:xfrm>
          <a:off x="8524875" y="5140325"/>
          <a:ext cx="2476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152400</xdr:colOff>
      <xdr:row>1</xdr:row>
      <xdr:rowOff>9525</xdr:rowOff>
    </xdr:from>
    <xdr:to>
      <xdr:col>26</xdr:col>
      <xdr:colOff>0</xdr:colOff>
      <xdr:row>2</xdr:row>
      <xdr:rowOff>142875</xdr:rowOff>
    </xdr:to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>
          <a:spLocks noChangeArrowheads="1"/>
        </xdr:cNvSpPr>
      </xdr:nvSpPr>
      <xdr:spPr>
        <a:xfrm>
          <a:off x="15011400" y="645795"/>
          <a:ext cx="247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25</xdr:col>
      <xdr:colOff>28575</xdr:colOff>
      <xdr:row>2</xdr:row>
      <xdr:rowOff>209550</xdr:rowOff>
    </xdr:from>
    <xdr:to>
      <xdr:col>25</xdr:col>
      <xdr:colOff>257175</xdr:colOff>
      <xdr:row>4</xdr:row>
      <xdr:rowOff>19050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>
          <a:spLocks noChangeArrowheads="1"/>
        </xdr:cNvSpPr>
      </xdr:nvSpPr>
      <xdr:spPr>
        <a:xfrm>
          <a:off x="14887575" y="1101090"/>
          <a:ext cx="228600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25</xdr:col>
      <xdr:colOff>142875</xdr:colOff>
      <xdr:row>8</xdr:row>
      <xdr:rowOff>66675</xdr:rowOff>
    </xdr:from>
    <xdr:to>
      <xdr:col>25</xdr:col>
      <xdr:colOff>390525</xdr:colOff>
      <xdr:row>9</xdr:row>
      <xdr:rowOff>190500</xdr:rowOff>
    </xdr:to>
    <xdr:sp macro="" textlink="">
      <xdr:nvSpPr>
        <xdr:cNvPr id="4" name="Text Box 9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>
          <a:spLocks noChangeArrowheads="1"/>
        </xdr:cNvSpPr>
      </xdr:nvSpPr>
      <xdr:spPr>
        <a:xfrm>
          <a:off x="15001875" y="2804160"/>
          <a:ext cx="247650" cy="379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25</xdr:col>
      <xdr:colOff>28575</xdr:colOff>
      <xdr:row>9</xdr:row>
      <xdr:rowOff>209550</xdr:rowOff>
    </xdr:from>
    <xdr:to>
      <xdr:col>25</xdr:col>
      <xdr:colOff>257175</xdr:colOff>
      <xdr:row>11</xdr:row>
      <xdr:rowOff>19050</xdr:rowOff>
    </xdr:to>
    <xdr:sp macro="" textlink="">
      <xdr:nvSpPr>
        <xdr:cNvPr id="5" name="Text Box 10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>
          <a:spLocks noChangeArrowheads="1"/>
        </xdr:cNvSpPr>
      </xdr:nvSpPr>
      <xdr:spPr>
        <a:xfrm>
          <a:off x="14887575" y="3202305"/>
          <a:ext cx="22860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10</xdr:col>
      <xdr:colOff>142875</xdr:colOff>
      <xdr:row>1</xdr:row>
      <xdr:rowOff>66675</xdr:rowOff>
    </xdr:from>
    <xdr:to>
      <xdr:col>10</xdr:col>
      <xdr:colOff>390525</xdr:colOff>
      <xdr:row>2</xdr:row>
      <xdr:rowOff>190500</xdr:rowOff>
    </xdr:to>
    <xdr:sp macro="" textlink="">
      <xdr:nvSpPr>
        <xdr:cNvPr id="6" name="Text Box 11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 txBox="1">
          <a:spLocks noChangeArrowheads="1"/>
        </xdr:cNvSpPr>
      </xdr:nvSpPr>
      <xdr:spPr>
        <a:xfrm>
          <a:off x="6334125" y="702945"/>
          <a:ext cx="247650" cy="379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10</xdr:col>
      <xdr:colOff>28575</xdr:colOff>
      <xdr:row>2</xdr:row>
      <xdr:rowOff>209550</xdr:rowOff>
    </xdr:from>
    <xdr:to>
      <xdr:col>10</xdr:col>
      <xdr:colOff>257175</xdr:colOff>
      <xdr:row>4</xdr:row>
      <xdr:rowOff>19050</xdr:rowOff>
    </xdr:to>
    <xdr:sp macro="" textlink="">
      <xdr:nvSpPr>
        <xdr:cNvPr id="7" name="Text Box 12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>
          <a:spLocks noChangeArrowheads="1"/>
        </xdr:cNvSpPr>
      </xdr:nvSpPr>
      <xdr:spPr>
        <a:xfrm>
          <a:off x="6219825" y="1101090"/>
          <a:ext cx="228600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10</xdr:col>
      <xdr:colOff>142875</xdr:colOff>
      <xdr:row>8</xdr:row>
      <xdr:rowOff>66675</xdr:rowOff>
    </xdr:from>
    <xdr:to>
      <xdr:col>10</xdr:col>
      <xdr:colOff>390525</xdr:colOff>
      <xdr:row>9</xdr:row>
      <xdr:rowOff>190500</xdr:rowOff>
    </xdr:to>
    <xdr:sp macro="" textlink="">
      <xdr:nvSpPr>
        <xdr:cNvPr id="8" name="Text Box 13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>
          <a:spLocks noChangeArrowheads="1"/>
        </xdr:cNvSpPr>
      </xdr:nvSpPr>
      <xdr:spPr>
        <a:xfrm>
          <a:off x="6334125" y="2804160"/>
          <a:ext cx="247650" cy="379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10</xdr:col>
      <xdr:colOff>28575</xdr:colOff>
      <xdr:row>9</xdr:row>
      <xdr:rowOff>209550</xdr:rowOff>
    </xdr:from>
    <xdr:to>
      <xdr:col>10</xdr:col>
      <xdr:colOff>257175</xdr:colOff>
      <xdr:row>11</xdr:row>
      <xdr:rowOff>19050</xdr:rowOff>
    </xdr:to>
    <xdr:sp macro="" textlink="">
      <xdr:nvSpPr>
        <xdr:cNvPr id="9" name="Text Box 14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>
          <a:spLocks noChangeArrowheads="1"/>
        </xdr:cNvSpPr>
      </xdr:nvSpPr>
      <xdr:spPr>
        <a:xfrm>
          <a:off x="6219825" y="3202305"/>
          <a:ext cx="22860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0</xdr:col>
      <xdr:colOff>114300</xdr:colOff>
      <xdr:row>1</xdr:row>
      <xdr:rowOff>76200</xdr:rowOff>
    </xdr:from>
    <xdr:to>
      <xdr:col>1</xdr:col>
      <xdr:colOff>19050</xdr:colOff>
      <xdr:row>2</xdr:row>
      <xdr:rowOff>200025</xdr:rowOff>
    </xdr:to>
    <xdr:sp macro="" textlink="">
      <xdr:nvSpPr>
        <xdr:cNvPr id="10" name="Text Box 15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>
          <a:spLocks noChangeArrowheads="1"/>
        </xdr:cNvSpPr>
      </xdr:nvSpPr>
      <xdr:spPr>
        <a:xfrm>
          <a:off x="114300" y="712470"/>
          <a:ext cx="247650" cy="379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0</xdr:col>
      <xdr:colOff>28575</xdr:colOff>
      <xdr:row>2</xdr:row>
      <xdr:rowOff>209550</xdr:rowOff>
    </xdr:from>
    <xdr:to>
      <xdr:col>0</xdr:col>
      <xdr:colOff>257175</xdr:colOff>
      <xdr:row>4</xdr:row>
      <xdr:rowOff>19050</xdr:rowOff>
    </xdr:to>
    <xdr:sp macro="" textlink="">
      <xdr:nvSpPr>
        <xdr:cNvPr id="11" name="Text Box 16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>
          <a:spLocks noChangeArrowheads="1"/>
        </xdr:cNvSpPr>
      </xdr:nvSpPr>
      <xdr:spPr>
        <a:xfrm>
          <a:off x="28575" y="1101090"/>
          <a:ext cx="228600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0</xdr:col>
      <xdr:colOff>142875</xdr:colOff>
      <xdr:row>8</xdr:row>
      <xdr:rowOff>66675</xdr:rowOff>
    </xdr:from>
    <xdr:to>
      <xdr:col>1</xdr:col>
      <xdr:colOff>47625</xdr:colOff>
      <xdr:row>9</xdr:row>
      <xdr:rowOff>190500</xdr:rowOff>
    </xdr:to>
    <xdr:sp macro="" textlink="">
      <xdr:nvSpPr>
        <xdr:cNvPr id="12" name="Text Box 17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>
          <a:spLocks noChangeArrowheads="1"/>
        </xdr:cNvSpPr>
      </xdr:nvSpPr>
      <xdr:spPr>
        <a:xfrm>
          <a:off x="142875" y="2804160"/>
          <a:ext cx="247650" cy="379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0</xdr:col>
      <xdr:colOff>28575</xdr:colOff>
      <xdr:row>9</xdr:row>
      <xdr:rowOff>209550</xdr:rowOff>
    </xdr:from>
    <xdr:to>
      <xdr:col>0</xdr:col>
      <xdr:colOff>257175</xdr:colOff>
      <xdr:row>11</xdr:row>
      <xdr:rowOff>19050</xdr:rowOff>
    </xdr:to>
    <xdr:sp macro="" textlink="">
      <xdr:nvSpPr>
        <xdr:cNvPr id="13" name="Text Box 18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>
          <a:spLocks noChangeArrowheads="1"/>
        </xdr:cNvSpPr>
      </xdr:nvSpPr>
      <xdr:spPr>
        <a:xfrm>
          <a:off x="28575" y="3202305"/>
          <a:ext cx="22860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10</xdr:col>
      <xdr:colOff>142875</xdr:colOff>
      <xdr:row>8</xdr:row>
      <xdr:rowOff>66675</xdr:rowOff>
    </xdr:from>
    <xdr:to>
      <xdr:col>10</xdr:col>
      <xdr:colOff>390525</xdr:colOff>
      <xdr:row>9</xdr:row>
      <xdr:rowOff>190500</xdr:rowOff>
    </xdr:to>
    <xdr:sp macro="" textlink="">
      <xdr:nvSpPr>
        <xdr:cNvPr id="14" name="Text Box 19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 txBox="1">
          <a:spLocks noChangeArrowheads="1"/>
        </xdr:cNvSpPr>
      </xdr:nvSpPr>
      <xdr:spPr>
        <a:xfrm>
          <a:off x="6334125" y="2804160"/>
          <a:ext cx="247650" cy="379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25</xdr:col>
      <xdr:colOff>142875</xdr:colOff>
      <xdr:row>8</xdr:row>
      <xdr:rowOff>66675</xdr:rowOff>
    </xdr:from>
    <xdr:to>
      <xdr:col>25</xdr:col>
      <xdr:colOff>390525</xdr:colOff>
      <xdr:row>9</xdr:row>
      <xdr:rowOff>190500</xdr:rowOff>
    </xdr:to>
    <xdr:sp macro="" textlink="">
      <xdr:nvSpPr>
        <xdr:cNvPr id="15" name="Text Box 20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 txBox="1">
          <a:spLocks noChangeArrowheads="1"/>
        </xdr:cNvSpPr>
      </xdr:nvSpPr>
      <xdr:spPr>
        <a:xfrm>
          <a:off x="15001875" y="2804160"/>
          <a:ext cx="247650" cy="379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25</xdr:col>
      <xdr:colOff>142875</xdr:colOff>
      <xdr:row>20</xdr:row>
      <xdr:rowOff>66675</xdr:rowOff>
    </xdr:from>
    <xdr:to>
      <xdr:col>25</xdr:col>
      <xdr:colOff>390525</xdr:colOff>
      <xdr:row>21</xdr:row>
      <xdr:rowOff>104775</xdr:rowOff>
    </xdr:to>
    <xdr:sp macro="" textlink="">
      <xdr:nvSpPr>
        <xdr:cNvPr id="16" name="Text Box 21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 txBox="1">
          <a:spLocks noChangeArrowheads="1"/>
        </xdr:cNvSpPr>
      </xdr:nvSpPr>
      <xdr:spPr>
        <a:xfrm>
          <a:off x="15001875" y="5524500"/>
          <a:ext cx="2476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25</xdr:col>
      <xdr:colOff>28575</xdr:colOff>
      <xdr:row>21</xdr:row>
      <xdr:rowOff>209550</xdr:rowOff>
    </xdr:from>
    <xdr:to>
      <xdr:col>25</xdr:col>
      <xdr:colOff>257175</xdr:colOff>
      <xdr:row>23</xdr:row>
      <xdr:rowOff>28575</xdr:rowOff>
    </xdr:to>
    <xdr:sp macro="" textlink="">
      <xdr:nvSpPr>
        <xdr:cNvPr id="17" name="Text Box 22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>
          <a:spLocks noChangeArrowheads="1"/>
        </xdr:cNvSpPr>
      </xdr:nvSpPr>
      <xdr:spPr>
        <a:xfrm>
          <a:off x="14887575" y="5991225"/>
          <a:ext cx="2286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10</xdr:col>
      <xdr:colOff>142875</xdr:colOff>
      <xdr:row>20</xdr:row>
      <xdr:rowOff>66675</xdr:rowOff>
    </xdr:from>
    <xdr:to>
      <xdr:col>10</xdr:col>
      <xdr:colOff>390525</xdr:colOff>
      <xdr:row>21</xdr:row>
      <xdr:rowOff>104775</xdr:rowOff>
    </xdr:to>
    <xdr:sp macro="" textlink="">
      <xdr:nvSpPr>
        <xdr:cNvPr id="18" name="Text Box 2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 txBox="1">
          <a:spLocks noChangeArrowheads="1"/>
        </xdr:cNvSpPr>
      </xdr:nvSpPr>
      <xdr:spPr>
        <a:xfrm>
          <a:off x="6334125" y="5524500"/>
          <a:ext cx="2476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10</xdr:col>
      <xdr:colOff>28575</xdr:colOff>
      <xdr:row>21</xdr:row>
      <xdr:rowOff>209550</xdr:rowOff>
    </xdr:from>
    <xdr:to>
      <xdr:col>10</xdr:col>
      <xdr:colOff>257175</xdr:colOff>
      <xdr:row>23</xdr:row>
      <xdr:rowOff>28575</xdr:rowOff>
    </xdr:to>
    <xdr:sp macro="" textlink="">
      <xdr:nvSpPr>
        <xdr:cNvPr id="19" name="Text Box 24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 txBox="1">
          <a:spLocks noChangeArrowheads="1"/>
        </xdr:cNvSpPr>
      </xdr:nvSpPr>
      <xdr:spPr>
        <a:xfrm>
          <a:off x="6219825" y="5991225"/>
          <a:ext cx="2286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0</xdr:col>
      <xdr:colOff>142875</xdr:colOff>
      <xdr:row>20</xdr:row>
      <xdr:rowOff>66675</xdr:rowOff>
    </xdr:from>
    <xdr:to>
      <xdr:col>1</xdr:col>
      <xdr:colOff>47625</xdr:colOff>
      <xdr:row>21</xdr:row>
      <xdr:rowOff>104775</xdr:rowOff>
    </xdr:to>
    <xdr:sp macro="" textlink="">
      <xdr:nvSpPr>
        <xdr:cNvPr id="20" name="Text Box 25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 txBox="1">
          <a:spLocks noChangeArrowheads="1"/>
        </xdr:cNvSpPr>
      </xdr:nvSpPr>
      <xdr:spPr>
        <a:xfrm>
          <a:off x="142875" y="5524500"/>
          <a:ext cx="2476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0</xdr:col>
      <xdr:colOff>28575</xdr:colOff>
      <xdr:row>21</xdr:row>
      <xdr:rowOff>209550</xdr:rowOff>
    </xdr:from>
    <xdr:to>
      <xdr:col>0</xdr:col>
      <xdr:colOff>257175</xdr:colOff>
      <xdr:row>23</xdr:row>
      <xdr:rowOff>28575</xdr:rowOff>
    </xdr:to>
    <xdr:sp macro="" textlink="">
      <xdr:nvSpPr>
        <xdr:cNvPr id="21" name="Text Box 26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 txBox="1">
          <a:spLocks noChangeArrowheads="1"/>
        </xdr:cNvSpPr>
      </xdr:nvSpPr>
      <xdr:spPr>
        <a:xfrm>
          <a:off x="28575" y="5991225"/>
          <a:ext cx="2286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班别</a:t>
          </a:r>
        </a:p>
      </xdr:txBody>
    </xdr:sp>
    <xdr:clientData/>
  </xdr:twoCellAnchor>
  <xdr:twoCellAnchor editAs="oneCell">
    <xdr:from>
      <xdr:col>10</xdr:col>
      <xdr:colOff>142875</xdr:colOff>
      <xdr:row>20</xdr:row>
      <xdr:rowOff>66675</xdr:rowOff>
    </xdr:from>
    <xdr:to>
      <xdr:col>10</xdr:col>
      <xdr:colOff>390525</xdr:colOff>
      <xdr:row>21</xdr:row>
      <xdr:rowOff>104775</xdr:rowOff>
    </xdr:to>
    <xdr:sp macro="" textlink="">
      <xdr:nvSpPr>
        <xdr:cNvPr id="22" name="Text Box 27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 txBox="1">
          <a:spLocks noChangeArrowheads="1"/>
        </xdr:cNvSpPr>
      </xdr:nvSpPr>
      <xdr:spPr>
        <a:xfrm>
          <a:off x="6334125" y="5524500"/>
          <a:ext cx="2476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  <xdr:twoCellAnchor editAs="oneCell">
    <xdr:from>
      <xdr:col>25</xdr:col>
      <xdr:colOff>142875</xdr:colOff>
      <xdr:row>20</xdr:row>
      <xdr:rowOff>66675</xdr:rowOff>
    </xdr:from>
    <xdr:to>
      <xdr:col>25</xdr:col>
      <xdr:colOff>390525</xdr:colOff>
      <xdr:row>21</xdr:row>
      <xdr:rowOff>104775</xdr:rowOff>
    </xdr:to>
    <xdr:sp macro="" textlink="">
      <xdr:nvSpPr>
        <xdr:cNvPr id="23" name="Text Box 28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 txBox="1">
          <a:spLocks noChangeArrowheads="1"/>
        </xdr:cNvSpPr>
      </xdr:nvSpPr>
      <xdr:spPr>
        <a:xfrm>
          <a:off x="15001875" y="5524500"/>
          <a:ext cx="2476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72"/>
  <sheetViews>
    <sheetView tabSelected="1" workbookViewId="0">
      <selection activeCell="F5" sqref="F5"/>
    </sheetView>
  </sheetViews>
  <sheetFormatPr defaultColWidth="9" defaultRowHeight="14.4"/>
  <cols>
    <col min="1" max="1" width="13.33203125" style="16" customWidth="1"/>
    <col min="2" max="3" width="8.44140625" style="16" customWidth="1"/>
    <col min="4" max="5" width="9.6640625" style="16" customWidth="1"/>
    <col min="6" max="6" width="9.44140625" style="16" bestFit="1" customWidth="1"/>
    <col min="7" max="7" width="6.44140625" style="16" hidden="1" customWidth="1"/>
    <col min="8" max="8" width="12.21875" style="16" hidden="1" customWidth="1"/>
    <col min="9" max="9" width="10.33203125" style="16" hidden="1" customWidth="1"/>
    <col min="10" max="10" width="7.77734375" style="16" hidden="1" customWidth="1"/>
    <col min="11" max="11" width="8.21875" style="16" hidden="1" customWidth="1"/>
    <col min="12" max="12" width="9.6640625" style="16" hidden="1" customWidth="1"/>
    <col min="13" max="13" width="7.77734375" style="16" hidden="1" customWidth="1"/>
    <col min="14" max="14" width="6.6640625" style="16" hidden="1" customWidth="1"/>
    <col min="15" max="15" width="6.44140625" style="16" hidden="1" customWidth="1"/>
    <col min="16" max="16" width="9.88671875" style="16" hidden="1" customWidth="1"/>
    <col min="17" max="17" width="11.77734375" style="16" hidden="1" customWidth="1"/>
    <col min="18" max="18" width="12" style="16" hidden="1" customWidth="1"/>
    <col min="19" max="19" width="10.109375" style="16" customWidth="1"/>
    <col min="20" max="20" width="10.21875" style="16" customWidth="1"/>
    <col min="21" max="23" width="13.33203125" style="16"/>
    <col min="24" max="24" width="14.44140625" style="16"/>
    <col min="25" max="16384" width="9" style="16"/>
  </cols>
  <sheetData>
    <row r="1" spans="1:20">
      <c r="A1" s="663" t="s">
        <v>762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</row>
    <row r="2" spans="1:20">
      <c r="A2" s="664">
        <v>45836</v>
      </c>
      <c r="B2" s="666"/>
      <c r="C2" s="666"/>
      <c r="D2" s="632"/>
      <c r="E2" s="632"/>
      <c r="F2" s="633"/>
      <c r="J2" s="667" t="s">
        <v>2</v>
      </c>
      <c r="K2" s="667"/>
      <c r="L2" s="643"/>
      <c r="M2" s="643"/>
      <c r="N2" s="643"/>
    </row>
    <row r="3" spans="1:20" ht="16.5" customHeight="1">
      <c r="A3" s="12"/>
      <c r="B3" s="668" t="s">
        <v>3</v>
      </c>
      <c r="C3" s="668"/>
      <c r="D3" s="669"/>
      <c r="E3" s="670" t="s">
        <v>4</v>
      </c>
      <c r="F3" s="670"/>
      <c r="H3" s="634"/>
      <c r="I3" s="12"/>
      <c r="J3" s="668" t="s">
        <v>5</v>
      </c>
      <c r="K3" s="668"/>
      <c r="L3" s="669"/>
      <c r="M3" s="670" t="s">
        <v>4</v>
      </c>
      <c r="N3" s="670"/>
      <c r="P3" s="634"/>
    </row>
    <row r="4" spans="1:20" ht="16.5" customHeight="1">
      <c r="A4" s="12"/>
      <c r="B4" s="12" t="s">
        <v>6</v>
      </c>
      <c r="C4" s="12" t="s">
        <v>7</v>
      </c>
      <c r="D4" s="12" t="s">
        <v>8</v>
      </c>
      <c r="E4" s="671"/>
      <c r="F4" s="671"/>
      <c r="H4" s="634"/>
      <c r="I4" s="12"/>
      <c r="J4" s="12" t="s">
        <v>6</v>
      </c>
      <c r="K4" s="12" t="s">
        <v>7</v>
      </c>
      <c r="L4" s="12" t="s">
        <v>8</v>
      </c>
      <c r="M4" s="671"/>
      <c r="N4" s="671"/>
      <c r="O4" s="16" t="s">
        <v>9</v>
      </c>
      <c r="P4" s="634">
        <f>'2车间表1'!L14</f>
        <v>0</v>
      </c>
      <c r="S4" s="648"/>
    </row>
    <row r="5" spans="1:20" ht="16.5" customHeight="1">
      <c r="A5" s="12" t="s">
        <v>10</v>
      </c>
      <c r="B5" s="638"/>
      <c r="C5" s="638"/>
      <c r="D5" s="660"/>
      <c r="E5" s="12" t="s">
        <v>11</v>
      </c>
      <c r="F5" s="635"/>
      <c r="H5" s="634"/>
      <c r="I5" s="12" t="s">
        <v>10</v>
      </c>
      <c r="J5" s="635"/>
      <c r="K5" s="635"/>
      <c r="L5" s="637"/>
      <c r="M5" s="12" t="s">
        <v>11</v>
      </c>
      <c r="N5" s="635"/>
      <c r="P5" s="634"/>
      <c r="S5" s="648"/>
    </row>
    <row r="6" spans="1:20" ht="16.5" customHeight="1">
      <c r="A6" s="12" t="s">
        <v>12</v>
      </c>
      <c r="B6" s="661"/>
      <c r="C6" s="661"/>
      <c r="D6" s="661"/>
      <c r="E6" s="12" t="s">
        <v>13</v>
      </c>
      <c r="F6" s="635"/>
      <c r="H6" s="634"/>
      <c r="I6" s="12" t="s">
        <v>12</v>
      </c>
      <c r="J6" s="636"/>
      <c r="K6" s="636"/>
      <c r="L6" s="636"/>
      <c r="M6" s="12" t="s">
        <v>13</v>
      </c>
      <c r="N6" s="635"/>
      <c r="O6" s="16" t="s">
        <v>14</v>
      </c>
      <c r="P6" s="634" t="str">
        <f>'2车间表1'!M14</f>
        <v>0.00</v>
      </c>
      <c r="S6" s="648"/>
    </row>
    <row r="7" spans="1:20" ht="16.5" customHeight="1">
      <c r="A7" s="12" t="s">
        <v>15</v>
      </c>
      <c r="B7" s="638"/>
      <c r="C7" s="638"/>
      <c r="D7" s="660"/>
      <c r="E7" s="12" t="s">
        <v>16</v>
      </c>
      <c r="F7" s="635"/>
      <c r="I7" s="12" t="s">
        <v>15</v>
      </c>
      <c r="J7" s="635"/>
      <c r="K7" s="635"/>
      <c r="L7" s="637"/>
      <c r="M7" s="12" t="s">
        <v>16</v>
      </c>
      <c r="N7" s="635"/>
      <c r="R7" s="649"/>
    </row>
    <row r="8" spans="1:20" ht="16.5" customHeight="1">
      <c r="A8" s="12" t="s">
        <v>17</v>
      </c>
      <c r="B8" s="638"/>
      <c r="C8" s="638"/>
      <c r="D8" s="660"/>
      <c r="E8" s="12" t="s">
        <v>18</v>
      </c>
      <c r="F8" s="635"/>
      <c r="I8" s="12" t="s">
        <v>17</v>
      </c>
      <c r="J8" s="635"/>
      <c r="K8" s="635"/>
      <c r="L8" s="637"/>
      <c r="M8" s="12" t="s">
        <v>18</v>
      </c>
      <c r="N8" s="635"/>
      <c r="R8" s="649"/>
      <c r="S8" s="2"/>
    </row>
    <row r="9" spans="1:20" ht="16.5" customHeight="1">
      <c r="A9" s="12" t="s">
        <v>19</v>
      </c>
      <c r="B9" s="638"/>
      <c r="C9" s="638"/>
      <c r="D9" s="660"/>
      <c r="E9" s="12" t="s">
        <v>20</v>
      </c>
      <c r="F9" s="635">
        <v>3</v>
      </c>
      <c r="I9" s="12" t="s">
        <v>19</v>
      </c>
      <c r="J9" s="635"/>
      <c r="K9" s="635"/>
      <c r="L9" s="637"/>
      <c r="M9" s="12" t="s">
        <v>20</v>
      </c>
      <c r="N9" s="635"/>
      <c r="R9" s="649"/>
    </row>
    <row r="10" spans="1:20" ht="16.5" customHeight="1">
      <c r="A10" s="195" t="s">
        <v>21</v>
      </c>
      <c r="B10" s="638"/>
      <c r="C10" s="638"/>
      <c r="D10" s="660"/>
      <c r="E10" s="12" t="s">
        <v>22</v>
      </c>
      <c r="F10" s="635" t="e">
        <f>F6/F5</f>
        <v>#DIV/0!</v>
      </c>
      <c r="I10" s="195" t="s">
        <v>21</v>
      </c>
      <c r="J10" s="635"/>
      <c r="K10" s="635"/>
      <c r="L10" s="637"/>
      <c r="M10" s="12" t="s">
        <v>22</v>
      </c>
      <c r="N10" s="635" t="e">
        <f>N6/N5</f>
        <v>#DIV/0!</v>
      </c>
    </row>
    <row r="11" spans="1:20" ht="16.5" customHeight="1">
      <c r="A11" s="12" t="s">
        <v>23</v>
      </c>
      <c r="B11" s="665"/>
      <c r="C11" s="638"/>
      <c r="D11" s="660"/>
      <c r="I11" s="12" t="s">
        <v>23</v>
      </c>
      <c r="J11" s="635"/>
      <c r="K11" s="635"/>
      <c r="L11" s="637"/>
      <c r="R11" s="16" t="s">
        <v>24</v>
      </c>
    </row>
    <row r="12" spans="1:20" ht="16.5" hidden="1" customHeight="1">
      <c r="A12" s="12" t="s">
        <v>25</v>
      </c>
      <c r="B12" s="638"/>
      <c r="C12" s="638"/>
      <c r="D12" s="660"/>
      <c r="E12"/>
      <c r="F12" s="2"/>
      <c r="I12" s="12" t="s">
        <v>25</v>
      </c>
      <c r="J12" s="635"/>
      <c r="K12" s="635"/>
      <c r="L12" s="637"/>
      <c r="M12"/>
      <c r="N12" s="2"/>
      <c r="Q12" s="16" t="s">
        <v>0</v>
      </c>
      <c r="R12" s="650">
        <f>'班组统计台账（3%）日累'!E8+'班组统计台账（3%）日累'!F8</f>
        <v>3.91</v>
      </c>
      <c r="T12" s="650"/>
    </row>
    <row r="13" spans="1:20" ht="16.5" customHeight="1">
      <c r="A13" s="12" t="s">
        <v>26</v>
      </c>
      <c r="B13" s="638"/>
      <c r="C13" s="638"/>
      <c r="D13" s="660"/>
      <c r="E13"/>
      <c r="I13" s="12" t="s">
        <v>26</v>
      </c>
      <c r="J13" s="635"/>
      <c r="K13" s="635"/>
      <c r="L13" s="637"/>
      <c r="M13"/>
    </row>
    <row r="14" spans="1:20" ht="16.5" customHeight="1">
      <c r="R14" s="16" t="s">
        <v>27</v>
      </c>
    </row>
    <row r="15" spans="1:20" ht="16.5" customHeight="1">
      <c r="A15" s="12"/>
      <c r="B15" s="668" t="s">
        <v>28</v>
      </c>
      <c r="C15" s="668"/>
      <c r="D15" s="669"/>
      <c r="E15" s="670" t="s">
        <v>4</v>
      </c>
      <c r="F15" s="670"/>
      <c r="H15" s="634"/>
      <c r="I15" s="12"/>
      <c r="J15" s="668" t="s">
        <v>29</v>
      </c>
      <c r="K15" s="668"/>
      <c r="L15" s="669"/>
      <c r="M15" s="670" t="s">
        <v>4</v>
      </c>
      <c r="N15" s="670"/>
      <c r="P15" s="634"/>
      <c r="R15" s="651"/>
      <c r="T15" s="651"/>
    </row>
    <row r="16" spans="1:20" ht="16.5" customHeight="1">
      <c r="A16" s="12"/>
      <c r="B16" s="12" t="s">
        <v>6</v>
      </c>
      <c r="C16" s="12" t="s">
        <v>7</v>
      </c>
      <c r="D16" s="12" t="s">
        <v>8</v>
      </c>
      <c r="E16" s="671"/>
      <c r="F16" s="671"/>
      <c r="H16" s="634"/>
      <c r="I16" s="12"/>
      <c r="J16" s="12" t="s">
        <v>6</v>
      </c>
      <c r="K16" s="12" t="s">
        <v>7</v>
      </c>
      <c r="L16" s="12" t="s">
        <v>8</v>
      </c>
      <c r="M16" s="671"/>
      <c r="N16" s="671"/>
      <c r="O16" s="16" t="s">
        <v>9</v>
      </c>
      <c r="P16" s="634">
        <f>'2车间表1'!L15</f>
        <v>0</v>
      </c>
      <c r="R16" s="651">
        <f>'班组统计台账（3%）日累'!AH8</f>
        <v>97.348539988275135</v>
      </c>
      <c r="S16" s="2"/>
      <c r="T16" s="651"/>
    </row>
    <row r="17" spans="1:25" ht="16.5" customHeight="1">
      <c r="A17" s="12" t="s">
        <v>10</v>
      </c>
      <c r="B17" s="638">
        <v>3.75</v>
      </c>
      <c r="C17" s="638"/>
      <c r="D17" s="660">
        <v>161</v>
      </c>
      <c r="E17" s="12" t="s">
        <v>11</v>
      </c>
      <c r="F17" s="635">
        <v>8</v>
      </c>
      <c r="H17" s="634"/>
      <c r="I17" s="12" t="s">
        <v>10</v>
      </c>
      <c r="J17" s="635"/>
      <c r="K17" s="635"/>
      <c r="L17" s="637"/>
      <c r="M17" s="12" t="s">
        <v>11</v>
      </c>
      <c r="N17" s="635"/>
      <c r="P17" s="634"/>
      <c r="Q17" s="2"/>
      <c r="R17" s="651">
        <f>'班组统计台账（3%）日累'!AJ8</f>
        <v>99.810273661390255</v>
      </c>
      <c r="S17" s="2"/>
      <c r="T17" s="651"/>
    </row>
    <row r="18" spans="1:25" ht="16.5" customHeight="1">
      <c r="A18" s="12" t="s">
        <v>12</v>
      </c>
      <c r="B18" s="661"/>
      <c r="C18" s="661"/>
      <c r="D18" s="661"/>
      <c r="E18" s="12" t="s">
        <v>13</v>
      </c>
      <c r="F18" s="635">
        <v>128</v>
      </c>
      <c r="H18" s="634"/>
      <c r="I18" s="12" t="s">
        <v>12</v>
      </c>
      <c r="J18" s="636"/>
      <c r="K18" s="636"/>
      <c r="L18" s="636"/>
      <c r="M18" s="12" t="s">
        <v>13</v>
      </c>
      <c r="N18" s="635"/>
      <c r="O18" s="16" t="s">
        <v>14</v>
      </c>
      <c r="P18" s="634" t="str">
        <f>'2车间表1'!M15</f>
        <v>0.00</v>
      </c>
      <c r="S18" s="2"/>
    </row>
    <row r="19" spans="1:25" ht="16.5" customHeight="1">
      <c r="A19" s="12" t="s">
        <v>15</v>
      </c>
      <c r="B19" s="638"/>
      <c r="C19" s="638"/>
      <c r="D19" s="660"/>
      <c r="E19" s="12" t="s">
        <v>16</v>
      </c>
      <c r="F19" s="635"/>
      <c r="I19" s="12" t="s">
        <v>15</v>
      </c>
      <c r="J19" s="635"/>
      <c r="K19" s="635"/>
      <c r="L19" s="637"/>
      <c r="M19" s="12" t="s">
        <v>16</v>
      </c>
      <c r="N19" s="635"/>
      <c r="O19" s="2"/>
      <c r="P19" s="644"/>
      <c r="Q19" s="647"/>
      <c r="R19" s="647"/>
      <c r="S19" s="647"/>
      <c r="T19" s="647"/>
      <c r="U19" s="647"/>
      <c r="V19" s="647"/>
      <c r="W19" s="647"/>
      <c r="X19" s="647"/>
    </row>
    <row r="20" spans="1:25" ht="16.5" customHeight="1">
      <c r="A20" s="12" t="s">
        <v>17</v>
      </c>
      <c r="B20" s="638"/>
      <c r="C20" s="638"/>
      <c r="D20" s="660"/>
      <c r="E20" s="12" t="s">
        <v>18</v>
      </c>
      <c r="F20" s="635"/>
      <c r="H20" s="2"/>
      <c r="I20" s="12" t="s">
        <v>17</v>
      </c>
      <c r="J20" s="635"/>
      <c r="K20" s="635"/>
      <c r="L20" s="637"/>
      <c r="M20" s="12" t="s">
        <v>18</v>
      </c>
      <c r="N20" s="635"/>
      <c r="Q20" s="646"/>
      <c r="R20" s="646"/>
      <c r="S20" s="646"/>
      <c r="T20" s="646"/>
      <c r="U20" s="646"/>
      <c r="V20" s="646"/>
      <c r="W20" s="646"/>
      <c r="X20" s="646"/>
    </row>
    <row r="21" spans="1:25" ht="16.5" customHeight="1">
      <c r="A21" s="12" t="s">
        <v>19</v>
      </c>
      <c r="B21" s="638"/>
      <c r="C21" s="638"/>
      <c r="D21" s="660"/>
      <c r="E21" s="12" t="s">
        <v>20</v>
      </c>
      <c r="F21" s="635">
        <v>3</v>
      </c>
      <c r="I21" s="12" t="s">
        <v>19</v>
      </c>
      <c r="J21" s="635"/>
      <c r="K21" s="635"/>
      <c r="L21" s="637"/>
      <c r="M21" s="12" t="s">
        <v>20</v>
      </c>
      <c r="N21" s="635"/>
      <c r="Q21" s="652"/>
      <c r="R21" s="653">
        <f>'班组统计台账（3%）日累'!AB8</f>
        <v>0.11005069996678257</v>
      </c>
      <c r="S21" s="652"/>
      <c r="T21" s="652"/>
      <c r="U21" s="652"/>
      <c r="V21" s="652"/>
      <c r="W21" s="652"/>
    </row>
    <row r="22" spans="1:25" ht="16.5" customHeight="1">
      <c r="A22" s="12" t="s">
        <v>21</v>
      </c>
      <c r="B22" s="638"/>
      <c r="C22" s="638"/>
      <c r="D22" s="660"/>
      <c r="E22" s="12" t="s">
        <v>22</v>
      </c>
      <c r="F22" s="635">
        <f>F18/F17</f>
        <v>16</v>
      </c>
      <c r="I22" s="195" t="s">
        <v>21</v>
      </c>
      <c r="J22" s="635"/>
      <c r="K22" s="635"/>
      <c r="L22" s="637"/>
      <c r="M22" s="12" t="s">
        <v>22</v>
      </c>
      <c r="N22" s="635" t="e">
        <f>N18/N17</f>
        <v>#DIV/0!</v>
      </c>
      <c r="Q22" s="654"/>
      <c r="R22" s="655">
        <f>'班组统计台账（3%）日累'!AD8</f>
        <v>0.39373621087637162</v>
      </c>
      <c r="S22" s="654"/>
      <c r="T22" s="654"/>
      <c r="U22" s="654"/>
      <c r="V22" s="654"/>
      <c r="W22" s="654"/>
      <c r="X22" s="646"/>
      <c r="Y22" s="2"/>
    </row>
    <row r="23" spans="1:25" ht="16.5" customHeight="1">
      <c r="A23" s="12" t="s">
        <v>23</v>
      </c>
      <c r="B23" s="665">
        <v>65.27</v>
      </c>
      <c r="C23" s="638"/>
      <c r="D23" s="660">
        <v>3352</v>
      </c>
      <c r="I23" s="12" t="s">
        <v>23</v>
      </c>
      <c r="J23" s="635"/>
      <c r="K23" s="635"/>
      <c r="L23" s="637"/>
      <c r="Q23" s="652"/>
      <c r="R23" s="652"/>
      <c r="S23" s="652"/>
      <c r="T23" s="652"/>
      <c r="U23" s="652"/>
      <c r="V23" s="652"/>
      <c r="W23" s="652"/>
      <c r="X23" s="656"/>
      <c r="Y23" s="2"/>
    </row>
    <row r="24" spans="1:25" ht="16.5" customHeight="1">
      <c r="A24" s="12" t="s">
        <v>25</v>
      </c>
      <c r="B24" s="638"/>
      <c r="C24" s="638"/>
      <c r="D24" s="660"/>
      <c r="E24"/>
      <c r="F24" s="2"/>
      <c r="I24" s="12" t="s">
        <v>25</v>
      </c>
      <c r="J24" s="635"/>
      <c r="K24" s="635"/>
      <c r="L24" s="637"/>
      <c r="M24"/>
      <c r="N24" s="2"/>
      <c r="Q24" s="654"/>
      <c r="R24" s="654"/>
      <c r="S24" s="654"/>
      <c r="T24" s="654"/>
      <c r="U24" s="654"/>
      <c r="V24" s="654"/>
      <c r="W24" s="654"/>
      <c r="X24" s="646"/>
      <c r="Y24" s="2"/>
    </row>
    <row r="25" spans="1:25" ht="16.5" customHeight="1">
      <c r="A25" s="12" t="s">
        <v>26</v>
      </c>
      <c r="B25" s="638">
        <v>0.13</v>
      </c>
      <c r="C25" s="638"/>
      <c r="D25" s="660">
        <v>8</v>
      </c>
      <c r="E25"/>
      <c r="I25" s="12" t="s">
        <v>26</v>
      </c>
      <c r="J25" s="635"/>
      <c r="K25" s="635"/>
      <c r="L25" s="637"/>
      <c r="M25"/>
      <c r="Q25" s="656"/>
      <c r="R25" s="656"/>
      <c r="S25" s="656"/>
      <c r="T25" s="656"/>
      <c r="U25" s="656"/>
      <c r="V25" s="656"/>
      <c r="W25" s="656"/>
      <c r="X25" s="656"/>
      <c r="Y25" s="2"/>
    </row>
    <row r="26" spans="1:25">
      <c r="P26" s="645"/>
      <c r="Q26" s="656"/>
      <c r="R26" s="656"/>
      <c r="S26" s="656"/>
      <c r="T26" s="656"/>
      <c r="U26" s="656"/>
      <c r="V26" s="656"/>
      <c r="W26" s="656"/>
      <c r="X26" s="656"/>
      <c r="Y26" s="2"/>
    </row>
    <row r="27" spans="1:25" ht="16.5" customHeight="1">
      <c r="A27" s="12"/>
      <c r="B27" s="668" t="s">
        <v>30</v>
      </c>
      <c r="C27" s="668"/>
      <c r="D27" s="669"/>
      <c r="E27" s="670" t="s">
        <v>4</v>
      </c>
      <c r="F27" s="670"/>
      <c r="H27" s="634"/>
      <c r="I27" s="12"/>
      <c r="J27" s="668" t="s">
        <v>31</v>
      </c>
      <c r="K27" s="668"/>
      <c r="L27" s="669"/>
      <c r="M27" s="670" t="s">
        <v>4</v>
      </c>
      <c r="N27" s="670"/>
      <c r="P27" s="634"/>
      <c r="Q27" s="653"/>
      <c r="R27" s="652"/>
      <c r="S27" s="652"/>
      <c r="T27" s="652"/>
      <c r="U27" s="656"/>
      <c r="V27" s="656"/>
      <c r="W27" s="656"/>
      <c r="X27" s="656"/>
      <c r="Y27" s="2"/>
    </row>
    <row r="28" spans="1:25" ht="16.5" customHeight="1">
      <c r="A28" s="12"/>
      <c r="B28" s="12" t="s">
        <v>6</v>
      </c>
      <c r="C28" s="12" t="s">
        <v>7</v>
      </c>
      <c r="D28" s="12" t="s">
        <v>8</v>
      </c>
      <c r="E28" s="671"/>
      <c r="F28" s="671"/>
      <c r="G28" s="16" t="s">
        <v>9</v>
      </c>
      <c r="H28" s="634">
        <f>'1车间表1'!L16</f>
        <v>97.922147110926502</v>
      </c>
      <c r="I28" s="12"/>
      <c r="J28" s="12" t="s">
        <v>6</v>
      </c>
      <c r="K28" s="12" t="s">
        <v>7</v>
      </c>
      <c r="L28" s="12" t="s">
        <v>8</v>
      </c>
      <c r="M28" s="671"/>
      <c r="N28" s="671"/>
      <c r="O28" s="16" t="s">
        <v>9</v>
      </c>
      <c r="P28" s="634">
        <f>'2车间表1'!L16</f>
        <v>0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 ht="16.5" customHeight="1">
      <c r="A29" s="12" t="s">
        <v>10</v>
      </c>
      <c r="B29" s="638">
        <v>4.07</v>
      </c>
      <c r="C29" s="638"/>
      <c r="D29" s="660">
        <v>230</v>
      </c>
      <c r="E29" s="12" t="s">
        <v>11</v>
      </c>
      <c r="F29" s="635">
        <v>8</v>
      </c>
      <c r="H29" s="634"/>
      <c r="I29" s="12" t="s">
        <v>10</v>
      </c>
      <c r="J29" s="635"/>
      <c r="K29" s="635"/>
      <c r="L29" s="637"/>
      <c r="M29" s="12" t="s">
        <v>11</v>
      </c>
      <c r="N29" s="635"/>
      <c r="P29" s="634"/>
      <c r="Q29" s="2"/>
      <c r="R29" s="2"/>
      <c r="S29" s="2"/>
      <c r="T29" s="2"/>
      <c r="U29" s="2"/>
      <c r="V29" s="2"/>
      <c r="W29" s="2"/>
      <c r="X29" s="2"/>
      <c r="Y29" s="2"/>
    </row>
    <row r="30" spans="1:25" ht="16.5" customHeight="1">
      <c r="A30" s="12" t="s">
        <v>12</v>
      </c>
      <c r="B30" s="661"/>
      <c r="C30" s="661"/>
      <c r="D30" s="661"/>
      <c r="E30" s="12" t="s">
        <v>13</v>
      </c>
      <c r="F30" s="635">
        <v>128</v>
      </c>
      <c r="G30" s="16" t="s">
        <v>14</v>
      </c>
      <c r="H30" s="634">
        <f>'1车间表1'!M16</f>
        <v>88.686422520354682</v>
      </c>
      <c r="I30" s="12" t="s">
        <v>12</v>
      </c>
      <c r="J30" s="636"/>
      <c r="K30" s="636"/>
      <c r="L30" s="636"/>
      <c r="M30" s="12" t="s">
        <v>13</v>
      </c>
      <c r="N30" s="635"/>
      <c r="O30" s="16" t="s">
        <v>14</v>
      </c>
      <c r="P30" s="634" t="str">
        <f>'2车间表1'!M16</f>
        <v>0.00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 ht="16.5" customHeight="1">
      <c r="A31" s="12" t="s">
        <v>15</v>
      </c>
      <c r="B31" s="638"/>
      <c r="C31" s="638"/>
      <c r="D31" s="660"/>
      <c r="E31" s="12" t="s">
        <v>16</v>
      </c>
      <c r="F31" s="635"/>
      <c r="I31" s="12" t="s">
        <v>15</v>
      </c>
      <c r="J31" s="635"/>
      <c r="K31" s="635"/>
      <c r="L31" s="637"/>
      <c r="M31" s="12" t="s">
        <v>16</v>
      </c>
      <c r="N31" s="635"/>
      <c r="Q31" s="2"/>
      <c r="R31" s="2"/>
      <c r="S31" s="2"/>
      <c r="T31" s="2"/>
      <c r="U31" s="2"/>
      <c r="V31" s="2"/>
      <c r="W31" s="2"/>
      <c r="X31" s="2"/>
      <c r="Y31" s="2"/>
    </row>
    <row r="32" spans="1:25" ht="16.5" customHeight="1">
      <c r="A32" s="12" t="s">
        <v>17</v>
      </c>
      <c r="B32" s="638"/>
      <c r="C32" s="638"/>
      <c r="D32" s="660"/>
      <c r="E32" s="12" t="s">
        <v>18</v>
      </c>
      <c r="F32" s="635"/>
      <c r="I32" s="12" t="s">
        <v>17</v>
      </c>
      <c r="J32" s="635"/>
      <c r="K32" s="635"/>
      <c r="L32" s="637"/>
      <c r="M32" s="12" t="s">
        <v>18</v>
      </c>
      <c r="N32" s="635"/>
      <c r="P32" s="646"/>
      <c r="Q32" s="657"/>
      <c r="R32" s="657"/>
      <c r="S32" s="2"/>
      <c r="T32" s="2"/>
      <c r="U32" s="2"/>
      <c r="V32" s="2"/>
      <c r="W32" s="2"/>
      <c r="X32" s="2"/>
      <c r="Y32" s="2"/>
    </row>
    <row r="33" spans="1:25" ht="16.5" customHeight="1">
      <c r="A33" s="12" t="s">
        <v>19</v>
      </c>
      <c r="B33" s="638"/>
      <c r="C33" s="638"/>
      <c r="D33" s="660"/>
      <c r="E33" s="12" t="s">
        <v>20</v>
      </c>
      <c r="F33" s="635">
        <v>3</v>
      </c>
      <c r="I33" s="12" t="s">
        <v>19</v>
      </c>
      <c r="J33" s="635"/>
      <c r="K33" s="635"/>
      <c r="L33" s="637"/>
      <c r="M33" s="12" t="s">
        <v>20</v>
      </c>
      <c r="N33" s="635"/>
      <c r="P33" s="646"/>
      <c r="Q33" s="657"/>
      <c r="R33" s="657"/>
      <c r="S33" s="2"/>
      <c r="T33" s="2"/>
      <c r="U33" s="2"/>
      <c r="V33" s="2"/>
      <c r="W33" s="2"/>
      <c r="X33" s="2"/>
      <c r="Y33" s="2"/>
    </row>
    <row r="34" spans="1:25" ht="16.5" customHeight="1">
      <c r="A34" s="195" t="s">
        <v>21</v>
      </c>
      <c r="B34" s="638"/>
      <c r="C34" s="638"/>
      <c r="D34" s="660"/>
      <c r="E34" s="12" t="s">
        <v>22</v>
      </c>
      <c r="F34" s="635">
        <f>F30/F29</f>
        <v>16</v>
      </c>
      <c r="H34" s="634"/>
      <c r="I34" s="195" t="s">
        <v>21</v>
      </c>
      <c r="J34" s="635"/>
      <c r="K34" s="635"/>
      <c r="L34" s="637"/>
      <c r="M34" s="12" t="s">
        <v>22</v>
      </c>
      <c r="N34" s="635" t="e">
        <f>N30/N29</f>
        <v>#DIV/0!</v>
      </c>
      <c r="P34" s="634">
        <v>2871</v>
      </c>
      <c r="Q34" s="657"/>
      <c r="R34" s="657"/>
      <c r="S34" s="2"/>
      <c r="T34" s="2"/>
      <c r="U34" s="2"/>
      <c r="V34" s="2"/>
      <c r="W34" s="2"/>
      <c r="X34" s="2"/>
      <c r="Y34" s="2"/>
    </row>
    <row r="35" spans="1:25" ht="16.5" customHeight="1">
      <c r="A35" s="12" t="s">
        <v>23</v>
      </c>
      <c r="B35" s="638">
        <v>66.040000000000006</v>
      </c>
      <c r="C35" s="638"/>
      <c r="D35" s="660">
        <v>3380</v>
      </c>
      <c r="H35" s="634"/>
      <c r="I35" s="12" t="s">
        <v>23</v>
      </c>
      <c r="J35" s="635"/>
      <c r="K35" s="635"/>
      <c r="L35" s="637"/>
      <c r="P35" s="634">
        <f>P34-D35</f>
        <v>-509</v>
      </c>
      <c r="Q35" s="646"/>
      <c r="R35" s="646"/>
    </row>
    <row r="36" spans="1:25" ht="16.5" customHeight="1">
      <c r="A36" s="12" t="s">
        <v>25</v>
      </c>
      <c r="B36" s="638"/>
      <c r="C36" s="638"/>
      <c r="D36" s="660"/>
      <c r="E36"/>
      <c r="F36" s="2"/>
      <c r="I36" s="12" t="s">
        <v>25</v>
      </c>
      <c r="J36" s="635"/>
      <c r="K36" s="635"/>
      <c r="L36" s="637"/>
      <c r="M36"/>
      <c r="N36" s="2"/>
      <c r="P36" s="646"/>
      <c r="Q36" s="646"/>
      <c r="R36" s="646"/>
    </row>
    <row r="37" spans="1:25" ht="16.5" customHeight="1">
      <c r="A37" s="12" t="s">
        <v>26</v>
      </c>
      <c r="B37" s="638">
        <v>0.09</v>
      </c>
      <c r="C37" s="638"/>
      <c r="D37" s="660">
        <v>4</v>
      </c>
      <c r="E37"/>
      <c r="F37" s="634"/>
      <c r="G37" s="634"/>
      <c r="I37" s="12" t="s">
        <v>26</v>
      </c>
      <c r="J37" s="635"/>
      <c r="K37" s="635"/>
      <c r="L37" s="637"/>
      <c r="M37"/>
      <c r="P37" s="646"/>
      <c r="Q37" s="646"/>
      <c r="R37" s="646"/>
    </row>
    <row r="38" spans="1:25">
      <c r="F38" s="634"/>
      <c r="G38" s="634"/>
      <c r="H38" s="634"/>
      <c r="P38" s="647"/>
      <c r="Q38" s="647"/>
      <c r="R38" s="647"/>
    </row>
    <row r="39" spans="1:25">
      <c r="F39" s="634"/>
      <c r="G39" s="634"/>
      <c r="H39" s="634"/>
      <c r="N39" s="2"/>
      <c r="O39" s="2"/>
    </row>
    <row r="40" spans="1:25">
      <c r="F40" s="634"/>
      <c r="G40" s="634"/>
      <c r="H40" s="634"/>
    </row>
    <row r="41" spans="1:25">
      <c r="H41" s="634"/>
    </row>
    <row r="45" spans="1:25">
      <c r="B45" s="639"/>
      <c r="C45" s="639"/>
      <c r="D45" s="639"/>
      <c r="I45" s="639"/>
      <c r="J45" s="639"/>
      <c r="K45" s="639"/>
    </row>
    <row r="46" spans="1:25">
      <c r="B46" s="639"/>
      <c r="C46" s="639"/>
      <c r="D46" s="639"/>
      <c r="I46" s="639"/>
      <c r="J46" s="639"/>
      <c r="K46" s="639"/>
    </row>
    <row r="47" spans="1:25">
      <c r="B47" s="639"/>
      <c r="C47" s="639"/>
      <c r="D47" s="639"/>
      <c r="I47" s="639"/>
      <c r="J47" s="639"/>
      <c r="K47" s="639"/>
    </row>
    <row r="48" spans="1:25">
      <c r="B48" s="639"/>
      <c r="C48" s="639"/>
      <c r="D48" s="639"/>
      <c r="I48" s="639"/>
      <c r="J48" s="639"/>
      <c r="K48" s="639"/>
    </row>
    <row r="49" spans="1:14">
      <c r="B49" s="639"/>
      <c r="C49" s="639"/>
      <c r="D49" s="639"/>
      <c r="I49" s="639"/>
      <c r="J49" s="639"/>
      <c r="K49" s="639"/>
    </row>
    <row r="50" spans="1:14">
      <c r="A50" s="2"/>
      <c r="B50" s="640"/>
      <c r="C50" s="640"/>
      <c r="D50" s="640"/>
      <c r="E50" s="2"/>
      <c r="F50" s="2"/>
      <c r="G50" s="2"/>
      <c r="H50" s="2"/>
      <c r="I50" s="640"/>
      <c r="J50" s="640"/>
      <c r="K50" s="640"/>
      <c r="L50" s="2"/>
      <c r="M50" s="2"/>
      <c r="N50" s="2"/>
    </row>
    <row r="51" spans="1:14">
      <c r="A51" s="2"/>
      <c r="B51" s="640"/>
      <c r="C51" s="640"/>
      <c r="D51" s="640"/>
      <c r="E51" s="2"/>
      <c r="F51" s="2"/>
      <c r="G51" s="2"/>
      <c r="H51" s="2"/>
      <c r="I51" s="640"/>
      <c r="J51" s="640"/>
      <c r="K51" s="640"/>
      <c r="L51" s="2"/>
      <c r="M51" s="2"/>
      <c r="N51" s="2"/>
    </row>
    <row r="52" spans="1:1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idden="1">
      <c r="B56" s="2" t="s">
        <v>32</v>
      </c>
      <c r="C56" s="2" t="s">
        <v>33</v>
      </c>
      <c r="D56" s="2" t="s">
        <v>34</v>
      </c>
      <c r="E56" s="2" t="s">
        <v>35</v>
      </c>
      <c r="F56" s="2" t="s">
        <v>36</v>
      </c>
      <c r="G56" s="2" t="s">
        <v>37</v>
      </c>
      <c r="H56" s="2"/>
      <c r="I56" s="2"/>
      <c r="J56" s="2"/>
      <c r="K56" s="2"/>
      <c r="L56" s="2"/>
      <c r="M56" s="2"/>
      <c r="N56" s="2"/>
    </row>
    <row r="57" spans="1:14" hidden="1">
      <c r="B57" s="2">
        <f>'1车间表1'!H7</f>
        <v>0</v>
      </c>
      <c r="C57" s="2">
        <f>'1车间表1'!H8</f>
        <v>124.16</v>
      </c>
      <c r="D57" s="2">
        <f>'1车间表1'!H9</f>
        <v>124.16</v>
      </c>
      <c r="E57" s="2">
        <f>'2车间表1'!H7</f>
        <v>0</v>
      </c>
      <c r="F57" s="641">
        <f>'2车间表1'!H8</f>
        <v>0</v>
      </c>
      <c r="G57" s="641">
        <f>'2车间表1'!H9</f>
        <v>0</v>
      </c>
      <c r="H57" s="2"/>
      <c r="I57" s="2"/>
      <c r="J57" s="2"/>
      <c r="K57" s="2"/>
      <c r="L57" s="2"/>
      <c r="M57" s="2"/>
      <c r="N57" s="2"/>
    </row>
    <row r="58" spans="1:14" hidden="1">
      <c r="B58" s="2" t="e">
        <f>#REF!</f>
        <v>#REF!</v>
      </c>
      <c r="C58" s="2" t="e">
        <f>#REF!</f>
        <v>#REF!</v>
      </c>
      <c r="D58" s="2" t="e">
        <f>#REF!</f>
        <v>#REF!</v>
      </c>
      <c r="E58" s="2" t="e">
        <f>#REF!</f>
        <v>#REF!</v>
      </c>
      <c r="F58" s="2" t="e">
        <f>#REF!</f>
        <v>#REF!</v>
      </c>
      <c r="G58" s="2" t="e">
        <f>#REF!</f>
        <v>#REF!</v>
      </c>
      <c r="H58" s="2"/>
      <c r="I58" s="2"/>
      <c r="J58" s="2"/>
      <c r="K58" s="2"/>
      <c r="L58" s="2"/>
      <c r="M58" s="2"/>
      <c r="N58" s="2"/>
    </row>
    <row r="59" spans="1:14" hidden="1">
      <c r="B59" s="2" t="e">
        <f>#REF!</f>
        <v>#REF!</v>
      </c>
      <c r="C59" s="2" t="e">
        <f>#REF!</f>
        <v>#REF!</v>
      </c>
      <c r="D59" s="2" t="e">
        <f>#REF!</f>
        <v>#REF!</v>
      </c>
      <c r="E59" s="2" t="e">
        <f>#REF!</f>
        <v>#REF!</v>
      </c>
      <c r="F59" s="2" t="e">
        <f>#REF!</f>
        <v>#REF!</v>
      </c>
      <c r="G59" s="2" t="e">
        <f>#REF!</f>
        <v>#REF!</v>
      </c>
      <c r="H59" s="2"/>
      <c r="I59" s="2"/>
      <c r="J59" s="2"/>
      <c r="K59" s="2"/>
      <c r="L59" s="2"/>
      <c r="M59" s="2"/>
      <c r="N59" s="2"/>
    </row>
    <row r="60" spans="1:14" hidden="1">
      <c r="B60" s="2" t="e">
        <f>#REF!</f>
        <v>#REF!</v>
      </c>
      <c r="C60" s="2" t="e">
        <f>#REF!</f>
        <v>#REF!</v>
      </c>
      <c r="D60" s="2" t="e">
        <f>#REF!</f>
        <v>#REF!</v>
      </c>
      <c r="E60" s="2" t="e">
        <f>#REF!</f>
        <v>#REF!</v>
      </c>
      <c r="F60" s="2" t="e">
        <f>#REF!</f>
        <v>#REF!</v>
      </c>
      <c r="G60" s="2" t="e">
        <f>#REF!</f>
        <v>#REF!</v>
      </c>
      <c r="H60" s="2"/>
      <c r="I60" s="2"/>
      <c r="J60" s="2"/>
      <c r="K60" s="2"/>
      <c r="L60" s="2"/>
      <c r="M60" s="2"/>
      <c r="N60" s="2"/>
    </row>
    <row r="61" spans="1:14" hidden="1">
      <c r="B61" s="642" t="e">
        <f>#REF!</f>
        <v>#REF!</v>
      </c>
      <c r="C61" s="642" t="e">
        <f>#REF!</f>
        <v>#REF!</v>
      </c>
      <c r="D61" s="642" t="e">
        <f>#REF!</f>
        <v>#REF!</v>
      </c>
      <c r="E61" s="642" t="e">
        <f>#REF!</f>
        <v>#REF!</v>
      </c>
      <c r="F61" s="642" t="e">
        <f>#REF!</f>
        <v>#REF!</v>
      </c>
      <c r="G61" s="642" t="e">
        <f>#REF!</f>
        <v>#REF!</v>
      </c>
      <c r="H61" s="2"/>
      <c r="I61" s="2"/>
      <c r="J61" s="2"/>
      <c r="K61" s="2"/>
      <c r="L61" s="2"/>
      <c r="M61" s="2"/>
      <c r="N61" s="2"/>
    </row>
    <row r="62" spans="1:14" hidden="1">
      <c r="B62" s="642"/>
      <c r="C62" s="642"/>
      <c r="D62" s="642"/>
      <c r="E62" s="642"/>
      <c r="F62" s="642"/>
      <c r="G62" s="642"/>
      <c r="H62" s="2"/>
      <c r="I62" s="2"/>
      <c r="J62" s="2"/>
      <c r="K62" s="2"/>
      <c r="L62" s="2"/>
      <c r="M62" s="2"/>
      <c r="N62" s="2"/>
    </row>
    <row r="63" spans="1:14" hidden="1">
      <c r="B63" s="2" t="e">
        <f>#REF!</f>
        <v>#REF!</v>
      </c>
      <c r="C63" s="2" t="e">
        <f>#REF!</f>
        <v>#REF!</v>
      </c>
      <c r="D63" s="2" t="e">
        <f>#REF!</f>
        <v>#REF!</v>
      </c>
      <c r="E63" s="2" t="e">
        <f>#REF!</f>
        <v>#REF!</v>
      </c>
      <c r="F63" s="2" t="e">
        <f>#REF!</f>
        <v>#REF!</v>
      </c>
      <c r="G63" s="2" t="e">
        <f>#REF!</f>
        <v>#REF!</v>
      </c>
      <c r="H63" s="2"/>
      <c r="I63" s="2"/>
      <c r="J63" s="2"/>
      <c r="K63" s="2"/>
      <c r="L63" s="2"/>
      <c r="M63" s="2"/>
      <c r="N63" s="2"/>
    </row>
    <row r="64" spans="1:14" hidden="1">
      <c r="B64" s="2" t="e">
        <f>#REF!</f>
        <v>#REF!</v>
      </c>
      <c r="C64" s="2" t="e">
        <f>#REF!</f>
        <v>#REF!</v>
      </c>
      <c r="D64" s="2" t="e">
        <f>#REF!</f>
        <v>#REF!</v>
      </c>
      <c r="E64" s="2" t="e">
        <f>#REF!</f>
        <v>#REF!</v>
      </c>
      <c r="F64" s="2" t="e">
        <f>#REF!</f>
        <v>#REF!</v>
      </c>
      <c r="G64" s="2" t="e">
        <f>#REF!</f>
        <v>#REF!</v>
      </c>
      <c r="H64" s="2"/>
      <c r="I64" s="2"/>
      <c r="J64" s="2"/>
      <c r="K64" s="2"/>
      <c r="L64" s="2"/>
      <c r="M64" s="2"/>
      <c r="N64" s="2"/>
    </row>
    <row r="65" spans="1:14" hidden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idden="1">
      <c r="A66" s="2"/>
      <c r="B66" s="2" t="s">
        <v>32</v>
      </c>
      <c r="C66" s="2" t="s">
        <v>33</v>
      </c>
      <c r="D66" s="2" t="s">
        <v>34</v>
      </c>
      <c r="E66" s="2" t="s">
        <v>35</v>
      </c>
      <c r="F66" s="2" t="s">
        <v>36</v>
      </c>
      <c r="G66" s="2" t="s">
        <v>37</v>
      </c>
      <c r="H66" s="2"/>
      <c r="I66" s="2"/>
      <c r="J66" s="2"/>
      <c r="K66" s="2"/>
      <c r="L66" s="2"/>
      <c r="M66" s="2"/>
      <c r="N66" s="2"/>
    </row>
    <row r="67" spans="1:14" hidden="1">
      <c r="A67" s="16" t="s">
        <v>38</v>
      </c>
      <c r="B67" s="2">
        <f>B5+C5</f>
        <v>0</v>
      </c>
      <c r="C67" s="2">
        <f>B17+C17</f>
        <v>3.75</v>
      </c>
      <c r="D67" s="2">
        <f>B29+C29</f>
        <v>4.07</v>
      </c>
      <c r="E67" s="2">
        <f>J5+K5</f>
        <v>0</v>
      </c>
      <c r="F67" s="2">
        <f>J17+K17</f>
        <v>0</v>
      </c>
      <c r="G67" s="2">
        <f>J29+K29</f>
        <v>0</v>
      </c>
      <c r="H67" s="2"/>
      <c r="I67" s="2"/>
      <c r="J67" s="2"/>
      <c r="K67" s="2"/>
      <c r="L67" s="2"/>
      <c r="M67" s="2"/>
      <c r="N67" s="2"/>
    </row>
    <row r="68" spans="1:14" hidden="1">
      <c r="A68" s="16" t="s">
        <v>39</v>
      </c>
      <c r="B68" s="2">
        <f>B67-R12</f>
        <v>-3.91</v>
      </c>
      <c r="C68" s="2">
        <f>C67-R12</f>
        <v>-0.16000000000000014</v>
      </c>
      <c r="D68" s="2">
        <f>D67-R12</f>
        <v>0.16000000000000014</v>
      </c>
      <c r="E68" s="2">
        <f>E67-R12</f>
        <v>-3.91</v>
      </c>
      <c r="F68" s="2">
        <f>F67-R12</f>
        <v>-3.91</v>
      </c>
      <c r="G68" s="2">
        <f>G67-R12</f>
        <v>-3.91</v>
      </c>
      <c r="H68" s="2"/>
      <c r="I68" s="2"/>
      <c r="J68" s="2"/>
      <c r="K68" s="2"/>
      <c r="L68" s="2"/>
      <c r="M68" s="2"/>
      <c r="N68" s="2"/>
    </row>
    <row r="69" spans="1:14" hidden="1">
      <c r="A69" s="2" t="s">
        <v>40</v>
      </c>
      <c r="B69" s="672">
        <f>R12</f>
        <v>3.91</v>
      </c>
      <c r="C69" s="672"/>
      <c r="D69" s="672"/>
      <c r="E69" s="672"/>
      <c r="F69" s="672"/>
      <c r="G69" s="672"/>
      <c r="H69" s="2"/>
      <c r="I69" s="2"/>
      <c r="J69" s="2"/>
      <c r="K69" s="2"/>
      <c r="L69" s="2"/>
      <c r="M69" s="2"/>
      <c r="N69" s="2"/>
    </row>
    <row r="70" spans="1:14" hidden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</sheetData>
  <mergeCells count="21">
    <mergeCell ref="N3:N4"/>
    <mergeCell ref="N15:N16"/>
    <mergeCell ref="N27:N28"/>
    <mergeCell ref="B69:G69"/>
    <mergeCell ref="E15:E16"/>
    <mergeCell ref="E27:E28"/>
    <mergeCell ref="F15:F16"/>
    <mergeCell ref="F27:F28"/>
    <mergeCell ref="M3:M4"/>
    <mergeCell ref="B15:D15"/>
    <mergeCell ref="J15:L15"/>
    <mergeCell ref="B27:D27"/>
    <mergeCell ref="J27:L27"/>
    <mergeCell ref="M15:M16"/>
    <mergeCell ref="M27:M28"/>
    <mergeCell ref="B2:C2"/>
    <mergeCell ref="J2:K2"/>
    <mergeCell ref="B3:D3"/>
    <mergeCell ref="J3:L3"/>
    <mergeCell ref="E3:E4"/>
    <mergeCell ref="F3:F4"/>
  </mergeCells>
  <phoneticPr fontId="54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indexed="33"/>
  </sheetPr>
  <dimension ref="B1:T48"/>
  <sheetViews>
    <sheetView topLeftCell="B1" workbookViewId="0">
      <selection activeCell="D7" sqref="D7"/>
    </sheetView>
  </sheetViews>
  <sheetFormatPr defaultColWidth="9" defaultRowHeight="15.6"/>
  <cols>
    <col min="1" max="2" width="3.6640625" style="18" customWidth="1"/>
    <col min="3" max="3" width="5" style="18" customWidth="1"/>
    <col min="4" max="4" width="10.6640625" style="18" customWidth="1"/>
    <col min="5" max="5" width="8.44140625" style="18" customWidth="1"/>
    <col min="6" max="6" width="10.6640625" style="18" customWidth="1"/>
    <col min="7" max="7" width="7.6640625" style="18" customWidth="1"/>
    <col min="8" max="8" width="10.77734375" style="18" customWidth="1"/>
    <col min="9" max="10" width="9.88671875" style="18" customWidth="1"/>
    <col min="11" max="11" width="11.6640625" style="18" customWidth="1"/>
    <col min="12" max="12" width="9.109375" style="18" customWidth="1"/>
    <col min="13" max="13" width="10.6640625" style="18" customWidth="1"/>
    <col min="14" max="14" width="13.77734375" style="18" customWidth="1"/>
    <col min="15" max="15" width="11.109375" style="18" customWidth="1"/>
    <col min="16" max="17" width="14.88671875" style="18"/>
    <col min="18" max="19" width="13.77734375" style="18"/>
    <col min="20" max="20" width="14.88671875" style="18"/>
    <col min="21" max="255" width="9" style="18"/>
    <col min="256" max="257" width="3.6640625" style="18" customWidth="1"/>
    <col min="258" max="258" width="5" style="18" customWidth="1"/>
    <col min="259" max="259" width="10" style="18" customWidth="1"/>
    <col min="260" max="260" width="8.44140625" style="18" customWidth="1"/>
    <col min="261" max="261" width="10" style="18" customWidth="1"/>
    <col min="262" max="262" width="7.6640625" style="18" customWidth="1"/>
    <col min="263" max="263" width="10.77734375" style="18" customWidth="1"/>
    <col min="264" max="264" width="8.109375" style="18" customWidth="1"/>
    <col min="265" max="266" width="9" style="18"/>
    <col min="267" max="267" width="9.77734375" style="18" customWidth="1"/>
    <col min="268" max="268" width="9.109375" style="18" customWidth="1"/>
    <col min="269" max="269" width="9" style="18"/>
    <col min="270" max="270" width="9.21875" style="18" customWidth="1"/>
    <col min="271" max="271" width="11.109375" style="18" customWidth="1"/>
    <col min="272" max="511" width="9" style="18"/>
    <col min="512" max="513" width="3.6640625" style="18" customWidth="1"/>
    <col min="514" max="514" width="5" style="18" customWidth="1"/>
    <col min="515" max="515" width="10" style="18" customWidth="1"/>
    <col min="516" max="516" width="8.44140625" style="18" customWidth="1"/>
    <col min="517" max="517" width="10" style="18" customWidth="1"/>
    <col min="518" max="518" width="7.6640625" style="18" customWidth="1"/>
    <col min="519" max="519" width="10.77734375" style="18" customWidth="1"/>
    <col min="520" max="520" width="8.109375" style="18" customWidth="1"/>
    <col min="521" max="522" width="9" style="18"/>
    <col min="523" max="523" width="9.77734375" style="18" customWidth="1"/>
    <col min="524" max="524" width="9.109375" style="18" customWidth="1"/>
    <col min="525" max="525" width="9" style="18"/>
    <col min="526" max="526" width="9.21875" style="18" customWidth="1"/>
    <col min="527" max="527" width="11.109375" style="18" customWidth="1"/>
    <col min="528" max="767" width="9" style="18"/>
    <col min="768" max="769" width="3.6640625" style="18" customWidth="1"/>
    <col min="770" max="770" width="5" style="18" customWidth="1"/>
    <col min="771" max="771" width="10" style="18" customWidth="1"/>
    <col min="772" max="772" width="8.44140625" style="18" customWidth="1"/>
    <col min="773" max="773" width="10" style="18" customWidth="1"/>
    <col min="774" max="774" width="7.6640625" style="18" customWidth="1"/>
    <col min="775" max="775" width="10.77734375" style="18" customWidth="1"/>
    <col min="776" max="776" width="8.109375" style="18" customWidth="1"/>
    <col min="777" max="778" width="9" style="18"/>
    <col min="779" max="779" width="9.77734375" style="18" customWidth="1"/>
    <col min="780" max="780" width="9.109375" style="18" customWidth="1"/>
    <col min="781" max="781" width="9" style="18"/>
    <col min="782" max="782" width="9.21875" style="18" customWidth="1"/>
    <col min="783" max="783" width="11.109375" style="18" customWidth="1"/>
    <col min="784" max="1023" width="9" style="18"/>
    <col min="1024" max="1025" width="3.6640625" style="18" customWidth="1"/>
    <col min="1026" max="1026" width="5" style="18" customWidth="1"/>
    <col min="1027" max="1027" width="10" style="18" customWidth="1"/>
    <col min="1028" max="1028" width="8.44140625" style="18" customWidth="1"/>
    <col min="1029" max="1029" width="10" style="18" customWidth="1"/>
    <col min="1030" max="1030" width="7.6640625" style="18" customWidth="1"/>
    <col min="1031" max="1031" width="10.77734375" style="18" customWidth="1"/>
    <col min="1032" max="1032" width="8.109375" style="18" customWidth="1"/>
    <col min="1033" max="1034" width="9" style="18"/>
    <col min="1035" max="1035" width="9.77734375" style="18" customWidth="1"/>
    <col min="1036" max="1036" width="9.109375" style="18" customWidth="1"/>
    <col min="1037" max="1037" width="9" style="18"/>
    <col min="1038" max="1038" width="9.21875" style="18" customWidth="1"/>
    <col min="1039" max="1039" width="11.109375" style="18" customWidth="1"/>
    <col min="1040" max="1279" width="9" style="18"/>
    <col min="1280" max="1281" width="3.6640625" style="18" customWidth="1"/>
    <col min="1282" max="1282" width="5" style="18" customWidth="1"/>
    <col min="1283" max="1283" width="10" style="18" customWidth="1"/>
    <col min="1284" max="1284" width="8.44140625" style="18" customWidth="1"/>
    <col min="1285" max="1285" width="10" style="18" customWidth="1"/>
    <col min="1286" max="1286" width="7.6640625" style="18" customWidth="1"/>
    <col min="1287" max="1287" width="10.77734375" style="18" customWidth="1"/>
    <col min="1288" max="1288" width="8.109375" style="18" customWidth="1"/>
    <col min="1289" max="1290" width="9" style="18"/>
    <col min="1291" max="1291" width="9.77734375" style="18" customWidth="1"/>
    <col min="1292" max="1292" width="9.109375" style="18" customWidth="1"/>
    <col min="1293" max="1293" width="9" style="18"/>
    <col min="1294" max="1294" width="9.21875" style="18" customWidth="1"/>
    <col min="1295" max="1295" width="11.109375" style="18" customWidth="1"/>
    <col min="1296" max="1535" width="9" style="18"/>
    <col min="1536" max="1537" width="3.6640625" style="18" customWidth="1"/>
    <col min="1538" max="1538" width="5" style="18" customWidth="1"/>
    <col min="1539" max="1539" width="10" style="18" customWidth="1"/>
    <col min="1540" max="1540" width="8.44140625" style="18" customWidth="1"/>
    <col min="1541" max="1541" width="10" style="18" customWidth="1"/>
    <col min="1542" max="1542" width="7.6640625" style="18" customWidth="1"/>
    <col min="1543" max="1543" width="10.77734375" style="18" customWidth="1"/>
    <col min="1544" max="1544" width="8.109375" style="18" customWidth="1"/>
    <col min="1545" max="1546" width="9" style="18"/>
    <col min="1547" max="1547" width="9.77734375" style="18" customWidth="1"/>
    <col min="1548" max="1548" width="9.109375" style="18" customWidth="1"/>
    <col min="1549" max="1549" width="9" style="18"/>
    <col min="1550" max="1550" width="9.21875" style="18" customWidth="1"/>
    <col min="1551" max="1551" width="11.109375" style="18" customWidth="1"/>
    <col min="1552" max="1791" width="9" style="18"/>
    <col min="1792" max="1793" width="3.6640625" style="18" customWidth="1"/>
    <col min="1794" max="1794" width="5" style="18" customWidth="1"/>
    <col min="1795" max="1795" width="10" style="18" customWidth="1"/>
    <col min="1796" max="1796" width="8.44140625" style="18" customWidth="1"/>
    <col min="1797" max="1797" width="10" style="18" customWidth="1"/>
    <col min="1798" max="1798" width="7.6640625" style="18" customWidth="1"/>
    <col min="1799" max="1799" width="10.77734375" style="18" customWidth="1"/>
    <col min="1800" max="1800" width="8.109375" style="18" customWidth="1"/>
    <col min="1801" max="1802" width="9" style="18"/>
    <col min="1803" max="1803" width="9.77734375" style="18" customWidth="1"/>
    <col min="1804" max="1804" width="9.109375" style="18" customWidth="1"/>
    <col min="1805" max="1805" width="9" style="18"/>
    <col min="1806" max="1806" width="9.21875" style="18" customWidth="1"/>
    <col min="1807" max="1807" width="11.109375" style="18" customWidth="1"/>
    <col min="1808" max="2047" width="9" style="18"/>
    <col min="2048" max="2049" width="3.6640625" style="18" customWidth="1"/>
    <col min="2050" max="2050" width="5" style="18" customWidth="1"/>
    <col min="2051" max="2051" width="10" style="18" customWidth="1"/>
    <col min="2052" max="2052" width="8.44140625" style="18" customWidth="1"/>
    <col min="2053" max="2053" width="10" style="18" customWidth="1"/>
    <col min="2054" max="2054" width="7.6640625" style="18" customWidth="1"/>
    <col min="2055" max="2055" width="10.77734375" style="18" customWidth="1"/>
    <col min="2056" max="2056" width="8.109375" style="18" customWidth="1"/>
    <col min="2057" max="2058" width="9" style="18"/>
    <col min="2059" max="2059" width="9.77734375" style="18" customWidth="1"/>
    <col min="2060" max="2060" width="9.109375" style="18" customWidth="1"/>
    <col min="2061" max="2061" width="9" style="18"/>
    <col min="2062" max="2062" width="9.21875" style="18" customWidth="1"/>
    <col min="2063" max="2063" width="11.109375" style="18" customWidth="1"/>
    <col min="2064" max="2303" width="9" style="18"/>
    <col min="2304" max="2305" width="3.6640625" style="18" customWidth="1"/>
    <col min="2306" max="2306" width="5" style="18" customWidth="1"/>
    <col min="2307" max="2307" width="10" style="18" customWidth="1"/>
    <col min="2308" max="2308" width="8.44140625" style="18" customWidth="1"/>
    <col min="2309" max="2309" width="10" style="18" customWidth="1"/>
    <col min="2310" max="2310" width="7.6640625" style="18" customWidth="1"/>
    <col min="2311" max="2311" width="10.77734375" style="18" customWidth="1"/>
    <col min="2312" max="2312" width="8.109375" style="18" customWidth="1"/>
    <col min="2313" max="2314" width="9" style="18"/>
    <col min="2315" max="2315" width="9.77734375" style="18" customWidth="1"/>
    <col min="2316" max="2316" width="9.109375" style="18" customWidth="1"/>
    <col min="2317" max="2317" width="9" style="18"/>
    <col min="2318" max="2318" width="9.21875" style="18" customWidth="1"/>
    <col min="2319" max="2319" width="11.109375" style="18" customWidth="1"/>
    <col min="2320" max="2559" width="9" style="18"/>
    <col min="2560" max="2561" width="3.6640625" style="18" customWidth="1"/>
    <col min="2562" max="2562" width="5" style="18" customWidth="1"/>
    <col min="2563" max="2563" width="10" style="18" customWidth="1"/>
    <col min="2564" max="2564" width="8.44140625" style="18" customWidth="1"/>
    <col min="2565" max="2565" width="10" style="18" customWidth="1"/>
    <col min="2566" max="2566" width="7.6640625" style="18" customWidth="1"/>
    <col min="2567" max="2567" width="10.77734375" style="18" customWidth="1"/>
    <col min="2568" max="2568" width="8.109375" style="18" customWidth="1"/>
    <col min="2569" max="2570" width="9" style="18"/>
    <col min="2571" max="2571" width="9.77734375" style="18" customWidth="1"/>
    <col min="2572" max="2572" width="9.109375" style="18" customWidth="1"/>
    <col min="2573" max="2573" width="9" style="18"/>
    <col min="2574" max="2574" width="9.21875" style="18" customWidth="1"/>
    <col min="2575" max="2575" width="11.109375" style="18" customWidth="1"/>
    <col min="2576" max="2815" width="9" style="18"/>
    <col min="2816" max="2817" width="3.6640625" style="18" customWidth="1"/>
    <col min="2818" max="2818" width="5" style="18" customWidth="1"/>
    <col min="2819" max="2819" width="10" style="18" customWidth="1"/>
    <col min="2820" max="2820" width="8.44140625" style="18" customWidth="1"/>
    <col min="2821" max="2821" width="10" style="18" customWidth="1"/>
    <col min="2822" max="2822" width="7.6640625" style="18" customWidth="1"/>
    <col min="2823" max="2823" width="10.77734375" style="18" customWidth="1"/>
    <col min="2824" max="2824" width="8.109375" style="18" customWidth="1"/>
    <col min="2825" max="2826" width="9" style="18"/>
    <col min="2827" max="2827" width="9.77734375" style="18" customWidth="1"/>
    <col min="2828" max="2828" width="9.109375" style="18" customWidth="1"/>
    <col min="2829" max="2829" width="9" style="18"/>
    <col min="2830" max="2830" width="9.21875" style="18" customWidth="1"/>
    <col min="2831" max="2831" width="11.109375" style="18" customWidth="1"/>
    <col min="2832" max="3071" width="9" style="18"/>
    <col min="3072" max="3073" width="3.6640625" style="18" customWidth="1"/>
    <col min="3074" max="3074" width="5" style="18" customWidth="1"/>
    <col min="3075" max="3075" width="10" style="18" customWidth="1"/>
    <col min="3076" max="3076" width="8.44140625" style="18" customWidth="1"/>
    <col min="3077" max="3077" width="10" style="18" customWidth="1"/>
    <col min="3078" max="3078" width="7.6640625" style="18" customWidth="1"/>
    <col min="3079" max="3079" width="10.77734375" style="18" customWidth="1"/>
    <col min="3080" max="3080" width="8.109375" style="18" customWidth="1"/>
    <col min="3081" max="3082" width="9" style="18"/>
    <col min="3083" max="3083" width="9.77734375" style="18" customWidth="1"/>
    <col min="3084" max="3084" width="9.109375" style="18" customWidth="1"/>
    <col min="3085" max="3085" width="9" style="18"/>
    <col min="3086" max="3086" width="9.21875" style="18" customWidth="1"/>
    <col min="3087" max="3087" width="11.109375" style="18" customWidth="1"/>
    <col min="3088" max="3327" width="9" style="18"/>
    <col min="3328" max="3329" width="3.6640625" style="18" customWidth="1"/>
    <col min="3330" max="3330" width="5" style="18" customWidth="1"/>
    <col min="3331" max="3331" width="10" style="18" customWidth="1"/>
    <col min="3332" max="3332" width="8.44140625" style="18" customWidth="1"/>
    <col min="3333" max="3333" width="10" style="18" customWidth="1"/>
    <col min="3334" max="3334" width="7.6640625" style="18" customWidth="1"/>
    <col min="3335" max="3335" width="10.77734375" style="18" customWidth="1"/>
    <col min="3336" max="3336" width="8.109375" style="18" customWidth="1"/>
    <col min="3337" max="3338" width="9" style="18"/>
    <col min="3339" max="3339" width="9.77734375" style="18" customWidth="1"/>
    <col min="3340" max="3340" width="9.109375" style="18" customWidth="1"/>
    <col min="3341" max="3341" width="9" style="18"/>
    <col min="3342" max="3342" width="9.21875" style="18" customWidth="1"/>
    <col min="3343" max="3343" width="11.109375" style="18" customWidth="1"/>
    <col min="3344" max="3583" width="9" style="18"/>
    <col min="3584" max="3585" width="3.6640625" style="18" customWidth="1"/>
    <col min="3586" max="3586" width="5" style="18" customWidth="1"/>
    <col min="3587" max="3587" width="10" style="18" customWidth="1"/>
    <col min="3588" max="3588" width="8.44140625" style="18" customWidth="1"/>
    <col min="3589" max="3589" width="10" style="18" customWidth="1"/>
    <col min="3590" max="3590" width="7.6640625" style="18" customWidth="1"/>
    <col min="3591" max="3591" width="10.77734375" style="18" customWidth="1"/>
    <col min="3592" max="3592" width="8.109375" style="18" customWidth="1"/>
    <col min="3593" max="3594" width="9" style="18"/>
    <col min="3595" max="3595" width="9.77734375" style="18" customWidth="1"/>
    <col min="3596" max="3596" width="9.109375" style="18" customWidth="1"/>
    <col min="3597" max="3597" width="9" style="18"/>
    <col min="3598" max="3598" width="9.21875" style="18" customWidth="1"/>
    <col min="3599" max="3599" width="11.109375" style="18" customWidth="1"/>
    <col min="3600" max="3839" width="9" style="18"/>
    <col min="3840" max="3841" width="3.6640625" style="18" customWidth="1"/>
    <col min="3842" max="3842" width="5" style="18" customWidth="1"/>
    <col min="3843" max="3843" width="10" style="18" customWidth="1"/>
    <col min="3844" max="3844" width="8.44140625" style="18" customWidth="1"/>
    <col min="3845" max="3845" width="10" style="18" customWidth="1"/>
    <col min="3846" max="3846" width="7.6640625" style="18" customWidth="1"/>
    <col min="3847" max="3847" width="10.77734375" style="18" customWidth="1"/>
    <col min="3848" max="3848" width="8.109375" style="18" customWidth="1"/>
    <col min="3849" max="3850" width="9" style="18"/>
    <col min="3851" max="3851" width="9.77734375" style="18" customWidth="1"/>
    <col min="3852" max="3852" width="9.109375" style="18" customWidth="1"/>
    <col min="3853" max="3853" width="9" style="18"/>
    <col min="3854" max="3854" width="9.21875" style="18" customWidth="1"/>
    <col min="3855" max="3855" width="11.109375" style="18" customWidth="1"/>
    <col min="3856" max="4095" width="9" style="18"/>
    <col min="4096" max="4097" width="3.6640625" style="18" customWidth="1"/>
    <col min="4098" max="4098" width="5" style="18" customWidth="1"/>
    <col min="4099" max="4099" width="10" style="18" customWidth="1"/>
    <col min="4100" max="4100" width="8.44140625" style="18" customWidth="1"/>
    <col min="4101" max="4101" width="10" style="18" customWidth="1"/>
    <col min="4102" max="4102" width="7.6640625" style="18" customWidth="1"/>
    <col min="4103" max="4103" width="10.77734375" style="18" customWidth="1"/>
    <col min="4104" max="4104" width="8.109375" style="18" customWidth="1"/>
    <col min="4105" max="4106" width="9" style="18"/>
    <col min="4107" max="4107" width="9.77734375" style="18" customWidth="1"/>
    <col min="4108" max="4108" width="9.109375" style="18" customWidth="1"/>
    <col min="4109" max="4109" width="9" style="18"/>
    <col min="4110" max="4110" width="9.21875" style="18" customWidth="1"/>
    <col min="4111" max="4111" width="11.109375" style="18" customWidth="1"/>
    <col min="4112" max="4351" width="9" style="18"/>
    <col min="4352" max="4353" width="3.6640625" style="18" customWidth="1"/>
    <col min="4354" max="4354" width="5" style="18" customWidth="1"/>
    <col min="4355" max="4355" width="10" style="18" customWidth="1"/>
    <col min="4356" max="4356" width="8.44140625" style="18" customWidth="1"/>
    <col min="4357" max="4357" width="10" style="18" customWidth="1"/>
    <col min="4358" max="4358" width="7.6640625" style="18" customWidth="1"/>
    <col min="4359" max="4359" width="10.77734375" style="18" customWidth="1"/>
    <col min="4360" max="4360" width="8.109375" style="18" customWidth="1"/>
    <col min="4361" max="4362" width="9" style="18"/>
    <col min="4363" max="4363" width="9.77734375" style="18" customWidth="1"/>
    <col min="4364" max="4364" width="9.109375" style="18" customWidth="1"/>
    <col min="4365" max="4365" width="9" style="18"/>
    <col min="4366" max="4366" width="9.21875" style="18" customWidth="1"/>
    <col min="4367" max="4367" width="11.109375" style="18" customWidth="1"/>
    <col min="4368" max="4607" width="9" style="18"/>
    <col min="4608" max="4609" width="3.6640625" style="18" customWidth="1"/>
    <col min="4610" max="4610" width="5" style="18" customWidth="1"/>
    <col min="4611" max="4611" width="10" style="18" customWidth="1"/>
    <col min="4612" max="4612" width="8.44140625" style="18" customWidth="1"/>
    <col min="4613" max="4613" width="10" style="18" customWidth="1"/>
    <col min="4614" max="4614" width="7.6640625" style="18" customWidth="1"/>
    <col min="4615" max="4615" width="10.77734375" style="18" customWidth="1"/>
    <col min="4616" max="4616" width="8.109375" style="18" customWidth="1"/>
    <col min="4617" max="4618" width="9" style="18"/>
    <col min="4619" max="4619" width="9.77734375" style="18" customWidth="1"/>
    <col min="4620" max="4620" width="9.109375" style="18" customWidth="1"/>
    <col min="4621" max="4621" width="9" style="18"/>
    <col min="4622" max="4622" width="9.21875" style="18" customWidth="1"/>
    <col min="4623" max="4623" width="11.109375" style="18" customWidth="1"/>
    <col min="4624" max="4863" width="9" style="18"/>
    <col min="4864" max="4865" width="3.6640625" style="18" customWidth="1"/>
    <col min="4866" max="4866" width="5" style="18" customWidth="1"/>
    <col min="4867" max="4867" width="10" style="18" customWidth="1"/>
    <col min="4868" max="4868" width="8.44140625" style="18" customWidth="1"/>
    <col min="4869" max="4869" width="10" style="18" customWidth="1"/>
    <col min="4870" max="4870" width="7.6640625" style="18" customWidth="1"/>
    <col min="4871" max="4871" width="10.77734375" style="18" customWidth="1"/>
    <col min="4872" max="4872" width="8.109375" style="18" customWidth="1"/>
    <col min="4873" max="4874" width="9" style="18"/>
    <col min="4875" max="4875" width="9.77734375" style="18" customWidth="1"/>
    <col min="4876" max="4876" width="9.109375" style="18" customWidth="1"/>
    <col min="4877" max="4877" width="9" style="18"/>
    <col min="4878" max="4878" width="9.21875" style="18" customWidth="1"/>
    <col min="4879" max="4879" width="11.109375" style="18" customWidth="1"/>
    <col min="4880" max="5119" width="9" style="18"/>
    <col min="5120" max="5121" width="3.6640625" style="18" customWidth="1"/>
    <col min="5122" max="5122" width="5" style="18" customWidth="1"/>
    <col min="5123" max="5123" width="10" style="18" customWidth="1"/>
    <col min="5124" max="5124" width="8.44140625" style="18" customWidth="1"/>
    <col min="5125" max="5125" width="10" style="18" customWidth="1"/>
    <col min="5126" max="5126" width="7.6640625" style="18" customWidth="1"/>
    <col min="5127" max="5127" width="10.77734375" style="18" customWidth="1"/>
    <col min="5128" max="5128" width="8.109375" style="18" customWidth="1"/>
    <col min="5129" max="5130" width="9" style="18"/>
    <col min="5131" max="5131" width="9.77734375" style="18" customWidth="1"/>
    <col min="5132" max="5132" width="9.109375" style="18" customWidth="1"/>
    <col min="5133" max="5133" width="9" style="18"/>
    <col min="5134" max="5134" width="9.21875" style="18" customWidth="1"/>
    <col min="5135" max="5135" width="11.109375" style="18" customWidth="1"/>
    <col min="5136" max="5375" width="9" style="18"/>
    <col min="5376" max="5377" width="3.6640625" style="18" customWidth="1"/>
    <col min="5378" max="5378" width="5" style="18" customWidth="1"/>
    <col min="5379" max="5379" width="10" style="18" customWidth="1"/>
    <col min="5380" max="5380" width="8.44140625" style="18" customWidth="1"/>
    <col min="5381" max="5381" width="10" style="18" customWidth="1"/>
    <col min="5382" max="5382" width="7.6640625" style="18" customWidth="1"/>
    <col min="5383" max="5383" width="10.77734375" style="18" customWidth="1"/>
    <col min="5384" max="5384" width="8.109375" style="18" customWidth="1"/>
    <col min="5385" max="5386" width="9" style="18"/>
    <col min="5387" max="5387" width="9.77734375" style="18" customWidth="1"/>
    <col min="5388" max="5388" width="9.109375" style="18" customWidth="1"/>
    <col min="5389" max="5389" width="9" style="18"/>
    <col min="5390" max="5390" width="9.21875" style="18" customWidth="1"/>
    <col min="5391" max="5391" width="11.109375" style="18" customWidth="1"/>
    <col min="5392" max="5631" width="9" style="18"/>
    <col min="5632" max="5633" width="3.6640625" style="18" customWidth="1"/>
    <col min="5634" max="5634" width="5" style="18" customWidth="1"/>
    <col min="5635" max="5635" width="10" style="18" customWidth="1"/>
    <col min="5636" max="5636" width="8.44140625" style="18" customWidth="1"/>
    <col min="5637" max="5637" width="10" style="18" customWidth="1"/>
    <col min="5638" max="5638" width="7.6640625" style="18" customWidth="1"/>
    <col min="5639" max="5639" width="10.77734375" style="18" customWidth="1"/>
    <col min="5640" max="5640" width="8.109375" style="18" customWidth="1"/>
    <col min="5641" max="5642" width="9" style="18"/>
    <col min="5643" max="5643" width="9.77734375" style="18" customWidth="1"/>
    <col min="5644" max="5644" width="9.109375" style="18" customWidth="1"/>
    <col min="5645" max="5645" width="9" style="18"/>
    <col min="5646" max="5646" width="9.21875" style="18" customWidth="1"/>
    <col min="5647" max="5647" width="11.109375" style="18" customWidth="1"/>
    <col min="5648" max="5887" width="9" style="18"/>
    <col min="5888" max="5889" width="3.6640625" style="18" customWidth="1"/>
    <col min="5890" max="5890" width="5" style="18" customWidth="1"/>
    <col min="5891" max="5891" width="10" style="18" customWidth="1"/>
    <col min="5892" max="5892" width="8.44140625" style="18" customWidth="1"/>
    <col min="5893" max="5893" width="10" style="18" customWidth="1"/>
    <col min="5894" max="5894" width="7.6640625" style="18" customWidth="1"/>
    <col min="5895" max="5895" width="10.77734375" style="18" customWidth="1"/>
    <col min="5896" max="5896" width="8.109375" style="18" customWidth="1"/>
    <col min="5897" max="5898" width="9" style="18"/>
    <col min="5899" max="5899" width="9.77734375" style="18" customWidth="1"/>
    <col min="5900" max="5900" width="9.109375" style="18" customWidth="1"/>
    <col min="5901" max="5901" width="9" style="18"/>
    <col min="5902" max="5902" width="9.21875" style="18" customWidth="1"/>
    <col min="5903" max="5903" width="11.109375" style="18" customWidth="1"/>
    <col min="5904" max="6143" width="9" style="18"/>
    <col min="6144" max="6145" width="3.6640625" style="18" customWidth="1"/>
    <col min="6146" max="6146" width="5" style="18" customWidth="1"/>
    <col min="6147" max="6147" width="10" style="18" customWidth="1"/>
    <col min="6148" max="6148" width="8.44140625" style="18" customWidth="1"/>
    <col min="6149" max="6149" width="10" style="18" customWidth="1"/>
    <col min="6150" max="6150" width="7.6640625" style="18" customWidth="1"/>
    <col min="6151" max="6151" width="10.77734375" style="18" customWidth="1"/>
    <col min="6152" max="6152" width="8.109375" style="18" customWidth="1"/>
    <col min="6153" max="6154" width="9" style="18"/>
    <col min="6155" max="6155" width="9.77734375" style="18" customWidth="1"/>
    <col min="6156" max="6156" width="9.109375" style="18" customWidth="1"/>
    <col min="6157" max="6157" width="9" style="18"/>
    <col min="6158" max="6158" width="9.21875" style="18" customWidth="1"/>
    <col min="6159" max="6159" width="11.109375" style="18" customWidth="1"/>
    <col min="6160" max="6399" width="9" style="18"/>
    <col min="6400" max="6401" width="3.6640625" style="18" customWidth="1"/>
    <col min="6402" max="6402" width="5" style="18" customWidth="1"/>
    <col min="6403" max="6403" width="10" style="18" customWidth="1"/>
    <col min="6404" max="6404" width="8.44140625" style="18" customWidth="1"/>
    <col min="6405" max="6405" width="10" style="18" customWidth="1"/>
    <col min="6406" max="6406" width="7.6640625" style="18" customWidth="1"/>
    <col min="6407" max="6407" width="10.77734375" style="18" customWidth="1"/>
    <col min="6408" max="6408" width="8.109375" style="18" customWidth="1"/>
    <col min="6409" max="6410" width="9" style="18"/>
    <col min="6411" max="6411" width="9.77734375" style="18" customWidth="1"/>
    <col min="6412" max="6412" width="9.109375" style="18" customWidth="1"/>
    <col min="6413" max="6413" width="9" style="18"/>
    <col min="6414" max="6414" width="9.21875" style="18" customWidth="1"/>
    <col min="6415" max="6415" width="11.109375" style="18" customWidth="1"/>
    <col min="6416" max="6655" width="9" style="18"/>
    <col min="6656" max="6657" width="3.6640625" style="18" customWidth="1"/>
    <col min="6658" max="6658" width="5" style="18" customWidth="1"/>
    <col min="6659" max="6659" width="10" style="18" customWidth="1"/>
    <col min="6660" max="6660" width="8.44140625" style="18" customWidth="1"/>
    <col min="6661" max="6661" width="10" style="18" customWidth="1"/>
    <col min="6662" max="6662" width="7.6640625" style="18" customWidth="1"/>
    <col min="6663" max="6663" width="10.77734375" style="18" customWidth="1"/>
    <col min="6664" max="6664" width="8.109375" style="18" customWidth="1"/>
    <col min="6665" max="6666" width="9" style="18"/>
    <col min="6667" max="6667" width="9.77734375" style="18" customWidth="1"/>
    <col min="6668" max="6668" width="9.109375" style="18" customWidth="1"/>
    <col min="6669" max="6669" width="9" style="18"/>
    <col min="6670" max="6670" width="9.21875" style="18" customWidth="1"/>
    <col min="6671" max="6671" width="11.109375" style="18" customWidth="1"/>
    <col min="6672" max="6911" width="9" style="18"/>
    <col min="6912" max="6913" width="3.6640625" style="18" customWidth="1"/>
    <col min="6914" max="6914" width="5" style="18" customWidth="1"/>
    <col min="6915" max="6915" width="10" style="18" customWidth="1"/>
    <col min="6916" max="6916" width="8.44140625" style="18" customWidth="1"/>
    <col min="6917" max="6917" width="10" style="18" customWidth="1"/>
    <col min="6918" max="6918" width="7.6640625" style="18" customWidth="1"/>
    <col min="6919" max="6919" width="10.77734375" style="18" customWidth="1"/>
    <col min="6920" max="6920" width="8.109375" style="18" customWidth="1"/>
    <col min="6921" max="6922" width="9" style="18"/>
    <col min="6923" max="6923" width="9.77734375" style="18" customWidth="1"/>
    <col min="6924" max="6924" width="9.109375" style="18" customWidth="1"/>
    <col min="6925" max="6925" width="9" style="18"/>
    <col min="6926" max="6926" width="9.21875" style="18" customWidth="1"/>
    <col min="6927" max="6927" width="11.109375" style="18" customWidth="1"/>
    <col min="6928" max="7167" width="9" style="18"/>
    <col min="7168" max="7169" width="3.6640625" style="18" customWidth="1"/>
    <col min="7170" max="7170" width="5" style="18" customWidth="1"/>
    <col min="7171" max="7171" width="10" style="18" customWidth="1"/>
    <col min="7172" max="7172" width="8.44140625" style="18" customWidth="1"/>
    <col min="7173" max="7173" width="10" style="18" customWidth="1"/>
    <col min="7174" max="7174" width="7.6640625" style="18" customWidth="1"/>
    <col min="7175" max="7175" width="10.77734375" style="18" customWidth="1"/>
    <col min="7176" max="7176" width="8.109375" style="18" customWidth="1"/>
    <col min="7177" max="7178" width="9" style="18"/>
    <col min="7179" max="7179" width="9.77734375" style="18" customWidth="1"/>
    <col min="7180" max="7180" width="9.109375" style="18" customWidth="1"/>
    <col min="7181" max="7181" width="9" style="18"/>
    <col min="7182" max="7182" width="9.21875" style="18" customWidth="1"/>
    <col min="7183" max="7183" width="11.109375" style="18" customWidth="1"/>
    <col min="7184" max="7423" width="9" style="18"/>
    <col min="7424" max="7425" width="3.6640625" style="18" customWidth="1"/>
    <col min="7426" max="7426" width="5" style="18" customWidth="1"/>
    <col min="7427" max="7427" width="10" style="18" customWidth="1"/>
    <col min="7428" max="7428" width="8.44140625" style="18" customWidth="1"/>
    <col min="7429" max="7429" width="10" style="18" customWidth="1"/>
    <col min="7430" max="7430" width="7.6640625" style="18" customWidth="1"/>
    <col min="7431" max="7431" width="10.77734375" style="18" customWidth="1"/>
    <col min="7432" max="7432" width="8.109375" style="18" customWidth="1"/>
    <col min="7433" max="7434" width="9" style="18"/>
    <col min="7435" max="7435" width="9.77734375" style="18" customWidth="1"/>
    <col min="7436" max="7436" width="9.109375" style="18" customWidth="1"/>
    <col min="7437" max="7437" width="9" style="18"/>
    <col min="7438" max="7438" width="9.21875" style="18" customWidth="1"/>
    <col min="7439" max="7439" width="11.109375" style="18" customWidth="1"/>
    <col min="7440" max="7679" width="9" style="18"/>
    <col min="7680" max="7681" width="3.6640625" style="18" customWidth="1"/>
    <col min="7682" max="7682" width="5" style="18" customWidth="1"/>
    <col min="7683" max="7683" width="10" style="18" customWidth="1"/>
    <col min="7684" max="7684" width="8.44140625" style="18" customWidth="1"/>
    <col min="7685" max="7685" width="10" style="18" customWidth="1"/>
    <col min="7686" max="7686" width="7.6640625" style="18" customWidth="1"/>
    <col min="7687" max="7687" width="10.77734375" style="18" customWidth="1"/>
    <col min="7688" max="7688" width="8.109375" style="18" customWidth="1"/>
    <col min="7689" max="7690" width="9" style="18"/>
    <col min="7691" max="7691" width="9.77734375" style="18" customWidth="1"/>
    <col min="7692" max="7692" width="9.109375" style="18" customWidth="1"/>
    <col min="7693" max="7693" width="9" style="18"/>
    <col min="7694" max="7694" width="9.21875" style="18" customWidth="1"/>
    <col min="7695" max="7695" width="11.109375" style="18" customWidth="1"/>
    <col min="7696" max="7935" width="9" style="18"/>
    <col min="7936" max="7937" width="3.6640625" style="18" customWidth="1"/>
    <col min="7938" max="7938" width="5" style="18" customWidth="1"/>
    <col min="7939" max="7939" width="10" style="18" customWidth="1"/>
    <col min="7940" max="7940" width="8.44140625" style="18" customWidth="1"/>
    <col min="7941" max="7941" width="10" style="18" customWidth="1"/>
    <col min="7942" max="7942" width="7.6640625" style="18" customWidth="1"/>
    <col min="7943" max="7943" width="10.77734375" style="18" customWidth="1"/>
    <col min="7944" max="7944" width="8.109375" style="18" customWidth="1"/>
    <col min="7945" max="7946" width="9" style="18"/>
    <col min="7947" max="7947" width="9.77734375" style="18" customWidth="1"/>
    <col min="7948" max="7948" width="9.109375" style="18" customWidth="1"/>
    <col min="7949" max="7949" width="9" style="18"/>
    <col min="7950" max="7950" width="9.21875" style="18" customWidth="1"/>
    <col min="7951" max="7951" width="11.109375" style="18" customWidth="1"/>
    <col min="7952" max="8191" width="9" style="18"/>
    <col min="8192" max="8193" width="3.6640625" style="18" customWidth="1"/>
    <col min="8194" max="8194" width="5" style="18" customWidth="1"/>
    <col min="8195" max="8195" width="10" style="18" customWidth="1"/>
    <col min="8196" max="8196" width="8.44140625" style="18" customWidth="1"/>
    <col min="8197" max="8197" width="10" style="18" customWidth="1"/>
    <col min="8198" max="8198" width="7.6640625" style="18" customWidth="1"/>
    <col min="8199" max="8199" width="10.77734375" style="18" customWidth="1"/>
    <col min="8200" max="8200" width="8.109375" style="18" customWidth="1"/>
    <col min="8201" max="8202" width="9" style="18"/>
    <col min="8203" max="8203" width="9.77734375" style="18" customWidth="1"/>
    <col min="8204" max="8204" width="9.109375" style="18" customWidth="1"/>
    <col min="8205" max="8205" width="9" style="18"/>
    <col min="8206" max="8206" width="9.21875" style="18" customWidth="1"/>
    <col min="8207" max="8207" width="11.109375" style="18" customWidth="1"/>
    <col min="8208" max="8447" width="9" style="18"/>
    <col min="8448" max="8449" width="3.6640625" style="18" customWidth="1"/>
    <col min="8450" max="8450" width="5" style="18" customWidth="1"/>
    <col min="8451" max="8451" width="10" style="18" customWidth="1"/>
    <col min="8452" max="8452" width="8.44140625" style="18" customWidth="1"/>
    <col min="8453" max="8453" width="10" style="18" customWidth="1"/>
    <col min="8454" max="8454" width="7.6640625" style="18" customWidth="1"/>
    <col min="8455" max="8455" width="10.77734375" style="18" customWidth="1"/>
    <col min="8456" max="8456" width="8.109375" style="18" customWidth="1"/>
    <col min="8457" max="8458" width="9" style="18"/>
    <col min="8459" max="8459" width="9.77734375" style="18" customWidth="1"/>
    <col min="8460" max="8460" width="9.109375" style="18" customWidth="1"/>
    <col min="8461" max="8461" width="9" style="18"/>
    <col min="8462" max="8462" width="9.21875" style="18" customWidth="1"/>
    <col min="8463" max="8463" width="11.109375" style="18" customWidth="1"/>
    <col min="8464" max="8703" width="9" style="18"/>
    <col min="8704" max="8705" width="3.6640625" style="18" customWidth="1"/>
    <col min="8706" max="8706" width="5" style="18" customWidth="1"/>
    <col min="8707" max="8707" width="10" style="18" customWidth="1"/>
    <col min="8708" max="8708" width="8.44140625" style="18" customWidth="1"/>
    <col min="8709" max="8709" width="10" style="18" customWidth="1"/>
    <col min="8710" max="8710" width="7.6640625" style="18" customWidth="1"/>
    <col min="8711" max="8711" width="10.77734375" style="18" customWidth="1"/>
    <col min="8712" max="8712" width="8.109375" style="18" customWidth="1"/>
    <col min="8713" max="8714" width="9" style="18"/>
    <col min="8715" max="8715" width="9.77734375" style="18" customWidth="1"/>
    <col min="8716" max="8716" width="9.109375" style="18" customWidth="1"/>
    <col min="8717" max="8717" width="9" style="18"/>
    <col min="8718" max="8718" width="9.21875" style="18" customWidth="1"/>
    <col min="8719" max="8719" width="11.109375" style="18" customWidth="1"/>
    <col min="8720" max="8959" width="9" style="18"/>
    <col min="8960" max="8961" width="3.6640625" style="18" customWidth="1"/>
    <col min="8962" max="8962" width="5" style="18" customWidth="1"/>
    <col min="8963" max="8963" width="10" style="18" customWidth="1"/>
    <col min="8964" max="8964" width="8.44140625" style="18" customWidth="1"/>
    <col min="8965" max="8965" width="10" style="18" customWidth="1"/>
    <col min="8966" max="8966" width="7.6640625" style="18" customWidth="1"/>
    <col min="8967" max="8967" width="10.77734375" style="18" customWidth="1"/>
    <col min="8968" max="8968" width="8.109375" style="18" customWidth="1"/>
    <col min="8969" max="8970" width="9" style="18"/>
    <col min="8971" max="8971" width="9.77734375" style="18" customWidth="1"/>
    <col min="8972" max="8972" width="9.109375" style="18" customWidth="1"/>
    <col min="8973" max="8973" width="9" style="18"/>
    <col min="8974" max="8974" width="9.21875" style="18" customWidth="1"/>
    <col min="8975" max="8975" width="11.109375" style="18" customWidth="1"/>
    <col min="8976" max="9215" width="9" style="18"/>
    <col min="9216" max="9217" width="3.6640625" style="18" customWidth="1"/>
    <col min="9218" max="9218" width="5" style="18" customWidth="1"/>
    <col min="9219" max="9219" width="10" style="18" customWidth="1"/>
    <col min="9220" max="9220" width="8.44140625" style="18" customWidth="1"/>
    <col min="9221" max="9221" width="10" style="18" customWidth="1"/>
    <col min="9222" max="9222" width="7.6640625" style="18" customWidth="1"/>
    <col min="9223" max="9223" width="10.77734375" style="18" customWidth="1"/>
    <col min="9224" max="9224" width="8.109375" style="18" customWidth="1"/>
    <col min="9225" max="9226" width="9" style="18"/>
    <col min="9227" max="9227" width="9.77734375" style="18" customWidth="1"/>
    <col min="9228" max="9228" width="9.109375" style="18" customWidth="1"/>
    <col min="9229" max="9229" width="9" style="18"/>
    <col min="9230" max="9230" width="9.21875" style="18" customWidth="1"/>
    <col min="9231" max="9231" width="11.109375" style="18" customWidth="1"/>
    <col min="9232" max="9471" width="9" style="18"/>
    <col min="9472" max="9473" width="3.6640625" style="18" customWidth="1"/>
    <col min="9474" max="9474" width="5" style="18" customWidth="1"/>
    <col min="9475" max="9475" width="10" style="18" customWidth="1"/>
    <col min="9476" max="9476" width="8.44140625" style="18" customWidth="1"/>
    <col min="9477" max="9477" width="10" style="18" customWidth="1"/>
    <col min="9478" max="9478" width="7.6640625" style="18" customWidth="1"/>
    <col min="9479" max="9479" width="10.77734375" style="18" customWidth="1"/>
    <col min="9480" max="9480" width="8.109375" style="18" customWidth="1"/>
    <col min="9481" max="9482" width="9" style="18"/>
    <col min="9483" max="9483" width="9.77734375" style="18" customWidth="1"/>
    <col min="9484" max="9484" width="9.109375" style="18" customWidth="1"/>
    <col min="9485" max="9485" width="9" style="18"/>
    <col min="9486" max="9486" width="9.21875" style="18" customWidth="1"/>
    <col min="9487" max="9487" width="11.109375" style="18" customWidth="1"/>
    <col min="9488" max="9727" width="9" style="18"/>
    <col min="9728" max="9729" width="3.6640625" style="18" customWidth="1"/>
    <col min="9730" max="9730" width="5" style="18" customWidth="1"/>
    <col min="9731" max="9731" width="10" style="18" customWidth="1"/>
    <col min="9732" max="9732" width="8.44140625" style="18" customWidth="1"/>
    <col min="9733" max="9733" width="10" style="18" customWidth="1"/>
    <col min="9734" max="9734" width="7.6640625" style="18" customWidth="1"/>
    <col min="9735" max="9735" width="10.77734375" style="18" customWidth="1"/>
    <col min="9736" max="9736" width="8.109375" style="18" customWidth="1"/>
    <col min="9737" max="9738" width="9" style="18"/>
    <col min="9739" max="9739" width="9.77734375" style="18" customWidth="1"/>
    <col min="9740" max="9740" width="9.109375" style="18" customWidth="1"/>
    <col min="9741" max="9741" width="9" style="18"/>
    <col min="9742" max="9742" width="9.21875" style="18" customWidth="1"/>
    <col min="9743" max="9743" width="11.109375" style="18" customWidth="1"/>
    <col min="9744" max="9983" width="9" style="18"/>
    <col min="9984" max="9985" width="3.6640625" style="18" customWidth="1"/>
    <col min="9986" max="9986" width="5" style="18" customWidth="1"/>
    <col min="9987" max="9987" width="10" style="18" customWidth="1"/>
    <col min="9988" max="9988" width="8.44140625" style="18" customWidth="1"/>
    <col min="9989" max="9989" width="10" style="18" customWidth="1"/>
    <col min="9990" max="9990" width="7.6640625" style="18" customWidth="1"/>
    <col min="9991" max="9991" width="10.77734375" style="18" customWidth="1"/>
    <col min="9992" max="9992" width="8.109375" style="18" customWidth="1"/>
    <col min="9993" max="9994" width="9" style="18"/>
    <col min="9995" max="9995" width="9.77734375" style="18" customWidth="1"/>
    <col min="9996" max="9996" width="9.109375" style="18" customWidth="1"/>
    <col min="9997" max="9997" width="9" style="18"/>
    <col min="9998" max="9998" width="9.21875" style="18" customWidth="1"/>
    <col min="9999" max="9999" width="11.109375" style="18" customWidth="1"/>
    <col min="10000" max="10239" width="9" style="18"/>
    <col min="10240" max="10241" width="3.6640625" style="18" customWidth="1"/>
    <col min="10242" max="10242" width="5" style="18" customWidth="1"/>
    <col min="10243" max="10243" width="10" style="18" customWidth="1"/>
    <col min="10244" max="10244" width="8.44140625" style="18" customWidth="1"/>
    <col min="10245" max="10245" width="10" style="18" customWidth="1"/>
    <col min="10246" max="10246" width="7.6640625" style="18" customWidth="1"/>
    <col min="10247" max="10247" width="10.77734375" style="18" customWidth="1"/>
    <col min="10248" max="10248" width="8.109375" style="18" customWidth="1"/>
    <col min="10249" max="10250" width="9" style="18"/>
    <col min="10251" max="10251" width="9.77734375" style="18" customWidth="1"/>
    <col min="10252" max="10252" width="9.109375" style="18" customWidth="1"/>
    <col min="10253" max="10253" width="9" style="18"/>
    <col min="10254" max="10254" width="9.21875" style="18" customWidth="1"/>
    <col min="10255" max="10255" width="11.109375" style="18" customWidth="1"/>
    <col min="10256" max="10495" width="9" style="18"/>
    <col min="10496" max="10497" width="3.6640625" style="18" customWidth="1"/>
    <col min="10498" max="10498" width="5" style="18" customWidth="1"/>
    <col min="10499" max="10499" width="10" style="18" customWidth="1"/>
    <col min="10500" max="10500" width="8.44140625" style="18" customWidth="1"/>
    <col min="10501" max="10501" width="10" style="18" customWidth="1"/>
    <col min="10502" max="10502" width="7.6640625" style="18" customWidth="1"/>
    <col min="10503" max="10503" width="10.77734375" style="18" customWidth="1"/>
    <col min="10504" max="10504" width="8.109375" style="18" customWidth="1"/>
    <col min="10505" max="10506" width="9" style="18"/>
    <col min="10507" max="10507" width="9.77734375" style="18" customWidth="1"/>
    <col min="10508" max="10508" width="9.109375" style="18" customWidth="1"/>
    <col min="10509" max="10509" width="9" style="18"/>
    <col min="10510" max="10510" width="9.21875" style="18" customWidth="1"/>
    <col min="10511" max="10511" width="11.109375" style="18" customWidth="1"/>
    <col min="10512" max="10751" width="9" style="18"/>
    <col min="10752" max="10753" width="3.6640625" style="18" customWidth="1"/>
    <col min="10754" max="10754" width="5" style="18" customWidth="1"/>
    <col min="10755" max="10755" width="10" style="18" customWidth="1"/>
    <col min="10756" max="10756" width="8.44140625" style="18" customWidth="1"/>
    <col min="10757" max="10757" width="10" style="18" customWidth="1"/>
    <col min="10758" max="10758" width="7.6640625" style="18" customWidth="1"/>
    <col min="10759" max="10759" width="10.77734375" style="18" customWidth="1"/>
    <col min="10760" max="10760" width="8.109375" style="18" customWidth="1"/>
    <col min="10761" max="10762" width="9" style="18"/>
    <col min="10763" max="10763" width="9.77734375" style="18" customWidth="1"/>
    <col min="10764" max="10764" width="9.109375" style="18" customWidth="1"/>
    <col min="10765" max="10765" width="9" style="18"/>
    <col min="10766" max="10766" width="9.21875" style="18" customWidth="1"/>
    <col min="10767" max="10767" width="11.109375" style="18" customWidth="1"/>
    <col min="10768" max="11007" width="9" style="18"/>
    <col min="11008" max="11009" width="3.6640625" style="18" customWidth="1"/>
    <col min="11010" max="11010" width="5" style="18" customWidth="1"/>
    <col min="11011" max="11011" width="10" style="18" customWidth="1"/>
    <col min="11012" max="11012" width="8.44140625" style="18" customWidth="1"/>
    <col min="11013" max="11013" width="10" style="18" customWidth="1"/>
    <col min="11014" max="11014" width="7.6640625" style="18" customWidth="1"/>
    <col min="11015" max="11015" width="10.77734375" style="18" customWidth="1"/>
    <col min="11016" max="11016" width="8.109375" style="18" customWidth="1"/>
    <col min="11017" max="11018" width="9" style="18"/>
    <col min="11019" max="11019" width="9.77734375" style="18" customWidth="1"/>
    <col min="11020" max="11020" width="9.109375" style="18" customWidth="1"/>
    <col min="11021" max="11021" width="9" style="18"/>
    <col min="11022" max="11022" width="9.21875" style="18" customWidth="1"/>
    <col min="11023" max="11023" width="11.109375" style="18" customWidth="1"/>
    <col min="11024" max="11263" width="9" style="18"/>
    <col min="11264" max="11265" width="3.6640625" style="18" customWidth="1"/>
    <col min="11266" max="11266" width="5" style="18" customWidth="1"/>
    <col min="11267" max="11267" width="10" style="18" customWidth="1"/>
    <col min="11268" max="11268" width="8.44140625" style="18" customWidth="1"/>
    <col min="11269" max="11269" width="10" style="18" customWidth="1"/>
    <col min="11270" max="11270" width="7.6640625" style="18" customWidth="1"/>
    <col min="11271" max="11271" width="10.77734375" style="18" customWidth="1"/>
    <col min="11272" max="11272" width="8.109375" style="18" customWidth="1"/>
    <col min="11273" max="11274" width="9" style="18"/>
    <col min="11275" max="11275" width="9.77734375" style="18" customWidth="1"/>
    <col min="11276" max="11276" width="9.109375" style="18" customWidth="1"/>
    <col min="11277" max="11277" width="9" style="18"/>
    <col min="11278" max="11278" width="9.21875" style="18" customWidth="1"/>
    <col min="11279" max="11279" width="11.109375" style="18" customWidth="1"/>
    <col min="11280" max="11519" width="9" style="18"/>
    <col min="11520" max="11521" width="3.6640625" style="18" customWidth="1"/>
    <col min="11522" max="11522" width="5" style="18" customWidth="1"/>
    <col min="11523" max="11523" width="10" style="18" customWidth="1"/>
    <col min="11524" max="11524" width="8.44140625" style="18" customWidth="1"/>
    <col min="11525" max="11525" width="10" style="18" customWidth="1"/>
    <col min="11526" max="11526" width="7.6640625" style="18" customWidth="1"/>
    <col min="11527" max="11527" width="10.77734375" style="18" customWidth="1"/>
    <col min="11528" max="11528" width="8.109375" style="18" customWidth="1"/>
    <col min="11529" max="11530" width="9" style="18"/>
    <col min="11531" max="11531" width="9.77734375" style="18" customWidth="1"/>
    <col min="11532" max="11532" width="9.109375" style="18" customWidth="1"/>
    <col min="11533" max="11533" width="9" style="18"/>
    <col min="11534" max="11534" width="9.21875" style="18" customWidth="1"/>
    <col min="11535" max="11535" width="11.109375" style="18" customWidth="1"/>
    <col min="11536" max="11775" width="9" style="18"/>
    <col min="11776" max="11777" width="3.6640625" style="18" customWidth="1"/>
    <col min="11778" max="11778" width="5" style="18" customWidth="1"/>
    <col min="11779" max="11779" width="10" style="18" customWidth="1"/>
    <col min="11780" max="11780" width="8.44140625" style="18" customWidth="1"/>
    <col min="11781" max="11781" width="10" style="18" customWidth="1"/>
    <col min="11782" max="11782" width="7.6640625" style="18" customWidth="1"/>
    <col min="11783" max="11783" width="10.77734375" style="18" customWidth="1"/>
    <col min="11784" max="11784" width="8.109375" style="18" customWidth="1"/>
    <col min="11785" max="11786" width="9" style="18"/>
    <col min="11787" max="11787" width="9.77734375" style="18" customWidth="1"/>
    <col min="11788" max="11788" width="9.109375" style="18" customWidth="1"/>
    <col min="11789" max="11789" width="9" style="18"/>
    <col min="11790" max="11790" width="9.21875" style="18" customWidth="1"/>
    <col min="11791" max="11791" width="11.109375" style="18" customWidth="1"/>
    <col min="11792" max="12031" width="9" style="18"/>
    <col min="12032" max="12033" width="3.6640625" style="18" customWidth="1"/>
    <col min="12034" max="12034" width="5" style="18" customWidth="1"/>
    <col min="12035" max="12035" width="10" style="18" customWidth="1"/>
    <col min="12036" max="12036" width="8.44140625" style="18" customWidth="1"/>
    <col min="12037" max="12037" width="10" style="18" customWidth="1"/>
    <col min="12038" max="12038" width="7.6640625" style="18" customWidth="1"/>
    <col min="12039" max="12039" width="10.77734375" style="18" customWidth="1"/>
    <col min="12040" max="12040" width="8.109375" style="18" customWidth="1"/>
    <col min="12041" max="12042" width="9" style="18"/>
    <col min="12043" max="12043" width="9.77734375" style="18" customWidth="1"/>
    <col min="12044" max="12044" width="9.109375" style="18" customWidth="1"/>
    <col min="12045" max="12045" width="9" style="18"/>
    <col min="12046" max="12046" width="9.21875" style="18" customWidth="1"/>
    <col min="12047" max="12047" width="11.109375" style="18" customWidth="1"/>
    <col min="12048" max="12287" width="9" style="18"/>
    <col min="12288" max="12289" width="3.6640625" style="18" customWidth="1"/>
    <col min="12290" max="12290" width="5" style="18" customWidth="1"/>
    <col min="12291" max="12291" width="10" style="18" customWidth="1"/>
    <col min="12292" max="12292" width="8.44140625" style="18" customWidth="1"/>
    <col min="12293" max="12293" width="10" style="18" customWidth="1"/>
    <col min="12294" max="12294" width="7.6640625" style="18" customWidth="1"/>
    <col min="12295" max="12295" width="10.77734375" style="18" customWidth="1"/>
    <col min="12296" max="12296" width="8.109375" style="18" customWidth="1"/>
    <col min="12297" max="12298" width="9" style="18"/>
    <col min="12299" max="12299" width="9.77734375" style="18" customWidth="1"/>
    <col min="12300" max="12300" width="9.109375" style="18" customWidth="1"/>
    <col min="12301" max="12301" width="9" style="18"/>
    <col min="12302" max="12302" width="9.21875" style="18" customWidth="1"/>
    <col min="12303" max="12303" width="11.109375" style="18" customWidth="1"/>
    <col min="12304" max="12543" width="9" style="18"/>
    <col min="12544" max="12545" width="3.6640625" style="18" customWidth="1"/>
    <col min="12546" max="12546" width="5" style="18" customWidth="1"/>
    <col min="12547" max="12547" width="10" style="18" customWidth="1"/>
    <col min="12548" max="12548" width="8.44140625" style="18" customWidth="1"/>
    <col min="12549" max="12549" width="10" style="18" customWidth="1"/>
    <col min="12550" max="12550" width="7.6640625" style="18" customWidth="1"/>
    <col min="12551" max="12551" width="10.77734375" style="18" customWidth="1"/>
    <col min="12552" max="12552" width="8.109375" style="18" customWidth="1"/>
    <col min="12553" max="12554" width="9" style="18"/>
    <col min="12555" max="12555" width="9.77734375" style="18" customWidth="1"/>
    <col min="12556" max="12556" width="9.109375" style="18" customWidth="1"/>
    <col min="12557" max="12557" width="9" style="18"/>
    <col min="12558" max="12558" width="9.21875" style="18" customWidth="1"/>
    <col min="12559" max="12559" width="11.109375" style="18" customWidth="1"/>
    <col min="12560" max="12799" width="9" style="18"/>
    <col min="12800" max="12801" width="3.6640625" style="18" customWidth="1"/>
    <col min="12802" max="12802" width="5" style="18" customWidth="1"/>
    <col min="12803" max="12803" width="10" style="18" customWidth="1"/>
    <col min="12804" max="12804" width="8.44140625" style="18" customWidth="1"/>
    <col min="12805" max="12805" width="10" style="18" customWidth="1"/>
    <col min="12806" max="12806" width="7.6640625" style="18" customWidth="1"/>
    <col min="12807" max="12807" width="10.77734375" style="18" customWidth="1"/>
    <col min="12808" max="12808" width="8.109375" style="18" customWidth="1"/>
    <col min="12809" max="12810" width="9" style="18"/>
    <col min="12811" max="12811" width="9.77734375" style="18" customWidth="1"/>
    <col min="12812" max="12812" width="9.109375" style="18" customWidth="1"/>
    <col min="12813" max="12813" width="9" style="18"/>
    <col min="12814" max="12814" width="9.21875" style="18" customWidth="1"/>
    <col min="12815" max="12815" width="11.109375" style="18" customWidth="1"/>
    <col min="12816" max="13055" width="9" style="18"/>
    <col min="13056" max="13057" width="3.6640625" style="18" customWidth="1"/>
    <col min="13058" max="13058" width="5" style="18" customWidth="1"/>
    <col min="13059" max="13059" width="10" style="18" customWidth="1"/>
    <col min="13060" max="13060" width="8.44140625" style="18" customWidth="1"/>
    <col min="13061" max="13061" width="10" style="18" customWidth="1"/>
    <col min="13062" max="13062" width="7.6640625" style="18" customWidth="1"/>
    <col min="13063" max="13063" width="10.77734375" style="18" customWidth="1"/>
    <col min="13064" max="13064" width="8.109375" style="18" customWidth="1"/>
    <col min="13065" max="13066" width="9" style="18"/>
    <col min="13067" max="13067" width="9.77734375" style="18" customWidth="1"/>
    <col min="13068" max="13068" width="9.109375" style="18" customWidth="1"/>
    <col min="13069" max="13069" width="9" style="18"/>
    <col min="13070" max="13070" width="9.21875" style="18" customWidth="1"/>
    <col min="13071" max="13071" width="11.109375" style="18" customWidth="1"/>
    <col min="13072" max="13311" width="9" style="18"/>
    <col min="13312" max="13313" width="3.6640625" style="18" customWidth="1"/>
    <col min="13314" max="13314" width="5" style="18" customWidth="1"/>
    <col min="13315" max="13315" width="10" style="18" customWidth="1"/>
    <col min="13316" max="13316" width="8.44140625" style="18" customWidth="1"/>
    <col min="13317" max="13317" width="10" style="18" customWidth="1"/>
    <col min="13318" max="13318" width="7.6640625" style="18" customWidth="1"/>
    <col min="13319" max="13319" width="10.77734375" style="18" customWidth="1"/>
    <col min="13320" max="13320" width="8.109375" style="18" customWidth="1"/>
    <col min="13321" max="13322" width="9" style="18"/>
    <col min="13323" max="13323" width="9.77734375" style="18" customWidth="1"/>
    <col min="13324" max="13324" width="9.109375" style="18" customWidth="1"/>
    <col min="13325" max="13325" width="9" style="18"/>
    <col min="13326" max="13326" width="9.21875" style="18" customWidth="1"/>
    <col min="13327" max="13327" width="11.109375" style="18" customWidth="1"/>
    <col min="13328" max="13567" width="9" style="18"/>
    <col min="13568" max="13569" width="3.6640625" style="18" customWidth="1"/>
    <col min="13570" max="13570" width="5" style="18" customWidth="1"/>
    <col min="13571" max="13571" width="10" style="18" customWidth="1"/>
    <col min="13572" max="13572" width="8.44140625" style="18" customWidth="1"/>
    <col min="13573" max="13573" width="10" style="18" customWidth="1"/>
    <col min="13574" max="13574" width="7.6640625" style="18" customWidth="1"/>
    <col min="13575" max="13575" width="10.77734375" style="18" customWidth="1"/>
    <col min="13576" max="13576" width="8.109375" style="18" customWidth="1"/>
    <col min="13577" max="13578" width="9" style="18"/>
    <col min="13579" max="13579" width="9.77734375" style="18" customWidth="1"/>
    <col min="13580" max="13580" width="9.109375" style="18" customWidth="1"/>
    <col min="13581" max="13581" width="9" style="18"/>
    <col min="13582" max="13582" width="9.21875" style="18" customWidth="1"/>
    <col min="13583" max="13583" width="11.109375" style="18" customWidth="1"/>
    <col min="13584" max="13823" width="9" style="18"/>
    <col min="13824" max="13825" width="3.6640625" style="18" customWidth="1"/>
    <col min="13826" max="13826" width="5" style="18" customWidth="1"/>
    <col min="13827" max="13827" width="10" style="18" customWidth="1"/>
    <col min="13828" max="13828" width="8.44140625" style="18" customWidth="1"/>
    <col min="13829" max="13829" width="10" style="18" customWidth="1"/>
    <col min="13830" max="13830" width="7.6640625" style="18" customWidth="1"/>
    <col min="13831" max="13831" width="10.77734375" style="18" customWidth="1"/>
    <col min="13832" max="13832" width="8.109375" style="18" customWidth="1"/>
    <col min="13833" max="13834" width="9" style="18"/>
    <col min="13835" max="13835" width="9.77734375" style="18" customWidth="1"/>
    <col min="13836" max="13836" width="9.109375" style="18" customWidth="1"/>
    <col min="13837" max="13837" width="9" style="18"/>
    <col min="13838" max="13838" width="9.21875" style="18" customWidth="1"/>
    <col min="13839" max="13839" width="11.109375" style="18" customWidth="1"/>
    <col min="13840" max="14079" width="9" style="18"/>
    <col min="14080" max="14081" width="3.6640625" style="18" customWidth="1"/>
    <col min="14082" max="14082" width="5" style="18" customWidth="1"/>
    <col min="14083" max="14083" width="10" style="18" customWidth="1"/>
    <col min="14084" max="14084" width="8.44140625" style="18" customWidth="1"/>
    <col min="14085" max="14085" width="10" style="18" customWidth="1"/>
    <col min="14086" max="14086" width="7.6640625" style="18" customWidth="1"/>
    <col min="14087" max="14087" width="10.77734375" style="18" customWidth="1"/>
    <col min="14088" max="14088" width="8.109375" style="18" customWidth="1"/>
    <col min="14089" max="14090" width="9" style="18"/>
    <col min="14091" max="14091" width="9.77734375" style="18" customWidth="1"/>
    <col min="14092" max="14092" width="9.109375" style="18" customWidth="1"/>
    <col min="14093" max="14093" width="9" style="18"/>
    <col min="14094" max="14094" width="9.21875" style="18" customWidth="1"/>
    <col min="14095" max="14095" width="11.109375" style="18" customWidth="1"/>
    <col min="14096" max="14335" width="9" style="18"/>
    <col min="14336" max="14337" width="3.6640625" style="18" customWidth="1"/>
    <col min="14338" max="14338" width="5" style="18" customWidth="1"/>
    <col min="14339" max="14339" width="10" style="18" customWidth="1"/>
    <col min="14340" max="14340" width="8.44140625" style="18" customWidth="1"/>
    <col min="14341" max="14341" width="10" style="18" customWidth="1"/>
    <col min="14342" max="14342" width="7.6640625" style="18" customWidth="1"/>
    <col min="14343" max="14343" width="10.77734375" style="18" customWidth="1"/>
    <col min="14344" max="14344" width="8.109375" style="18" customWidth="1"/>
    <col min="14345" max="14346" width="9" style="18"/>
    <col min="14347" max="14347" width="9.77734375" style="18" customWidth="1"/>
    <col min="14348" max="14348" width="9.109375" style="18" customWidth="1"/>
    <col min="14349" max="14349" width="9" style="18"/>
    <col min="14350" max="14350" width="9.21875" style="18" customWidth="1"/>
    <col min="14351" max="14351" width="11.109375" style="18" customWidth="1"/>
    <col min="14352" max="14591" width="9" style="18"/>
    <col min="14592" max="14593" width="3.6640625" style="18" customWidth="1"/>
    <col min="14594" max="14594" width="5" style="18" customWidth="1"/>
    <col min="14595" max="14595" width="10" style="18" customWidth="1"/>
    <col min="14596" max="14596" width="8.44140625" style="18" customWidth="1"/>
    <col min="14597" max="14597" width="10" style="18" customWidth="1"/>
    <col min="14598" max="14598" width="7.6640625" style="18" customWidth="1"/>
    <col min="14599" max="14599" width="10.77734375" style="18" customWidth="1"/>
    <col min="14600" max="14600" width="8.109375" style="18" customWidth="1"/>
    <col min="14601" max="14602" width="9" style="18"/>
    <col min="14603" max="14603" width="9.77734375" style="18" customWidth="1"/>
    <col min="14604" max="14604" width="9.109375" style="18" customWidth="1"/>
    <col min="14605" max="14605" width="9" style="18"/>
    <col min="14606" max="14606" width="9.21875" style="18" customWidth="1"/>
    <col min="14607" max="14607" width="11.109375" style="18" customWidth="1"/>
    <col min="14608" max="14847" width="9" style="18"/>
    <col min="14848" max="14849" width="3.6640625" style="18" customWidth="1"/>
    <col min="14850" max="14850" width="5" style="18" customWidth="1"/>
    <col min="14851" max="14851" width="10" style="18" customWidth="1"/>
    <col min="14852" max="14852" width="8.44140625" style="18" customWidth="1"/>
    <col min="14853" max="14853" width="10" style="18" customWidth="1"/>
    <col min="14854" max="14854" width="7.6640625" style="18" customWidth="1"/>
    <col min="14855" max="14855" width="10.77734375" style="18" customWidth="1"/>
    <col min="14856" max="14856" width="8.109375" style="18" customWidth="1"/>
    <col min="14857" max="14858" width="9" style="18"/>
    <col min="14859" max="14859" width="9.77734375" style="18" customWidth="1"/>
    <col min="14860" max="14860" width="9.109375" style="18" customWidth="1"/>
    <col min="14861" max="14861" width="9" style="18"/>
    <col min="14862" max="14862" width="9.21875" style="18" customWidth="1"/>
    <col min="14863" max="14863" width="11.109375" style="18" customWidth="1"/>
    <col min="14864" max="15103" width="9" style="18"/>
    <col min="15104" max="15105" width="3.6640625" style="18" customWidth="1"/>
    <col min="15106" max="15106" width="5" style="18" customWidth="1"/>
    <col min="15107" max="15107" width="10" style="18" customWidth="1"/>
    <col min="15108" max="15108" width="8.44140625" style="18" customWidth="1"/>
    <col min="15109" max="15109" width="10" style="18" customWidth="1"/>
    <col min="15110" max="15110" width="7.6640625" style="18" customWidth="1"/>
    <col min="15111" max="15111" width="10.77734375" style="18" customWidth="1"/>
    <col min="15112" max="15112" width="8.109375" style="18" customWidth="1"/>
    <col min="15113" max="15114" width="9" style="18"/>
    <col min="15115" max="15115" width="9.77734375" style="18" customWidth="1"/>
    <col min="15116" max="15116" width="9.109375" style="18" customWidth="1"/>
    <col min="15117" max="15117" width="9" style="18"/>
    <col min="15118" max="15118" width="9.21875" style="18" customWidth="1"/>
    <col min="15119" max="15119" width="11.109375" style="18" customWidth="1"/>
    <col min="15120" max="15359" width="9" style="18"/>
    <col min="15360" max="15361" width="3.6640625" style="18" customWidth="1"/>
    <col min="15362" max="15362" width="5" style="18" customWidth="1"/>
    <col min="15363" max="15363" width="10" style="18" customWidth="1"/>
    <col min="15364" max="15364" width="8.44140625" style="18" customWidth="1"/>
    <col min="15365" max="15365" width="10" style="18" customWidth="1"/>
    <col min="15366" max="15366" width="7.6640625" style="18" customWidth="1"/>
    <col min="15367" max="15367" width="10.77734375" style="18" customWidth="1"/>
    <col min="15368" max="15368" width="8.109375" style="18" customWidth="1"/>
    <col min="15369" max="15370" width="9" style="18"/>
    <col min="15371" max="15371" width="9.77734375" style="18" customWidth="1"/>
    <col min="15372" max="15372" width="9.109375" style="18" customWidth="1"/>
    <col min="15373" max="15373" width="9" style="18"/>
    <col min="15374" max="15374" width="9.21875" style="18" customWidth="1"/>
    <col min="15375" max="15375" width="11.109375" style="18" customWidth="1"/>
    <col min="15376" max="15615" width="9" style="18"/>
    <col min="15616" max="15617" width="3.6640625" style="18" customWidth="1"/>
    <col min="15618" max="15618" width="5" style="18" customWidth="1"/>
    <col min="15619" max="15619" width="10" style="18" customWidth="1"/>
    <col min="15620" max="15620" width="8.44140625" style="18" customWidth="1"/>
    <col min="15621" max="15621" width="10" style="18" customWidth="1"/>
    <col min="15622" max="15622" width="7.6640625" style="18" customWidth="1"/>
    <col min="15623" max="15623" width="10.77734375" style="18" customWidth="1"/>
    <col min="15624" max="15624" width="8.109375" style="18" customWidth="1"/>
    <col min="15625" max="15626" width="9" style="18"/>
    <col min="15627" max="15627" width="9.77734375" style="18" customWidth="1"/>
    <col min="15628" max="15628" width="9.109375" style="18" customWidth="1"/>
    <col min="15629" max="15629" width="9" style="18"/>
    <col min="15630" max="15630" width="9.21875" style="18" customWidth="1"/>
    <col min="15631" max="15631" width="11.109375" style="18" customWidth="1"/>
    <col min="15632" max="15871" width="9" style="18"/>
    <col min="15872" max="15873" width="3.6640625" style="18" customWidth="1"/>
    <col min="15874" max="15874" width="5" style="18" customWidth="1"/>
    <col min="15875" max="15875" width="10" style="18" customWidth="1"/>
    <col min="15876" max="15876" width="8.44140625" style="18" customWidth="1"/>
    <col min="15877" max="15877" width="10" style="18" customWidth="1"/>
    <col min="15878" max="15878" width="7.6640625" style="18" customWidth="1"/>
    <col min="15879" max="15879" width="10.77734375" style="18" customWidth="1"/>
    <col min="15880" max="15880" width="8.109375" style="18" customWidth="1"/>
    <col min="15881" max="15882" width="9" style="18"/>
    <col min="15883" max="15883" width="9.77734375" style="18" customWidth="1"/>
    <col min="15884" max="15884" width="9.109375" style="18" customWidth="1"/>
    <col min="15885" max="15885" width="9" style="18"/>
    <col min="15886" max="15886" width="9.21875" style="18" customWidth="1"/>
    <col min="15887" max="15887" width="11.109375" style="18" customWidth="1"/>
    <col min="15888" max="16127" width="9" style="18"/>
    <col min="16128" max="16129" width="3.6640625" style="18" customWidth="1"/>
    <col min="16130" max="16130" width="5" style="18" customWidth="1"/>
    <col min="16131" max="16131" width="10" style="18" customWidth="1"/>
    <col min="16132" max="16132" width="8.44140625" style="18" customWidth="1"/>
    <col min="16133" max="16133" width="10" style="18" customWidth="1"/>
    <col min="16134" max="16134" width="7.6640625" style="18" customWidth="1"/>
    <col min="16135" max="16135" width="10.77734375" style="18" customWidth="1"/>
    <col min="16136" max="16136" width="8.109375" style="18" customWidth="1"/>
    <col min="16137" max="16138" width="9" style="18"/>
    <col min="16139" max="16139" width="9.77734375" style="18" customWidth="1"/>
    <col min="16140" max="16140" width="9.109375" style="18" customWidth="1"/>
    <col min="16141" max="16141" width="9" style="18"/>
    <col min="16142" max="16142" width="9.21875" style="18" customWidth="1"/>
    <col min="16143" max="16143" width="11.109375" style="18" customWidth="1"/>
    <col min="16144" max="16384" width="9" style="18"/>
  </cols>
  <sheetData>
    <row r="1" spans="2:20" ht="14.25" customHeight="1"/>
    <row r="2" spans="2:20">
      <c r="B2" s="686" t="s">
        <v>763</v>
      </c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</row>
    <row r="3" spans="2:20"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6"/>
      <c r="N3" s="686"/>
      <c r="O3" s="686"/>
    </row>
    <row r="4" spans="2:20">
      <c r="B4" s="492"/>
      <c r="C4" s="492"/>
      <c r="D4" s="673"/>
      <c r="E4" s="674"/>
      <c r="F4" s="674"/>
      <c r="G4" s="492"/>
      <c r="H4" s="494"/>
      <c r="I4" s="492"/>
      <c r="J4" s="495"/>
      <c r="K4" s="492"/>
      <c r="L4" s="511"/>
      <c r="M4" s="675">
        <f>基础数据!A2</f>
        <v>45836</v>
      </c>
      <c r="N4" s="675"/>
      <c r="O4" s="26"/>
    </row>
    <row r="5" spans="2:20" ht="15.9" customHeight="1">
      <c r="B5" s="687" t="s">
        <v>42</v>
      </c>
      <c r="C5" s="678" t="s">
        <v>43</v>
      </c>
      <c r="D5" s="678" t="s">
        <v>44</v>
      </c>
      <c r="E5" s="678" t="s">
        <v>45</v>
      </c>
      <c r="F5" s="676" t="s">
        <v>46</v>
      </c>
      <c r="G5" s="676"/>
      <c r="H5" s="676"/>
      <c r="I5" s="676"/>
      <c r="J5" s="676"/>
      <c r="K5" s="676"/>
      <c r="L5" s="676" t="s">
        <v>47</v>
      </c>
      <c r="M5" s="676"/>
      <c r="N5" s="676"/>
      <c r="O5" s="677"/>
    </row>
    <row r="6" spans="2:20" ht="15.9" customHeight="1">
      <c r="B6" s="688"/>
      <c r="C6" s="679"/>
      <c r="D6" s="679"/>
      <c r="E6" s="679"/>
      <c r="F6" s="20" t="s">
        <v>48</v>
      </c>
      <c r="G6" s="20" t="s">
        <v>49</v>
      </c>
      <c r="H6" s="20" t="s">
        <v>50</v>
      </c>
      <c r="I6" s="20" t="s">
        <v>6</v>
      </c>
      <c r="J6" s="20" t="s">
        <v>7</v>
      </c>
      <c r="K6" s="20" t="s">
        <v>51</v>
      </c>
      <c r="L6" s="20" t="s">
        <v>52</v>
      </c>
      <c r="M6" s="20" t="s">
        <v>53</v>
      </c>
      <c r="N6" s="20" t="s">
        <v>54</v>
      </c>
      <c r="O6" s="608" t="s">
        <v>55</v>
      </c>
    </row>
    <row r="7" spans="2:20" ht="15.9" customHeight="1">
      <c r="B7" s="688" t="s">
        <v>10</v>
      </c>
      <c r="C7" s="21" t="s">
        <v>32</v>
      </c>
      <c r="D7" s="581">
        <f>基础数据!F7</f>
        <v>0</v>
      </c>
      <c r="E7" s="581">
        <f>基础数据!F5</f>
        <v>0</v>
      </c>
      <c r="F7" s="17">
        <f>基础数据!F6</f>
        <v>0</v>
      </c>
      <c r="G7" s="581">
        <f>基础数据!F9</f>
        <v>3</v>
      </c>
      <c r="H7" s="582">
        <f>F7*(1-G7%)</f>
        <v>0</v>
      </c>
      <c r="I7" s="17">
        <f>基础数据!B5</f>
        <v>0</v>
      </c>
      <c r="J7" s="17"/>
      <c r="K7" s="609">
        <f>基础数据!D5</f>
        <v>0</v>
      </c>
      <c r="L7" s="610"/>
      <c r="M7" s="610">
        <f>H7*I7/100</f>
        <v>0</v>
      </c>
      <c r="N7" s="610"/>
      <c r="O7" s="611">
        <f>H7*K7/1000</f>
        <v>0</v>
      </c>
      <c r="S7" s="627"/>
      <c r="T7" s="627"/>
    </row>
    <row r="8" spans="2:20" ht="15.9" customHeight="1">
      <c r="B8" s="688"/>
      <c r="C8" s="21" t="s">
        <v>33</v>
      </c>
      <c r="D8" s="581">
        <f>基础数据!F19</f>
        <v>0</v>
      </c>
      <c r="E8" s="581">
        <f>基础数据!F17</f>
        <v>8</v>
      </c>
      <c r="F8" s="581">
        <f>基础数据!F18</f>
        <v>128</v>
      </c>
      <c r="G8" s="581">
        <f>基础数据!F21</f>
        <v>3</v>
      </c>
      <c r="H8" s="582">
        <f>F8*(1-G8%)</f>
        <v>124.16</v>
      </c>
      <c r="I8" s="17">
        <f>基础数据!B17</f>
        <v>3.75</v>
      </c>
      <c r="J8" s="17"/>
      <c r="K8" s="609">
        <f>基础数据!D17</f>
        <v>161</v>
      </c>
      <c r="L8" s="610"/>
      <c r="M8" s="610">
        <f>H8*I8/100</f>
        <v>4.6559999999999997</v>
      </c>
      <c r="N8" s="610"/>
      <c r="O8" s="611">
        <f>H8*K8/1000</f>
        <v>19.989759999999997</v>
      </c>
      <c r="P8" s="630"/>
      <c r="Q8" s="631"/>
      <c r="R8" s="627"/>
      <c r="S8" s="627"/>
    </row>
    <row r="9" spans="2:20" ht="15.9" customHeight="1">
      <c r="B9" s="688"/>
      <c r="C9" s="21" t="s">
        <v>34</v>
      </c>
      <c r="D9" s="581">
        <f>基础数据!F31</f>
        <v>0</v>
      </c>
      <c r="E9" s="581">
        <f>基础数据!F29</f>
        <v>8</v>
      </c>
      <c r="F9" s="581">
        <f>基础数据!F30</f>
        <v>128</v>
      </c>
      <c r="G9" s="581">
        <f>基础数据!F33</f>
        <v>3</v>
      </c>
      <c r="H9" s="582">
        <f>F9*(1-G9%)</f>
        <v>124.16</v>
      </c>
      <c r="I9" s="17">
        <f>基础数据!B29</f>
        <v>4.07</v>
      </c>
      <c r="J9" s="17"/>
      <c r="K9" s="609">
        <f>基础数据!D29</f>
        <v>230</v>
      </c>
      <c r="L9" s="610"/>
      <c r="M9" s="610">
        <f>H9*I9/100</f>
        <v>5.053312</v>
      </c>
      <c r="N9" s="610"/>
      <c r="O9" s="611">
        <f>H9*K9/1000</f>
        <v>28.556799999999999</v>
      </c>
      <c r="S9" s="24"/>
    </row>
    <row r="10" spans="2:20" ht="15.9" customHeight="1">
      <c r="B10" s="688"/>
      <c r="C10" s="20" t="s">
        <v>56</v>
      </c>
      <c r="D10" s="583">
        <f>IF(ISERROR((D7*H7+D8*H8+D9*H9)/(H7+H8+H9)),"0.00",(D7*H7+D8*H8+D9*H9)/(H7+H8+H9))</f>
        <v>0</v>
      </c>
      <c r="E10" s="583">
        <f>E7+E8+E9</f>
        <v>16</v>
      </c>
      <c r="F10" s="583">
        <f>F7+F8+F9</f>
        <v>256</v>
      </c>
      <c r="G10" s="583">
        <f>IF(ISERROR((F10-H10)/F10*100),"0.00",(F10-H10)/F10*100)</f>
        <v>3.0000000000000027</v>
      </c>
      <c r="H10" s="583">
        <f>H7+H8+H9</f>
        <v>248.32</v>
      </c>
      <c r="I10" s="583">
        <f>IF(ISERROR(M10/H10*100),"0.00",M10/H10*100)</f>
        <v>3.91</v>
      </c>
      <c r="J10" s="583"/>
      <c r="K10" s="590">
        <f>IF(ISERROR(O10/H10*1000),"0",O10/H10*1000)</f>
        <v>195.5</v>
      </c>
      <c r="L10" s="610"/>
      <c r="M10" s="610">
        <f>M7+M8+M9</f>
        <v>9.7093120000000006</v>
      </c>
      <c r="N10" s="610"/>
      <c r="O10" s="611">
        <f>O7+O8+O9</f>
        <v>48.546559999999999</v>
      </c>
      <c r="S10" s="627" t="e">
        <f>((I7-F24)/(F14-F24))*F14/I7*100</f>
        <v>#DIV/0!</v>
      </c>
    </row>
    <row r="11" spans="2:20" ht="15.9" customHeight="1">
      <c r="B11" s="688"/>
      <c r="C11" s="20" t="s">
        <v>57</v>
      </c>
      <c r="D11" s="583">
        <f>IF(ISERROR((D35*H35+H10*D10)/H11),"0.00",(D35*H35+H10*D10)/H11)</f>
        <v>0</v>
      </c>
      <c r="E11" s="583">
        <f>E10+E35</f>
        <v>16</v>
      </c>
      <c r="F11" s="583">
        <f>F10+F35</f>
        <v>256</v>
      </c>
      <c r="G11" s="583">
        <f>IF(ISERROR((F11-H11)/F11*100),"0.00",(F11-H11)/F11*100)</f>
        <v>3.0000000000000027</v>
      </c>
      <c r="H11" s="583">
        <f>H10+H35</f>
        <v>248.32</v>
      </c>
      <c r="I11" s="583">
        <f>IF(ISERROR(M11/H11*100),"0.00",M11/H11*100)</f>
        <v>3.91</v>
      </c>
      <c r="J11" s="583"/>
      <c r="K11" s="590">
        <f>IF(ISERROR(O11/H11*1000),"0",O11/H11*1000)</f>
        <v>195.5</v>
      </c>
      <c r="L11" s="610"/>
      <c r="M11" s="610">
        <f>M10+M35</f>
        <v>9.7093120000000006</v>
      </c>
      <c r="N11" s="610"/>
      <c r="O11" s="611">
        <f>O10+O35</f>
        <v>48.546559999999999</v>
      </c>
      <c r="Q11" s="24"/>
    </row>
    <row r="12" spans="2:20" ht="15.9" customHeight="1">
      <c r="B12" s="688" t="s">
        <v>42</v>
      </c>
      <c r="C12" s="679" t="s">
        <v>43</v>
      </c>
      <c r="D12" s="679" t="s">
        <v>50</v>
      </c>
      <c r="E12" s="680" t="s">
        <v>58</v>
      </c>
      <c r="F12" s="680"/>
      <c r="G12" s="680"/>
      <c r="H12" s="680"/>
      <c r="I12" s="680" t="s">
        <v>47</v>
      </c>
      <c r="J12" s="680"/>
      <c r="K12" s="680"/>
      <c r="L12" s="680" t="s">
        <v>59</v>
      </c>
      <c r="M12" s="680"/>
      <c r="N12" s="680" t="s">
        <v>60</v>
      </c>
      <c r="O12" s="685" t="s">
        <v>61</v>
      </c>
    </row>
    <row r="13" spans="2:20" ht="15.9" customHeight="1">
      <c r="B13" s="689"/>
      <c r="C13" s="682"/>
      <c r="D13" s="682"/>
      <c r="E13" s="584" t="s">
        <v>62</v>
      </c>
      <c r="F13" s="584" t="s">
        <v>6</v>
      </c>
      <c r="G13" s="584" t="s">
        <v>7</v>
      </c>
      <c r="H13" s="584" t="s">
        <v>51</v>
      </c>
      <c r="I13" s="584" t="s">
        <v>53</v>
      </c>
      <c r="J13" s="584" t="s">
        <v>54</v>
      </c>
      <c r="K13" s="584" t="s">
        <v>55</v>
      </c>
      <c r="L13" s="20" t="s">
        <v>63</v>
      </c>
      <c r="M13" s="20" t="s">
        <v>14</v>
      </c>
      <c r="N13" s="680"/>
      <c r="O13" s="685"/>
    </row>
    <row r="14" spans="2:20" ht="15.9" customHeight="1">
      <c r="B14" s="687" t="s">
        <v>64</v>
      </c>
      <c r="C14" s="21" t="s">
        <v>32</v>
      </c>
      <c r="D14" s="586">
        <f>N14*H7/100</f>
        <v>0</v>
      </c>
      <c r="E14" s="587"/>
      <c r="F14" s="583">
        <f>基础数据!B11</f>
        <v>0</v>
      </c>
      <c r="G14" s="583">
        <f>基础数据!C11</f>
        <v>0</v>
      </c>
      <c r="H14" s="590">
        <f>基础数据!D11</f>
        <v>0</v>
      </c>
      <c r="I14" s="612">
        <f>D14*F14/100</f>
        <v>0</v>
      </c>
      <c r="J14" s="612">
        <f>D14*G14/100</f>
        <v>0</v>
      </c>
      <c r="K14" s="613">
        <f>D14*H14/1000</f>
        <v>0</v>
      </c>
      <c r="L14" s="614">
        <f>O14*N14</f>
        <v>0</v>
      </c>
      <c r="M14" s="583" t="str">
        <f>IF(ISERROR(H14/K7*N14),"0.00",H14/K7*N14)</f>
        <v>0.00</v>
      </c>
      <c r="N14" s="615" t="str">
        <f>IF(ISERROR(S14/T14),"0.00",S14/T14)</f>
        <v>0.00</v>
      </c>
      <c r="O14" s="616" t="str">
        <f>IF(ISERROR(F14/I7),"0.00",F14/I7)</f>
        <v>0.00</v>
      </c>
      <c r="S14" s="31">
        <f>(I7-F24)*100</f>
        <v>0</v>
      </c>
      <c r="T14" s="31">
        <f>F14-F24</f>
        <v>0</v>
      </c>
    </row>
    <row r="15" spans="2:20" ht="15.9" customHeight="1">
      <c r="B15" s="688"/>
      <c r="C15" s="21" t="s">
        <v>33</v>
      </c>
      <c r="D15" s="583">
        <f>N15*H8/100</f>
        <v>6.8998956094565553</v>
      </c>
      <c r="E15" s="81"/>
      <c r="F15" s="583">
        <f>基础数据!B23</f>
        <v>65.27</v>
      </c>
      <c r="G15" s="583">
        <f>基础数据!C23</f>
        <v>0</v>
      </c>
      <c r="H15" s="590">
        <f>基础数据!D23</f>
        <v>3352</v>
      </c>
      <c r="I15" s="610">
        <f>D15*F15/100</f>
        <v>4.5035618642922932</v>
      </c>
      <c r="J15" s="610">
        <f>D15*G15/100</f>
        <v>0</v>
      </c>
      <c r="K15" s="611">
        <f>D15*H15/1000</f>
        <v>23.128450082898372</v>
      </c>
      <c r="L15" s="614">
        <f>O15*N15</f>
        <v>96.725985057824161</v>
      </c>
      <c r="M15" s="583">
        <f>IF(ISERROR(H15/K8*N15),"0.00",H15/K8*N15)</f>
        <v>115.70148957715537</v>
      </c>
      <c r="N15" s="615">
        <f>IF(ISERROR(S15/T15),"0.00",S15/T15)</f>
        <v>5.5572612833896224</v>
      </c>
      <c r="O15" s="616">
        <f>IF(ISERROR(F15/I8),"0.00",F15/I8)</f>
        <v>17.405333333333331</v>
      </c>
      <c r="S15" s="31">
        <f>(I8-F25)*100</f>
        <v>362</v>
      </c>
      <c r="T15" s="31">
        <f>F15-F25</f>
        <v>65.14</v>
      </c>
    </row>
    <row r="16" spans="2:20" ht="15.9" customHeight="1">
      <c r="B16" s="688"/>
      <c r="C16" s="21" t="s">
        <v>34</v>
      </c>
      <c r="D16" s="583">
        <f>N16*H9/100</f>
        <v>7.4929006823351028</v>
      </c>
      <c r="E16" s="591"/>
      <c r="F16" s="583">
        <f>基础数据!B35</f>
        <v>66.040000000000006</v>
      </c>
      <c r="G16" s="583">
        <f>基础数据!C35</f>
        <v>0</v>
      </c>
      <c r="H16" s="590">
        <f>基础数据!D35</f>
        <v>3380</v>
      </c>
      <c r="I16" s="610">
        <f>D16*F16/100</f>
        <v>4.9483116106141019</v>
      </c>
      <c r="J16" s="610">
        <f>D16*G16/100</f>
        <v>0</v>
      </c>
      <c r="K16" s="611">
        <f>D16*H16/1000</f>
        <v>25.326004306292649</v>
      </c>
      <c r="L16" s="614">
        <f>O16*N16</f>
        <v>97.922147110926502</v>
      </c>
      <c r="M16" s="583">
        <f>IF(ISERROR(H16/K9*N16),"0.00",H16/K9*N16)</f>
        <v>88.686422520354682</v>
      </c>
      <c r="N16" s="615">
        <f>IF(ISERROR(S16/T16),"0.00",S16/T16)</f>
        <v>6.034874905231236</v>
      </c>
      <c r="O16" s="616">
        <f>IF(ISERROR(F16/I9),"0.00",F16/I9)</f>
        <v>16.226044226044227</v>
      </c>
      <c r="S16" s="31">
        <f>(I9-F26)*100</f>
        <v>398.00000000000006</v>
      </c>
      <c r="T16" s="31">
        <f>F16-F26</f>
        <v>65.95</v>
      </c>
    </row>
    <row r="17" spans="2:20" ht="15.9" customHeight="1">
      <c r="B17" s="688"/>
      <c r="C17" s="20" t="s">
        <v>56</v>
      </c>
      <c r="D17" s="583">
        <f>D14+D15+D16</f>
        <v>14.392796291791658</v>
      </c>
      <c r="E17" s="583"/>
      <c r="F17" s="583">
        <f>IF(ISERROR(I17/D17*100),"0.00",I17/D17*100)</f>
        <v>65.670862584895232</v>
      </c>
      <c r="G17" s="583">
        <f>IF(ISERROR(J17/D17*100),"0.00",J17/D17*100)</f>
        <v>0</v>
      </c>
      <c r="H17" s="590">
        <f>IF(ISERROR(K17/D17*1000),"0",K17/D17*1000)</f>
        <v>3366.5768212689172</v>
      </c>
      <c r="I17" s="610">
        <f>I14+I15+I16</f>
        <v>9.451873474906396</v>
      </c>
      <c r="J17" s="610">
        <f>J14+J15+J16</f>
        <v>0</v>
      </c>
      <c r="K17" s="611">
        <f>K14+K15+K16</f>
        <v>48.454454389191021</v>
      </c>
      <c r="L17" s="614">
        <f>IF(ISERROR(I17/M10*100),"0.00",I17/M10*100)</f>
        <v>97.348539988275135</v>
      </c>
      <c r="M17" s="583">
        <f>IF(ISERROR(K17/O10*100),"0.00",K17/O10*100)</f>
        <v>99.810273661390255</v>
      </c>
      <c r="N17" s="615">
        <f>IF(ISERROR(L17/O17),"0.00",L17/O17)</f>
        <v>5.7960680943104288</v>
      </c>
      <c r="O17" s="616">
        <f>IF(ISERROR(F17/I10),"0.00",F17/I10)</f>
        <v>16.795617029384971</v>
      </c>
      <c r="S17" s="627"/>
      <c r="T17" s="627"/>
    </row>
    <row r="18" spans="2:20" ht="15.9" customHeight="1">
      <c r="B18" s="690"/>
      <c r="C18" s="592" t="s">
        <v>57</v>
      </c>
      <c r="D18" s="593">
        <f>D17+D36</f>
        <v>14.392796291791658</v>
      </c>
      <c r="E18" s="593"/>
      <c r="F18" s="593">
        <f>IF(ISERROR(I18/D18*100),"0.00",I18/D18*100)</f>
        <v>65.670862584895232</v>
      </c>
      <c r="G18" s="593">
        <f>IF(ISERROR(J18/D18*100),"0.00",J18/D18*100)</f>
        <v>0</v>
      </c>
      <c r="H18" s="594">
        <f>IF(ISERROR(K18/D18*1000),"0",K18/D18*1000)</f>
        <v>3366.5768212689172</v>
      </c>
      <c r="I18" s="617">
        <f>I17+I36</f>
        <v>9.451873474906396</v>
      </c>
      <c r="J18" s="617">
        <f>J17+J36</f>
        <v>0</v>
      </c>
      <c r="K18" s="618">
        <f>K17+K36</f>
        <v>48.454454389191021</v>
      </c>
      <c r="L18" s="614">
        <f>IF(ISERROR(I18/M11*100),"0.00",I18/M11*100)</f>
        <v>97.348539988275135</v>
      </c>
      <c r="M18" s="583">
        <f>IF(ISERROR(K18/O11*100),"0.00",K18/O11*100)</f>
        <v>99.810273661390255</v>
      </c>
      <c r="N18" s="615">
        <f>IF(ISERROR(L18/O18),"0.00",L18/O18)</f>
        <v>5.7960680943104288</v>
      </c>
      <c r="O18" s="616">
        <f>IF(ISERROR(F18/I11),"0.00",F18/I11)</f>
        <v>16.795617029384971</v>
      </c>
      <c r="S18" s="627"/>
      <c r="T18" s="627"/>
    </row>
    <row r="19" spans="2:20" ht="15.9" customHeight="1">
      <c r="B19" s="687" t="s">
        <v>65</v>
      </c>
      <c r="C19" s="21" t="s">
        <v>32</v>
      </c>
      <c r="D19" s="586"/>
      <c r="E19" s="628"/>
      <c r="F19" s="628"/>
      <c r="G19" s="628"/>
      <c r="H19" s="629"/>
      <c r="I19" s="612"/>
      <c r="J19" s="612"/>
      <c r="K19" s="613"/>
      <c r="L19" s="614"/>
      <c r="M19" s="583"/>
      <c r="N19" s="615"/>
      <c r="O19" s="616"/>
      <c r="S19" s="627"/>
      <c r="T19" s="627"/>
    </row>
    <row r="20" spans="2:20" ht="15.9" customHeight="1">
      <c r="B20" s="688"/>
      <c r="C20" s="21" t="s">
        <v>33</v>
      </c>
      <c r="D20" s="583"/>
      <c r="E20" s="581"/>
      <c r="F20" s="581"/>
      <c r="G20" s="581"/>
      <c r="H20" s="599"/>
      <c r="I20" s="610"/>
      <c r="J20" s="610"/>
      <c r="K20" s="611"/>
      <c r="L20" s="614"/>
      <c r="M20" s="583"/>
      <c r="N20" s="615"/>
      <c r="O20" s="616"/>
      <c r="S20" s="627"/>
      <c r="T20" s="627"/>
    </row>
    <row r="21" spans="2:20" ht="15.9" customHeight="1">
      <c r="B21" s="688"/>
      <c r="C21" s="21" t="s">
        <v>34</v>
      </c>
      <c r="D21" s="583"/>
      <c r="E21" s="581"/>
      <c r="F21" s="581"/>
      <c r="G21" s="581"/>
      <c r="H21" s="599"/>
      <c r="I21" s="610"/>
      <c r="J21" s="610"/>
      <c r="K21" s="611"/>
      <c r="L21" s="614"/>
      <c r="M21" s="583"/>
      <c r="N21" s="615"/>
      <c r="O21" s="616"/>
      <c r="S21" s="627"/>
      <c r="T21" s="627"/>
    </row>
    <row r="22" spans="2:20" ht="15.9" customHeight="1">
      <c r="B22" s="688"/>
      <c r="C22" s="20" t="s">
        <v>56</v>
      </c>
      <c r="D22" s="583"/>
      <c r="E22" s="583"/>
      <c r="F22" s="583"/>
      <c r="G22" s="583"/>
      <c r="H22" s="590"/>
      <c r="I22" s="610"/>
      <c r="J22" s="610"/>
      <c r="K22" s="611"/>
      <c r="L22" s="614"/>
      <c r="M22" s="583"/>
      <c r="N22" s="615"/>
      <c r="O22" s="616"/>
    </row>
    <row r="23" spans="2:20" ht="15.9" customHeight="1">
      <c r="B23" s="690"/>
      <c r="C23" s="592" t="s">
        <v>57</v>
      </c>
      <c r="D23" s="593"/>
      <c r="E23" s="593"/>
      <c r="F23" s="593"/>
      <c r="G23" s="593"/>
      <c r="H23" s="594"/>
      <c r="I23" s="617"/>
      <c r="J23" s="617"/>
      <c r="K23" s="618"/>
      <c r="L23" s="614"/>
      <c r="M23" s="583"/>
      <c r="N23" s="615"/>
      <c r="O23" s="616"/>
    </row>
    <row r="24" spans="2:20" ht="15.9" customHeight="1">
      <c r="B24" s="687" t="s">
        <v>26</v>
      </c>
      <c r="C24" s="21" t="s">
        <v>32</v>
      </c>
      <c r="D24" s="586">
        <f>H7-D14-D19</f>
        <v>0</v>
      </c>
      <c r="E24" s="600"/>
      <c r="F24" s="600">
        <f>基础数据!B13</f>
        <v>0</v>
      </c>
      <c r="G24" s="600"/>
      <c r="H24" s="601">
        <f>基础数据!D13</f>
        <v>0</v>
      </c>
      <c r="I24" s="612">
        <f t="shared" ref="I24:K26" si="0">M7-I14-I19</f>
        <v>0</v>
      </c>
      <c r="J24" s="612">
        <f t="shared" si="0"/>
        <v>0</v>
      </c>
      <c r="K24" s="612">
        <f t="shared" si="0"/>
        <v>0</v>
      </c>
      <c r="L24" s="614"/>
      <c r="M24" s="583"/>
      <c r="N24" s="583"/>
      <c r="O24" s="616"/>
    </row>
    <row r="25" spans="2:20" ht="15.9" customHeight="1">
      <c r="B25" s="688"/>
      <c r="C25" s="21" t="s">
        <v>33</v>
      </c>
      <c r="D25" s="583">
        <f>H8-D15-D20</f>
        <v>117.26010439054345</v>
      </c>
      <c r="E25" s="17"/>
      <c r="F25" s="17">
        <f>基础数据!B25</f>
        <v>0.13</v>
      </c>
      <c r="G25" s="17"/>
      <c r="H25" s="602">
        <f>基础数据!D25</f>
        <v>8</v>
      </c>
      <c r="I25" s="610">
        <f t="shared" si="0"/>
        <v>0.15243813570770648</v>
      </c>
      <c r="J25" s="610">
        <f t="shared" si="0"/>
        <v>0</v>
      </c>
      <c r="K25" s="610">
        <f t="shared" si="0"/>
        <v>-3.1386900828983748</v>
      </c>
      <c r="L25" s="614"/>
      <c r="M25" s="583"/>
      <c r="N25" s="583"/>
      <c r="O25" s="616"/>
    </row>
    <row r="26" spans="2:20" ht="15.9" customHeight="1">
      <c r="B26" s="688"/>
      <c r="C26" s="21" t="s">
        <v>34</v>
      </c>
      <c r="D26" s="583">
        <f>H9-D16-D21</f>
        <v>116.66709931766489</v>
      </c>
      <c r="E26" s="581"/>
      <c r="F26" s="581">
        <f>基础数据!B37</f>
        <v>0.09</v>
      </c>
      <c r="G26" s="581"/>
      <c r="H26" s="599">
        <f>基础数据!D37</f>
        <v>4</v>
      </c>
      <c r="I26" s="610">
        <f t="shared" si="0"/>
        <v>0.10500038938589817</v>
      </c>
      <c r="J26" s="610">
        <f t="shared" si="0"/>
        <v>0</v>
      </c>
      <c r="K26" s="610">
        <f>O9-K16-K21</f>
        <v>3.2307956937073499</v>
      </c>
      <c r="L26" s="614"/>
      <c r="M26" s="583"/>
      <c r="N26" s="583"/>
      <c r="O26" s="616"/>
    </row>
    <row r="27" spans="2:20" ht="15.9" customHeight="1">
      <c r="B27" s="688"/>
      <c r="C27" s="20" t="s">
        <v>56</v>
      </c>
      <c r="D27" s="583">
        <f>D24+D25+D26</f>
        <v>233.92720370820834</v>
      </c>
      <c r="E27" s="583"/>
      <c r="F27" s="583">
        <f>IF(ISERROR(I27/D27*100),"0.00",I27/D27*100)</f>
        <v>0.11005069996678257</v>
      </c>
      <c r="G27" s="583"/>
      <c r="H27" s="590">
        <f>IF(ISERROR(K27/D27*1000),"0",K27/D27*1000)</f>
        <v>0.39373621087637162</v>
      </c>
      <c r="I27" s="610">
        <f>I24+I25+I26</f>
        <v>0.25743852509360465</v>
      </c>
      <c r="J27" s="610">
        <f>J24+J25+J26</f>
        <v>0</v>
      </c>
      <c r="K27" s="611">
        <f>K24+K25+K26</f>
        <v>9.2105610808975058E-2</v>
      </c>
      <c r="L27" s="614"/>
      <c r="M27" s="583"/>
      <c r="N27" s="583"/>
      <c r="O27" s="616"/>
    </row>
    <row r="28" spans="2:20" ht="15.9" customHeight="1">
      <c r="B28" s="690"/>
      <c r="C28" s="592" t="s">
        <v>57</v>
      </c>
      <c r="D28" s="593">
        <f>D27+D38</f>
        <v>233.92720370820834</v>
      </c>
      <c r="E28" s="593"/>
      <c r="F28" s="593">
        <f>IF(ISERROR(I28/D28*100),"0.00",I28/D28*100)</f>
        <v>0.11005069996678257</v>
      </c>
      <c r="G28" s="593"/>
      <c r="H28" s="594">
        <f>IF(ISERROR(K28/D28*1000),"0",K28/D28*1000)</f>
        <v>0.39373621087637162</v>
      </c>
      <c r="I28" s="617">
        <f>I27+I38</f>
        <v>0.25743852509360465</v>
      </c>
      <c r="J28" s="617">
        <f>J27+J38</f>
        <v>0</v>
      </c>
      <c r="K28" s="618">
        <f>K27+K38</f>
        <v>9.2105610808975058E-2</v>
      </c>
      <c r="L28" s="621"/>
      <c r="M28" s="593"/>
      <c r="N28" s="593"/>
      <c r="O28" s="622"/>
    </row>
    <row r="29" spans="2:20">
      <c r="D29" s="681" t="s">
        <v>66</v>
      </c>
      <c r="E29" s="681"/>
      <c r="F29" s="681"/>
      <c r="G29" s="681"/>
      <c r="K29" s="681" t="s">
        <v>67</v>
      </c>
      <c r="L29" s="681"/>
      <c r="M29" s="681"/>
      <c r="N29" s="681"/>
    </row>
    <row r="30" spans="2:20">
      <c r="D30" s="603"/>
      <c r="E30" s="603"/>
    </row>
    <row r="31" spans="2:20">
      <c r="D31" s="603"/>
      <c r="E31" s="603"/>
    </row>
    <row r="32" spans="2:20">
      <c r="D32" s="603"/>
      <c r="E32" s="603"/>
    </row>
    <row r="33" spans="2:15">
      <c r="D33" s="603"/>
      <c r="E33" s="603"/>
    </row>
    <row r="34" spans="2:15">
      <c r="C34" s="684" t="s">
        <v>68</v>
      </c>
      <c r="D34" s="684"/>
      <c r="E34" s="603"/>
    </row>
    <row r="35" spans="2:15">
      <c r="B35" s="683" t="s">
        <v>69</v>
      </c>
      <c r="C35" s="683"/>
      <c r="D35" s="604"/>
      <c r="E35" s="604"/>
      <c r="F35" s="604"/>
      <c r="G35" s="605"/>
      <c r="H35" s="604"/>
      <c r="I35" s="605"/>
      <c r="J35" s="605"/>
      <c r="K35" s="605"/>
      <c r="L35" s="623"/>
      <c r="M35" s="623"/>
      <c r="N35" s="623"/>
      <c r="O35" s="624"/>
    </row>
    <row r="36" spans="2:15">
      <c r="B36" s="683" t="s">
        <v>70</v>
      </c>
      <c r="C36" s="683"/>
      <c r="D36" s="604"/>
      <c r="E36" s="605"/>
      <c r="F36" s="605"/>
      <c r="G36" s="605"/>
      <c r="H36" s="605"/>
      <c r="I36" s="623"/>
      <c r="J36" s="623"/>
      <c r="K36" s="624"/>
      <c r="L36" s="605"/>
      <c r="M36" s="605"/>
      <c r="N36" s="605"/>
      <c r="O36" s="605"/>
    </row>
    <row r="37" spans="2:15">
      <c r="B37" s="683" t="s">
        <v>71</v>
      </c>
      <c r="C37" s="683"/>
      <c r="D37" s="604"/>
      <c r="E37" s="605"/>
      <c r="F37" s="605"/>
      <c r="G37" s="605"/>
      <c r="H37" s="605"/>
      <c r="I37" s="623"/>
      <c r="J37" s="623"/>
      <c r="K37" s="624"/>
      <c r="L37" s="605"/>
      <c r="M37" s="605"/>
      <c r="N37" s="605"/>
      <c r="O37" s="605"/>
    </row>
    <row r="38" spans="2:15">
      <c r="B38" s="683" t="s">
        <v>72</v>
      </c>
      <c r="C38" s="683"/>
      <c r="D38" s="604"/>
      <c r="E38" s="605"/>
      <c r="F38" s="605"/>
      <c r="G38" s="605"/>
      <c r="H38" s="605"/>
      <c r="I38" s="623"/>
      <c r="J38" s="623"/>
      <c r="K38" s="624"/>
      <c r="L38" s="605"/>
      <c r="M38" s="605"/>
      <c r="N38" s="605"/>
      <c r="O38" s="605"/>
    </row>
    <row r="40" spans="2:15"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</row>
    <row r="41" spans="2:15">
      <c r="B41" s="692"/>
      <c r="C41" s="692"/>
      <c r="D41" s="692"/>
      <c r="E41" s="692"/>
      <c r="F41" s="692"/>
      <c r="G41" s="692"/>
      <c r="H41" s="692"/>
      <c r="I41" s="692"/>
      <c r="J41" s="692"/>
      <c r="K41" s="692"/>
      <c r="L41" s="692"/>
      <c r="M41" s="692"/>
      <c r="N41" s="692"/>
      <c r="O41" s="692"/>
    </row>
    <row r="42" spans="2:15">
      <c r="B42" s="580"/>
      <c r="C42" s="580"/>
      <c r="D42" s="580"/>
      <c r="E42" s="580"/>
      <c r="F42" s="580"/>
      <c r="G42" s="580"/>
      <c r="H42" s="580"/>
      <c r="I42" s="580"/>
      <c r="J42" s="580"/>
      <c r="K42" s="580"/>
      <c r="L42" s="580"/>
      <c r="M42" s="580"/>
      <c r="N42" s="580"/>
      <c r="O42" s="580"/>
    </row>
    <row r="44" spans="2:15">
      <c r="C44" s="684" t="s">
        <v>73</v>
      </c>
      <c r="D44" s="684"/>
    </row>
    <row r="45" spans="2:15">
      <c r="B45" s="683" t="s">
        <v>69</v>
      </c>
      <c r="C45" s="683"/>
      <c r="D45" s="606">
        <f>D11</f>
        <v>0</v>
      </c>
      <c r="E45" s="604">
        <f>E11</f>
        <v>16</v>
      </c>
      <c r="F45" s="606">
        <f>F11</f>
        <v>256</v>
      </c>
      <c r="G45" s="607"/>
      <c r="H45" s="606">
        <f>H11</f>
        <v>248.32</v>
      </c>
      <c r="I45" s="607"/>
      <c r="J45" s="607"/>
      <c r="K45" s="607"/>
      <c r="L45" s="625">
        <f>L11</f>
        <v>0</v>
      </c>
      <c r="M45" s="625">
        <f>M11</f>
        <v>9.7093120000000006</v>
      </c>
      <c r="N45" s="625">
        <f>N11</f>
        <v>0</v>
      </c>
      <c r="O45" s="626">
        <f>O11</f>
        <v>48.546559999999999</v>
      </c>
    </row>
    <row r="46" spans="2:15">
      <c r="B46" s="683" t="s">
        <v>70</v>
      </c>
      <c r="C46" s="683"/>
      <c r="D46" s="606">
        <f>D18</f>
        <v>14.392796291791658</v>
      </c>
      <c r="E46" s="607"/>
      <c r="F46" s="607"/>
      <c r="G46" s="607"/>
      <c r="H46" s="607"/>
      <c r="I46" s="625">
        <f>I18</f>
        <v>9.451873474906396</v>
      </c>
      <c r="J46" s="625">
        <f>J18</f>
        <v>0</v>
      </c>
      <c r="K46" s="626">
        <f>K18</f>
        <v>48.454454389191021</v>
      </c>
      <c r="L46" s="607"/>
      <c r="M46" s="607"/>
      <c r="N46" s="607"/>
      <c r="O46" s="607"/>
    </row>
    <row r="47" spans="2:15">
      <c r="B47" s="683" t="s">
        <v>71</v>
      </c>
      <c r="C47" s="683"/>
      <c r="D47" s="606">
        <f>D23</f>
        <v>0</v>
      </c>
      <c r="E47" s="607"/>
      <c r="F47" s="607"/>
      <c r="G47" s="607"/>
      <c r="H47" s="607"/>
      <c r="I47" s="625">
        <f>I23</f>
        <v>0</v>
      </c>
      <c r="J47" s="625">
        <f>J23</f>
        <v>0</v>
      </c>
      <c r="K47" s="626">
        <f>K23</f>
        <v>0</v>
      </c>
      <c r="L47" s="607"/>
      <c r="M47" s="607"/>
      <c r="N47" s="607"/>
      <c r="O47" s="607"/>
    </row>
    <row r="48" spans="2:15">
      <c r="B48" s="683" t="s">
        <v>72</v>
      </c>
      <c r="C48" s="683"/>
      <c r="D48" s="606">
        <f>D28</f>
        <v>233.92720370820834</v>
      </c>
      <c r="E48" s="607"/>
      <c r="F48" s="607"/>
      <c r="G48" s="607"/>
      <c r="H48" s="607"/>
      <c r="I48" s="625">
        <f>I28</f>
        <v>0.25743852509360465</v>
      </c>
      <c r="J48" s="625">
        <f>J28</f>
        <v>0</v>
      </c>
      <c r="K48" s="626">
        <f>K28</f>
        <v>9.2105610808975058E-2</v>
      </c>
      <c r="L48" s="607"/>
      <c r="M48" s="607"/>
      <c r="N48" s="607"/>
      <c r="O48" s="607"/>
    </row>
  </sheetData>
  <sheetProtection sheet="1" objects="1"/>
  <mergeCells count="36">
    <mergeCell ref="O12:O13"/>
    <mergeCell ref="B2:O3"/>
    <mergeCell ref="B47:C47"/>
    <mergeCell ref="B48:C48"/>
    <mergeCell ref="B5:B6"/>
    <mergeCell ref="B7:B11"/>
    <mergeCell ref="B12:B13"/>
    <mergeCell ref="B14:B18"/>
    <mergeCell ref="B19:B23"/>
    <mergeCell ref="B24:B28"/>
    <mergeCell ref="C5:C6"/>
    <mergeCell ref="C12:C13"/>
    <mergeCell ref="B40:O40"/>
    <mergeCell ref="B41:O41"/>
    <mergeCell ref="C44:D44"/>
    <mergeCell ref="B45:C45"/>
    <mergeCell ref="B46:C46"/>
    <mergeCell ref="C34:D34"/>
    <mergeCell ref="B35:C35"/>
    <mergeCell ref="B36:C36"/>
    <mergeCell ref="B37:C37"/>
    <mergeCell ref="B38:C38"/>
    <mergeCell ref="E12:H12"/>
    <mergeCell ref="I12:K12"/>
    <mergeCell ref="L12:M12"/>
    <mergeCell ref="D29:G29"/>
    <mergeCell ref="K29:N29"/>
    <mergeCell ref="D12:D13"/>
    <mergeCell ref="N12:N13"/>
    <mergeCell ref="D4:F4"/>
    <mergeCell ref="M4:N4"/>
    <mergeCell ref="F5:H5"/>
    <mergeCell ref="I5:K5"/>
    <mergeCell ref="L5:O5"/>
    <mergeCell ref="D5:D6"/>
    <mergeCell ref="E5:E6"/>
  </mergeCells>
  <phoneticPr fontId="54" type="noConversion"/>
  <printOptions horizontalCentered="1" verticalCentered="1"/>
  <pageMargins left="0" right="0" top="0" bottom="0" header="0" footer="0"/>
  <pageSetup paperSize="9" orientation="landscape" horizontalDpi="180" verticalDpi="18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tabColor indexed="12"/>
  </sheetPr>
  <dimension ref="B2:AM60"/>
  <sheetViews>
    <sheetView workbookViewId="0">
      <selection activeCell="E32" sqref="E32"/>
    </sheetView>
  </sheetViews>
  <sheetFormatPr defaultColWidth="9" defaultRowHeight="15.6"/>
  <cols>
    <col min="1" max="1" width="4.6640625" style="18" customWidth="1"/>
    <col min="2" max="2" width="6.33203125" style="18" customWidth="1"/>
    <col min="3" max="3" width="7" style="18" customWidth="1"/>
    <col min="4" max="4" width="10.21875" style="18" customWidth="1"/>
    <col min="5" max="5" width="9.88671875" style="18" customWidth="1"/>
    <col min="6" max="6" width="11.6640625" style="18" customWidth="1"/>
    <col min="7" max="8" width="9" style="18"/>
    <col min="9" max="9" width="9.33203125" style="18" customWidth="1"/>
    <col min="10" max="11" width="9" style="18"/>
    <col min="12" max="12" width="10.109375" style="18"/>
    <col min="13" max="13" width="9" style="18"/>
    <col min="14" max="14" width="9" style="18" hidden="1" customWidth="1"/>
    <col min="15" max="16" width="9.109375" style="18" hidden="1" customWidth="1"/>
    <col min="17" max="17" width="9.44140625" style="18" hidden="1" customWidth="1"/>
    <col min="18" max="18" width="9" style="18" hidden="1" customWidth="1"/>
    <col min="19" max="22" width="9.109375" style="18" hidden="1" customWidth="1"/>
    <col min="23" max="39" width="9" style="18" hidden="1" customWidth="1"/>
    <col min="40" max="254" width="9" style="18"/>
    <col min="255" max="255" width="4.6640625" style="18" customWidth="1"/>
    <col min="256" max="256" width="6.33203125" style="18" customWidth="1"/>
    <col min="257" max="257" width="7" style="18" customWidth="1"/>
    <col min="258" max="258" width="10.21875" style="18" customWidth="1"/>
    <col min="259" max="259" width="9.88671875" style="18" customWidth="1"/>
    <col min="260" max="260" width="11.6640625" style="18" customWidth="1"/>
    <col min="261" max="263" width="9" style="18"/>
    <col min="264" max="264" width="9.33203125" style="18" customWidth="1"/>
    <col min="265" max="265" width="11.21875" style="18" customWidth="1"/>
    <col min="266" max="270" width="9" style="18"/>
    <col min="271" max="272" width="9.109375" style="18" customWidth="1"/>
    <col min="273" max="273" width="9.44140625" style="18" customWidth="1"/>
    <col min="274" max="274" width="9" style="18"/>
    <col min="275" max="278" width="9.109375" style="18" customWidth="1"/>
    <col min="279" max="510" width="9" style="18"/>
    <col min="511" max="511" width="4.6640625" style="18" customWidth="1"/>
    <col min="512" max="512" width="6.33203125" style="18" customWidth="1"/>
    <col min="513" max="513" width="7" style="18" customWidth="1"/>
    <col min="514" max="514" width="10.21875" style="18" customWidth="1"/>
    <col min="515" max="515" width="9.88671875" style="18" customWidth="1"/>
    <col min="516" max="516" width="11.6640625" style="18" customWidth="1"/>
    <col min="517" max="519" width="9" style="18"/>
    <col min="520" max="520" width="9.33203125" style="18" customWidth="1"/>
    <col min="521" max="521" width="11.21875" style="18" customWidth="1"/>
    <col min="522" max="526" width="9" style="18"/>
    <col min="527" max="528" width="9.109375" style="18" customWidth="1"/>
    <col min="529" max="529" width="9.44140625" style="18" customWidth="1"/>
    <col min="530" max="530" width="9" style="18"/>
    <col min="531" max="534" width="9.109375" style="18" customWidth="1"/>
    <col min="535" max="766" width="9" style="18"/>
    <col min="767" max="767" width="4.6640625" style="18" customWidth="1"/>
    <col min="768" max="768" width="6.33203125" style="18" customWidth="1"/>
    <col min="769" max="769" width="7" style="18" customWidth="1"/>
    <col min="770" max="770" width="10.21875" style="18" customWidth="1"/>
    <col min="771" max="771" width="9.88671875" style="18" customWidth="1"/>
    <col min="772" max="772" width="11.6640625" style="18" customWidth="1"/>
    <col min="773" max="775" width="9" style="18"/>
    <col min="776" max="776" width="9.33203125" style="18" customWidth="1"/>
    <col min="777" max="777" width="11.21875" style="18" customWidth="1"/>
    <col min="778" max="782" width="9" style="18"/>
    <col min="783" max="784" width="9.109375" style="18" customWidth="1"/>
    <col min="785" max="785" width="9.44140625" style="18" customWidth="1"/>
    <col min="786" max="786" width="9" style="18"/>
    <col min="787" max="790" width="9.109375" style="18" customWidth="1"/>
    <col min="791" max="1022" width="9" style="18"/>
    <col min="1023" max="1023" width="4.6640625" style="18" customWidth="1"/>
    <col min="1024" max="1024" width="6.33203125" style="18" customWidth="1"/>
    <col min="1025" max="1025" width="7" style="18" customWidth="1"/>
    <col min="1026" max="1026" width="10.21875" style="18" customWidth="1"/>
    <col min="1027" max="1027" width="9.88671875" style="18" customWidth="1"/>
    <col min="1028" max="1028" width="11.6640625" style="18" customWidth="1"/>
    <col min="1029" max="1031" width="9" style="18"/>
    <col min="1032" max="1032" width="9.33203125" style="18" customWidth="1"/>
    <col min="1033" max="1033" width="11.21875" style="18" customWidth="1"/>
    <col min="1034" max="1038" width="9" style="18"/>
    <col min="1039" max="1040" width="9.109375" style="18" customWidth="1"/>
    <col min="1041" max="1041" width="9.44140625" style="18" customWidth="1"/>
    <col min="1042" max="1042" width="9" style="18"/>
    <col min="1043" max="1046" width="9.109375" style="18" customWidth="1"/>
    <col min="1047" max="1278" width="9" style="18"/>
    <col min="1279" max="1279" width="4.6640625" style="18" customWidth="1"/>
    <col min="1280" max="1280" width="6.33203125" style="18" customWidth="1"/>
    <col min="1281" max="1281" width="7" style="18" customWidth="1"/>
    <col min="1282" max="1282" width="10.21875" style="18" customWidth="1"/>
    <col min="1283" max="1283" width="9.88671875" style="18" customWidth="1"/>
    <col min="1284" max="1284" width="11.6640625" style="18" customWidth="1"/>
    <col min="1285" max="1287" width="9" style="18"/>
    <col min="1288" max="1288" width="9.33203125" style="18" customWidth="1"/>
    <col min="1289" max="1289" width="11.21875" style="18" customWidth="1"/>
    <col min="1290" max="1294" width="9" style="18"/>
    <col min="1295" max="1296" width="9.109375" style="18" customWidth="1"/>
    <col min="1297" max="1297" width="9.44140625" style="18" customWidth="1"/>
    <col min="1298" max="1298" width="9" style="18"/>
    <col min="1299" max="1302" width="9.109375" style="18" customWidth="1"/>
    <col min="1303" max="1534" width="9" style="18"/>
    <col min="1535" max="1535" width="4.6640625" style="18" customWidth="1"/>
    <col min="1536" max="1536" width="6.33203125" style="18" customWidth="1"/>
    <col min="1537" max="1537" width="7" style="18" customWidth="1"/>
    <col min="1538" max="1538" width="10.21875" style="18" customWidth="1"/>
    <col min="1539" max="1539" width="9.88671875" style="18" customWidth="1"/>
    <col min="1540" max="1540" width="11.6640625" style="18" customWidth="1"/>
    <col min="1541" max="1543" width="9" style="18"/>
    <col min="1544" max="1544" width="9.33203125" style="18" customWidth="1"/>
    <col min="1545" max="1545" width="11.21875" style="18" customWidth="1"/>
    <col min="1546" max="1550" width="9" style="18"/>
    <col min="1551" max="1552" width="9.109375" style="18" customWidth="1"/>
    <col min="1553" max="1553" width="9.44140625" style="18" customWidth="1"/>
    <col min="1554" max="1554" width="9" style="18"/>
    <col min="1555" max="1558" width="9.109375" style="18" customWidth="1"/>
    <col min="1559" max="1790" width="9" style="18"/>
    <col min="1791" max="1791" width="4.6640625" style="18" customWidth="1"/>
    <col min="1792" max="1792" width="6.33203125" style="18" customWidth="1"/>
    <col min="1793" max="1793" width="7" style="18" customWidth="1"/>
    <col min="1794" max="1794" width="10.21875" style="18" customWidth="1"/>
    <col min="1795" max="1795" width="9.88671875" style="18" customWidth="1"/>
    <col min="1796" max="1796" width="11.6640625" style="18" customWidth="1"/>
    <col min="1797" max="1799" width="9" style="18"/>
    <col min="1800" max="1800" width="9.33203125" style="18" customWidth="1"/>
    <col min="1801" max="1801" width="11.21875" style="18" customWidth="1"/>
    <col min="1802" max="1806" width="9" style="18"/>
    <col min="1807" max="1808" width="9.109375" style="18" customWidth="1"/>
    <col min="1809" max="1809" width="9.44140625" style="18" customWidth="1"/>
    <col min="1810" max="1810" width="9" style="18"/>
    <col min="1811" max="1814" width="9.109375" style="18" customWidth="1"/>
    <col min="1815" max="2046" width="9" style="18"/>
    <col min="2047" max="2047" width="4.6640625" style="18" customWidth="1"/>
    <col min="2048" max="2048" width="6.33203125" style="18" customWidth="1"/>
    <col min="2049" max="2049" width="7" style="18" customWidth="1"/>
    <col min="2050" max="2050" width="10.21875" style="18" customWidth="1"/>
    <col min="2051" max="2051" width="9.88671875" style="18" customWidth="1"/>
    <col min="2052" max="2052" width="11.6640625" style="18" customWidth="1"/>
    <col min="2053" max="2055" width="9" style="18"/>
    <col min="2056" max="2056" width="9.33203125" style="18" customWidth="1"/>
    <col min="2057" max="2057" width="11.21875" style="18" customWidth="1"/>
    <col min="2058" max="2062" width="9" style="18"/>
    <col min="2063" max="2064" width="9.109375" style="18" customWidth="1"/>
    <col min="2065" max="2065" width="9.44140625" style="18" customWidth="1"/>
    <col min="2066" max="2066" width="9" style="18"/>
    <col min="2067" max="2070" width="9.109375" style="18" customWidth="1"/>
    <col min="2071" max="2302" width="9" style="18"/>
    <col min="2303" max="2303" width="4.6640625" style="18" customWidth="1"/>
    <col min="2304" max="2304" width="6.33203125" style="18" customWidth="1"/>
    <col min="2305" max="2305" width="7" style="18" customWidth="1"/>
    <col min="2306" max="2306" width="10.21875" style="18" customWidth="1"/>
    <col min="2307" max="2307" width="9.88671875" style="18" customWidth="1"/>
    <col min="2308" max="2308" width="11.6640625" style="18" customWidth="1"/>
    <col min="2309" max="2311" width="9" style="18"/>
    <col min="2312" max="2312" width="9.33203125" style="18" customWidth="1"/>
    <col min="2313" max="2313" width="11.21875" style="18" customWidth="1"/>
    <col min="2314" max="2318" width="9" style="18"/>
    <col min="2319" max="2320" width="9.109375" style="18" customWidth="1"/>
    <col min="2321" max="2321" width="9.44140625" style="18" customWidth="1"/>
    <col min="2322" max="2322" width="9" style="18"/>
    <col min="2323" max="2326" width="9.109375" style="18" customWidth="1"/>
    <col min="2327" max="2558" width="9" style="18"/>
    <col min="2559" max="2559" width="4.6640625" style="18" customWidth="1"/>
    <col min="2560" max="2560" width="6.33203125" style="18" customWidth="1"/>
    <col min="2561" max="2561" width="7" style="18" customWidth="1"/>
    <col min="2562" max="2562" width="10.21875" style="18" customWidth="1"/>
    <col min="2563" max="2563" width="9.88671875" style="18" customWidth="1"/>
    <col min="2564" max="2564" width="11.6640625" style="18" customWidth="1"/>
    <col min="2565" max="2567" width="9" style="18"/>
    <col min="2568" max="2568" width="9.33203125" style="18" customWidth="1"/>
    <col min="2569" max="2569" width="11.21875" style="18" customWidth="1"/>
    <col min="2570" max="2574" width="9" style="18"/>
    <col min="2575" max="2576" width="9.109375" style="18" customWidth="1"/>
    <col min="2577" max="2577" width="9.44140625" style="18" customWidth="1"/>
    <col min="2578" max="2578" width="9" style="18"/>
    <col min="2579" max="2582" width="9.109375" style="18" customWidth="1"/>
    <col min="2583" max="2814" width="9" style="18"/>
    <col min="2815" max="2815" width="4.6640625" style="18" customWidth="1"/>
    <col min="2816" max="2816" width="6.33203125" style="18" customWidth="1"/>
    <col min="2817" max="2817" width="7" style="18" customWidth="1"/>
    <col min="2818" max="2818" width="10.21875" style="18" customWidth="1"/>
    <col min="2819" max="2819" width="9.88671875" style="18" customWidth="1"/>
    <col min="2820" max="2820" width="11.6640625" style="18" customWidth="1"/>
    <col min="2821" max="2823" width="9" style="18"/>
    <col min="2824" max="2824" width="9.33203125" style="18" customWidth="1"/>
    <col min="2825" max="2825" width="11.21875" style="18" customWidth="1"/>
    <col min="2826" max="2830" width="9" style="18"/>
    <col min="2831" max="2832" width="9.109375" style="18" customWidth="1"/>
    <col min="2833" max="2833" width="9.44140625" style="18" customWidth="1"/>
    <col min="2834" max="2834" width="9" style="18"/>
    <col min="2835" max="2838" width="9.109375" style="18" customWidth="1"/>
    <col min="2839" max="3070" width="9" style="18"/>
    <col min="3071" max="3071" width="4.6640625" style="18" customWidth="1"/>
    <col min="3072" max="3072" width="6.33203125" style="18" customWidth="1"/>
    <col min="3073" max="3073" width="7" style="18" customWidth="1"/>
    <col min="3074" max="3074" width="10.21875" style="18" customWidth="1"/>
    <col min="3075" max="3075" width="9.88671875" style="18" customWidth="1"/>
    <col min="3076" max="3076" width="11.6640625" style="18" customWidth="1"/>
    <col min="3077" max="3079" width="9" style="18"/>
    <col min="3080" max="3080" width="9.33203125" style="18" customWidth="1"/>
    <col min="3081" max="3081" width="11.21875" style="18" customWidth="1"/>
    <col min="3082" max="3086" width="9" style="18"/>
    <col min="3087" max="3088" width="9.109375" style="18" customWidth="1"/>
    <col min="3089" max="3089" width="9.44140625" style="18" customWidth="1"/>
    <col min="3090" max="3090" width="9" style="18"/>
    <col min="3091" max="3094" width="9.109375" style="18" customWidth="1"/>
    <col min="3095" max="3326" width="9" style="18"/>
    <col min="3327" max="3327" width="4.6640625" style="18" customWidth="1"/>
    <col min="3328" max="3328" width="6.33203125" style="18" customWidth="1"/>
    <col min="3329" max="3329" width="7" style="18" customWidth="1"/>
    <col min="3330" max="3330" width="10.21875" style="18" customWidth="1"/>
    <col min="3331" max="3331" width="9.88671875" style="18" customWidth="1"/>
    <col min="3332" max="3332" width="11.6640625" style="18" customWidth="1"/>
    <col min="3333" max="3335" width="9" style="18"/>
    <col min="3336" max="3336" width="9.33203125" style="18" customWidth="1"/>
    <col min="3337" max="3337" width="11.21875" style="18" customWidth="1"/>
    <col min="3338" max="3342" width="9" style="18"/>
    <col min="3343" max="3344" width="9.109375" style="18" customWidth="1"/>
    <col min="3345" max="3345" width="9.44140625" style="18" customWidth="1"/>
    <col min="3346" max="3346" width="9" style="18"/>
    <col min="3347" max="3350" width="9.109375" style="18" customWidth="1"/>
    <col min="3351" max="3582" width="9" style="18"/>
    <col min="3583" max="3583" width="4.6640625" style="18" customWidth="1"/>
    <col min="3584" max="3584" width="6.33203125" style="18" customWidth="1"/>
    <col min="3585" max="3585" width="7" style="18" customWidth="1"/>
    <col min="3586" max="3586" width="10.21875" style="18" customWidth="1"/>
    <col min="3587" max="3587" width="9.88671875" style="18" customWidth="1"/>
    <col min="3588" max="3588" width="11.6640625" style="18" customWidth="1"/>
    <col min="3589" max="3591" width="9" style="18"/>
    <col min="3592" max="3592" width="9.33203125" style="18" customWidth="1"/>
    <col min="3593" max="3593" width="11.21875" style="18" customWidth="1"/>
    <col min="3594" max="3598" width="9" style="18"/>
    <col min="3599" max="3600" width="9.109375" style="18" customWidth="1"/>
    <col min="3601" max="3601" width="9.44140625" style="18" customWidth="1"/>
    <col min="3602" max="3602" width="9" style="18"/>
    <col min="3603" max="3606" width="9.109375" style="18" customWidth="1"/>
    <col min="3607" max="3838" width="9" style="18"/>
    <col min="3839" max="3839" width="4.6640625" style="18" customWidth="1"/>
    <col min="3840" max="3840" width="6.33203125" style="18" customWidth="1"/>
    <col min="3841" max="3841" width="7" style="18" customWidth="1"/>
    <col min="3842" max="3842" width="10.21875" style="18" customWidth="1"/>
    <col min="3843" max="3843" width="9.88671875" style="18" customWidth="1"/>
    <col min="3844" max="3844" width="11.6640625" style="18" customWidth="1"/>
    <col min="3845" max="3847" width="9" style="18"/>
    <col min="3848" max="3848" width="9.33203125" style="18" customWidth="1"/>
    <col min="3849" max="3849" width="11.21875" style="18" customWidth="1"/>
    <col min="3850" max="3854" width="9" style="18"/>
    <col min="3855" max="3856" width="9.109375" style="18" customWidth="1"/>
    <col min="3857" max="3857" width="9.44140625" style="18" customWidth="1"/>
    <col min="3858" max="3858" width="9" style="18"/>
    <col min="3859" max="3862" width="9.109375" style="18" customWidth="1"/>
    <col min="3863" max="4094" width="9" style="18"/>
    <col min="4095" max="4095" width="4.6640625" style="18" customWidth="1"/>
    <col min="4096" max="4096" width="6.33203125" style="18" customWidth="1"/>
    <col min="4097" max="4097" width="7" style="18" customWidth="1"/>
    <col min="4098" max="4098" width="10.21875" style="18" customWidth="1"/>
    <col min="4099" max="4099" width="9.88671875" style="18" customWidth="1"/>
    <col min="4100" max="4100" width="11.6640625" style="18" customWidth="1"/>
    <col min="4101" max="4103" width="9" style="18"/>
    <col min="4104" max="4104" width="9.33203125" style="18" customWidth="1"/>
    <col min="4105" max="4105" width="11.21875" style="18" customWidth="1"/>
    <col min="4106" max="4110" width="9" style="18"/>
    <col min="4111" max="4112" width="9.109375" style="18" customWidth="1"/>
    <col min="4113" max="4113" width="9.44140625" style="18" customWidth="1"/>
    <col min="4114" max="4114" width="9" style="18"/>
    <col min="4115" max="4118" width="9.109375" style="18" customWidth="1"/>
    <col min="4119" max="4350" width="9" style="18"/>
    <col min="4351" max="4351" width="4.6640625" style="18" customWidth="1"/>
    <col min="4352" max="4352" width="6.33203125" style="18" customWidth="1"/>
    <col min="4353" max="4353" width="7" style="18" customWidth="1"/>
    <col min="4354" max="4354" width="10.21875" style="18" customWidth="1"/>
    <col min="4355" max="4355" width="9.88671875" style="18" customWidth="1"/>
    <col min="4356" max="4356" width="11.6640625" style="18" customWidth="1"/>
    <col min="4357" max="4359" width="9" style="18"/>
    <col min="4360" max="4360" width="9.33203125" style="18" customWidth="1"/>
    <col min="4361" max="4361" width="11.21875" style="18" customWidth="1"/>
    <col min="4362" max="4366" width="9" style="18"/>
    <col min="4367" max="4368" width="9.109375" style="18" customWidth="1"/>
    <col min="4369" max="4369" width="9.44140625" style="18" customWidth="1"/>
    <col min="4370" max="4370" width="9" style="18"/>
    <col min="4371" max="4374" width="9.109375" style="18" customWidth="1"/>
    <col min="4375" max="4606" width="9" style="18"/>
    <col min="4607" max="4607" width="4.6640625" style="18" customWidth="1"/>
    <col min="4608" max="4608" width="6.33203125" style="18" customWidth="1"/>
    <col min="4609" max="4609" width="7" style="18" customWidth="1"/>
    <col min="4610" max="4610" width="10.21875" style="18" customWidth="1"/>
    <col min="4611" max="4611" width="9.88671875" style="18" customWidth="1"/>
    <col min="4612" max="4612" width="11.6640625" style="18" customWidth="1"/>
    <col min="4613" max="4615" width="9" style="18"/>
    <col min="4616" max="4616" width="9.33203125" style="18" customWidth="1"/>
    <col min="4617" max="4617" width="11.21875" style="18" customWidth="1"/>
    <col min="4618" max="4622" width="9" style="18"/>
    <col min="4623" max="4624" width="9.109375" style="18" customWidth="1"/>
    <col min="4625" max="4625" width="9.44140625" style="18" customWidth="1"/>
    <col min="4626" max="4626" width="9" style="18"/>
    <col min="4627" max="4630" width="9.109375" style="18" customWidth="1"/>
    <col min="4631" max="4862" width="9" style="18"/>
    <col min="4863" max="4863" width="4.6640625" style="18" customWidth="1"/>
    <col min="4864" max="4864" width="6.33203125" style="18" customWidth="1"/>
    <col min="4865" max="4865" width="7" style="18" customWidth="1"/>
    <col min="4866" max="4866" width="10.21875" style="18" customWidth="1"/>
    <col min="4867" max="4867" width="9.88671875" style="18" customWidth="1"/>
    <col min="4868" max="4868" width="11.6640625" style="18" customWidth="1"/>
    <col min="4869" max="4871" width="9" style="18"/>
    <col min="4872" max="4872" width="9.33203125" style="18" customWidth="1"/>
    <col min="4873" max="4873" width="11.21875" style="18" customWidth="1"/>
    <col min="4874" max="4878" width="9" style="18"/>
    <col min="4879" max="4880" width="9.109375" style="18" customWidth="1"/>
    <col min="4881" max="4881" width="9.44140625" style="18" customWidth="1"/>
    <col min="4882" max="4882" width="9" style="18"/>
    <col min="4883" max="4886" width="9.109375" style="18" customWidth="1"/>
    <col min="4887" max="5118" width="9" style="18"/>
    <col min="5119" max="5119" width="4.6640625" style="18" customWidth="1"/>
    <col min="5120" max="5120" width="6.33203125" style="18" customWidth="1"/>
    <col min="5121" max="5121" width="7" style="18" customWidth="1"/>
    <col min="5122" max="5122" width="10.21875" style="18" customWidth="1"/>
    <col min="5123" max="5123" width="9.88671875" style="18" customWidth="1"/>
    <col min="5124" max="5124" width="11.6640625" style="18" customWidth="1"/>
    <col min="5125" max="5127" width="9" style="18"/>
    <col min="5128" max="5128" width="9.33203125" style="18" customWidth="1"/>
    <col min="5129" max="5129" width="11.21875" style="18" customWidth="1"/>
    <col min="5130" max="5134" width="9" style="18"/>
    <col min="5135" max="5136" width="9.109375" style="18" customWidth="1"/>
    <col min="5137" max="5137" width="9.44140625" style="18" customWidth="1"/>
    <col min="5138" max="5138" width="9" style="18"/>
    <col min="5139" max="5142" width="9.109375" style="18" customWidth="1"/>
    <col min="5143" max="5374" width="9" style="18"/>
    <col min="5375" max="5375" width="4.6640625" style="18" customWidth="1"/>
    <col min="5376" max="5376" width="6.33203125" style="18" customWidth="1"/>
    <col min="5377" max="5377" width="7" style="18" customWidth="1"/>
    <col min="5378" max="5378" width="10.21875" style="18" customWidth="1"/>
    <col min="5379" max="5379" width="9.88671875" style="18" customWidth="1"/>
    <col min="5380" max="5380" width="11.6640625" style="18" customWidth="1"/>
    <col min="5381" max="5383" width="9" style="18"/>
    <col min="5384" max="5384" width="9.33203125" style="18" customWidth="1"/>
    <col min="5385" max="5385" width="11.21875" style="18" customWidth="1"/>
    <col min="5386" max="5390" width="9" style="18"/>
    <col min="5391" max="5392" width="9.109375" style="18" customWidth="1"/>
    <col min="5393" max="5393" width="9.44140625" style="18" customWidth="1"/>
    <col min="5394" max="5394" width="9" style="18"/>
    <col min="5395" max="5398" width="9.109375" style="18" customWidth="1"/>
    <col min="5399" max="5630" width="9" style="18"/>
    <col min="5631" max="5631" width="4.6640625" style="18" customWidth="1"/>
    <col min="5632" max="5632" width="6.33203125" style="18" customWidth="1"/>
    <col min="5633" max="5633" width="7" style="18" customWidth="1"/>
    <col min="5634" max="5634" width="10.21875" style="18" customWidth="1"/>
    <col min="5635" max="5635" width="9.88671875" style="18" customWidth="1"/>
    <col min="5636" max="5636" width="11.6640625" style="18" customWidth="1"/>
    <col min="5637" max="5639" width="9" style="18"/>
    <col min="5640" max="5640" width="9.33203125" style="18" customWidth="1"/>
    <col min="5641" max="5641" width="11.21875" style="18" customWidth="1"/>
    <col min="5642" max="5646" width="9" style="18"/>
    <col min="5647" max="5648" width="9.109375" style="18" customWidth="1"/>
    <col min="5649" max="5649" width="9.44140625" style="18" customWidth="1"/>
    <col min="5650" max="5650" width="9" style="18"/>
    <col min="5651" max="5654" width="9.109375" style="18" customWidth="1"/>
    <col min="5655" max="5886" width="9" style="18"/>
    <col min="5887" max="5887" width="4.6640625" style="18" customWidth="1"/>
    <col min="5888" max="5888" width="6.33203125" style="18" customWidth="1"/>
    <col min="5889" max="5889" width="7" style="18" customWidth="1"/>
    <col min="5890" max="5890" width="10.21875" style="18" customWidth="1"/>
    <col min="5891" max="5891" width="9.88671875" style="18" customWidth="1"/>
    <col min="5892" max="5892" width="11.6640625" style="18" customWidth="1"/>
    <col min="5893" max="5895" width="9" style="18"/>
    <col min="5896" max="5896" width="9.33203125" style="18" customWidth="1"/>
    <col min="5897" max="5897" width="11.21875" style="18" customWidth="1"/>
    <col min="5898" max="5902" width="9" style="18"/>
    <col min="5903" max="5904" width="9.109375" style="18" customWidth="1"/>
    <col min="5905" max="5905" width="9.44140625" style="18" customWidth="1"/>
    <col min="5906" max="5906" width="9" style="18"/>
    <col min="5907" max="5910" width="9.109375" style="18" customWidth="1"/>
    <col min="5911" max="6142" width="9" style="18"/>
    <col min="6143" max="6143" width="4.6640625" style="18" customWidth="1"/>
    <col min="6144" max="6144" width="6.33203125" style="18" customWidth="1"/>
    <col min="6145" max="6145" width="7" style="18" customWidth="1"/>
    <col min="6146" max="6146" width="10.21875" style="18" customWidth="1"/>
    <col min="6147" max="6147" width="9.88671875" style="18" customWidth="1"/>
    <col min="6148" max="6148" width="11.6640625" style="18" customWidth="1"/>
    <col min="6149" max="6151" width="9" style="18"/>
    <col min="6152" max="6152" width="9.33203125" style="18" customWidth="1"/>
    <col min="6153" max="6153" width="11.21875" style="18" customWidth="1"/>
    <col min="6154" max="6158" width="9" style="18"/>
    <col min="6159" max="6160" width="9.109375" style="18" customWidth="1"/>
    <col min="6161" max="6161" width="9.44140625" style="18" customWidth="1"/>
    <col min="6162" max="6162" width="9" style="18"/>
    <col min="6163" max="6166" width="9.109375" style="18" customWidth="1"/>
    <col min="6167" max="6398" width="9" style="18"/>
    <col min="6399" max="6399" width="4.6640625" style="18" customWidth="1"/>
    <col min="6400" max="6400" width="6.33203125" style="18" customWidth="1"/>
    <col min="6401" max="6401" width="7" style="18" customWidth="1"/>
    <col min="6402" max="6402" width="10.21875" style="18" customWidth="1"/>
    <col min="6403" max="6403" width="9.88671875" style="18" customWidth="1"/>
    <col min="6404" max="6404" width="11.6640625" style="18" customWidth="1"/>
    <col min="6405" max="6407" width="9" style="18"/>
    <col min="6408" max="6408" width="9.33203125" style="18" customWidth="1"/>
    <col min="6409" max="6409" width="11.21875" style="18" customWidth="1"/>
    <col min="6410" max="6414" width="9" style="18"/>
    <col min="6415" max="6416" width="9.109375" style="18" customWidth="1"/>
    <col min="6417" max="6417" width="9.44140625" style="18" customWidth="1"/>
    <col min="6418" max="6418" width="9" style="18"/>
    <col min="6419" max="6422" width="9.109375" style="18" customWidth="1"/>
    <col min="6423" max="6654" width="9" style="18"/>
    <col min="6655" max="6655" width="4.6640625" style="18" customWidth="1"/>
    <col min="6656" max="6656" width="6.33203125" style="18" customWidth="1"/>
    <col min="6657" max="6657" width="7" style="18" customWidth="1"/>
    <col min="6658" max="6658" width="10.21875" style="18" customWidth="1"/>
    <col min="6659" max="6659" width="9.88671875" style="18" customWidth="1"/>
    <col min="6660" max="6660" width="11.6640625" style="18" customWidth="1"/>
    <col min="6661" max="6663" width="9" style="18"/>
    <col min="6664" max="6664" width="9.33203125" style="18" customWidth="1"/>
    <col min="6665" max="6665" width="11.21875" style="18" customWidth="1"/>
    <col min="6666" max="6670" width="9" style="18"/>
    <col min="6671" max="6672" width="9.109375" style="18" customWidth="1"/>
    <col min="6673" max="6673" width="9.44140625" style="18" customWidth="1"/>
    <col min="6674" max="6674" width="9" style="18"/>
    <col min="6675" max="6678" width="9.109375" style="18" customWidth="1"/>
    <col min="6679" max="6910" width="9" style="18"/>
    <col min="6911" max="6911" width="4.6640625" style="18" customWidth="1"/>
    <col min="6912" max="6912" width="6.33203125" style="18" customWidth="1"/>
    <col min="6913" max="6913" width="7" style="18" customWidth="1"/>
    <col min="6914" max="6914" width="10.21875" style="18" customWidth="1"/>
    <col min="6915" max="6915" width="9.88671875" style="18" customWidth="1"/>
    <col min="6916" max="6916" width="11.6640625" style="18" customWidth="1"/>
    <col min="6917" max="6919" width="9" style="18"/>
    <col min="6920" max="6920" width="9.33203125" style="18" customWidth="1"/>
    <col min="6921" max="6921" width="11.21875" style="18" customWidth="1"/>
    <col min="6922" max="6926" width="9" style="18"/>
    <col min="6927" max="6928" width="9.109375" style="18" customWidth="1"/>
    <col min="6929" max="6929" width="9.44140625" style="18" customWidth="1"/>
    <col min="6930" max="6930" width="9" style="18"/>
    <col min="6931" max="6934" width="9.109375" style="18" customWidth="1"/>
    <col min="6935" max="7166" width="9" style="18"/>
    <col min="7167" max="7167" width="4.6640625" style="18" customWidth="1"/>
    <col min="7168" max="7168" width="6.33203125" style="18" customWidth="1"/>
    <col min="7169" max="7169" width="7" style="18" customWidth="1"/>
    <col min="7170" max="7170" width="10.21875" style="18" customWidth="1"/>
    <col min="7171" max="7171" width="9.88671875" style="18" customWidth="1"/>
    <col min="7172" max="7172" width="11.6640625" style="18" customWidth="1"/>
    <col min="7173" max="7175" width="9" style="18"/>
    <col min="7176" max="7176" width="9.33203125" style="18" customWidth="1"/>
    <col min="7177" max="7177" width="11.21875" style="18" customWidth="1"/>
    <col min="7178" max="7182" width="9" style="18"/>
    <col min="7183" max="7184" width="9.109375" style="18" customWidth="1"/>
    <col min="7185" max="7185" width="9.44140625" style="18" customWidth="1"/>
    <col min="7186" max="7186" width="9" style="18"/>
    <col min="7187" max="7190" width="9.109375" style="18" customWidth="1"/>
    <col min="7191" max="7422" width="9" style="18"/>
    <col min="7423" max="7423" width="4.6640625" style="18" customWidth="1"/>
    <col min="7424" max="7424" width="6.33203125" style="18" customWidth="1"/>
    <col min="7425" max="7425" width="7" style="18" customWidth="1"/>
    <col min="7426" max="7426" width="10.21875" style="18" customWidth="1"/>
    <col min="7427" max="7427" width="9.88671875" style="18" customWidth="1"/>
    <col min="7428" max="7428" width="11.6640625" style="18" customWidth="1"/>
    <col min="7429" max="7431" width="9" style="18"/>
    <col min="7432" max="7432" width="9.33203125" style="18" customWidth="1"/>
    <col min="7433" max="7433" width="11.21875" style="18" customWidth="1"/>
    <col min="7434" max="7438" width="9" style="18"/>
    <col min="7439" max="7440" width="9.109375" style="18" customWidth="1"/>
    <col min="7441" max="7441" width="9.44140625" style="18" customWidth="1"/>
    <col min="7442" max="7442" width="9" style="18"/>
    <col min="7443" max="7446" width="9.109375" style="18" customWidth="1"/>
    <col min="7447" max="7678" width="9" style="18"/>
    <col min="7679" max="7679" width="4.6640625" style="18" customWidth="1"/>
    <col min="7680" max="7680" width="6.33203125" style="18" customWidth="1"/>
    <col min="7681" max="7681" width="7" style="18" customWidth="1"/>
    <col min="7682" max="7682" width="10.21875" style="18" customWidth="1"/>
    <col min="7683" max="7683" width="9.88671875" style="18" customWidth="1"/>
    <col min="7684" max="7684" width="11.6640625" style="18" customWidth="1"/>
    <col min="7685" max="7687" width="9" style="18"/>
    <col min="7688" max="7688" width="9.33203125" style="18" customWidth="1"/>
    <col min="7689" max="7689" width="11.21875" style="18" customWidth="1"/>
    <col min="7690" max="7694" width="9" style="18"/>
    <col min="7695" max="7696" width="9.109375" style="18" customWidth="1"/>
    <col min="7697" max="7697" width="9.44140625" style="18" customWidth="1"/>
    <col min="7698" max="7698" width="9" style="18"/>
    <col min="7699" max="7702" width="9.109375" style="18" customWidth="1"/>
    <col min="7703" max="7934" width="9" style="18"/>
    <col min="7935" max="7935" width="4.6640625" style="18" customWidth="1"/>
    <col min="7936" max="7936" width="6.33203125" style="18" customWidth="1"/>
    <col min="7937" max="7937" width="7" style="18" customWidth="1"/>
    <col min="7938" max="7938" width="10.21875" style="18" customWidth="1"/>
    <col min="7939" max="7939" width="9.88671875" style="18" customWidth="1"/>
    <col min="7940" max="7940" width="11.6640625" style="18" customWidth="1"/>
    <col min="7941" max="7943" width="9" style="18"/>
    <col min="7944" max="7944" width="9.33203125" style="18" customWidth="1"/>
    <col min="7945" max="7945" width="11.21875" style="18" customWidth="1"/>
    <col min="7946" max="7950" width="9" style="18"/>
    <col min="7951" max="7952" width="9.109375" style="18" customWidth="1"/>
    <col min="7953" max="7953" width="9.44140625" style="18" customWidth="1"/>
    <col min="7954" max="7954" width="9" style="18"/>
    <col min="7955" max="7958" width="9.109375" style="18" customWidth="1"/>
    <col min="7959" max="8190" width="9" style="18"/>
    <col min="8191" max="8191" width="4.6640625" style="18" customWidth="1"/>
    <col min="8192" max="8192" width="6.33203125" style="18" customWidth="1"/>
    <col min="8193" max="8193" width="7" style="18" customWidth="1"/>
    <col min="8194" max="8194" width="10.21875" style="18" customWidth="1"/>
    <col min="8195" max="8195" width="9.88671875" style="18" customWidth="1"/>
    <col min="8196" max="8196" width="11.6640625" style="18" customWidth="1"/>
    <col min="8197" max="8199" width="9" style="18"/>
    <col min="8200" max="8200" width="9.33203125" style="18" customWidth="1"/>
    <col min="8201" max="8201" width="11.21875" style="18" customWidth="1"/>
    <col min="8202" max="8206" width="9" style="18"/>
    <col min="8207" max="8208" width="9.109375" style="18" customWidth="1"/>
    <col min="8209" max="8209" width="9.44140625" style="18" customWidth="1"/>
    <col min="8210" max="8210" width="9" style="18"/>
    <col min="8211" max="8214" width="9.109375" style="18" customWidth="1"/>
    <col min="8215" max="8446" width="9" style="18"/>
    <col min="8447" max="8447" width="4.6640625" style="18" customWidth="1"/>
    <col min="8448" max="8448" width="6.33203125" style="18" customWidth="1"/>
    <col min="8449" max="8449" width="7" style="18" customWidth="1"/>
    <col min="8450" max="8450" width="10.21875" style="18" customWidth="1"/>
    <col min="8451" max="8451" width="9.88671875" style="18" customWidth="1"/>
    <col min="8452" max="8452" width="11.6640625" style="18" customWidth="1"/>
    <col min="8453" max="8455" width="9" style="18"/>
    <col min="8456" max="8456" width="9.33203125" style="18" customWidth="1"/>
    <col min="8457" max="8457" width="11.21875" style="18" customWidth="1"/>
    <col min="8458" max="8462" width="9" style="18"/>
    <col min="8463" max="8464" width="9.109375" style="18" customWidth="1"/>
    <col min="8465" max="8465" width="9.44140625" style="18" customWidth="1"/>
    <col min="8466" max="8466" width="9" style="18"/>
    <col min="8467" max="8470" width="9.109375" style="18" customWidth="1"/>
    <col min="8471" max="8702" width="9" style="18"/>
    <col min="8703" max="8703" width="4.6640625" style="18" customWidth="1"/>
    <col min="8704" max="8704" width="6.33203125" style="18" customWidth="1"/>
    <col min="8705" max="8705" width="7" style="18" customWidth="1"/>
    <col min="8706" max="8706" width="10.21875" style="18" customWidth="1"/>
    <col min="8707" max="8707" width="9.88671875" style="18" customWidth="1"/>
    <col min="8708" max="8708" width="11.6640625" style="18" customWidth="1"/>
    <col min="8709" max="8711" width="9" style="18"/>
    <col min="8712" max="8712" width="9.33203125" style="18" customWidth="1"/>
    <col min="8713" max="8713" width="11.21875" style="18" customWidth="1"/>
    <col min="8714" max="8718" width="9" style="18"/>
    <col min="8719" max="8720" width="9.109375" style="18" customWidth="1"/>
    <col min="8721" max="8721" width="9.44140625" style="18" customWidth="1"/>
    <col min="8722" max="8722" width="9" style="18"/>
    <col min="8723" max="8726" width="9.109375" style="18" customWidth="1"/>
    <col min="8727" max="8958" width="9" style="18"/>
    <col min="8959" max="8959" width="4.6640625" style="18" customWidth="1"/>
    <col min="8960" max="8960" width="6.33203125" style="18" customWidth="1"/>
    <col min="8961" max="8961" width="7" style="18" customWidth="1"/>
    <col min="8962" max="8962" width="10.21875" style="18" customWidth="1"/>
    <col min="8963" max="8963" width="9.88671875" style="18" customWidth="1"/>
    <col min="8964" max="8964" width="11.6640625" style="18" customWidth="1"/>
    <col min="8965" max="8967" width="9" style="18"/>
    <col min="8968" max="8968" width="9.33203125" style="18" customWidth="1"/>
    <col min="8969" max="8969" width="11.21875" style="18" customWidth="1"/>
    <col min="8970" max="8974" width="9" style="18"/>
    <col min="8975" max="8976" width="9.109375" style="18" customWidth="1"/>
    <col min="8977" max="8977" width="9.44140625" style="18" customWidth="1"/>
    <col min="8978" max="8978" width="9" style="18"/>
    <col min="8979" max="8982" width="9.109375" style="18" customWidth="1"/>
    <col min="8983" max="9214" width="9" style="18"/>
    <col min="9215" max="9215" width="4.6640625" style="18" customWidth="1"/>
    <col min="9216" max="9216" width="6.33203125" style="18" customWidth="1"/>
    <col min="9217" max="9217" width="7" style="18" customWidth="1"/>
    <col min="9218" max="9218" width="10.21875" style="18" customWidth="1"/>
    <col min="9219" max="9219" width="9.88671875" style="18" customWidth="1"/>
    <col min="9220" max="9220" width="11.6640625" style="18" customWidth="1"/>
    <col min="9221" max="9223" width="9" style="18"/>
    <col min="9224" max="9224" width="9.33203125" style="18" customWidth="1"/>
    <col min="9225" max="9225" width="11.21875" style="18" customWidth="1"/>
    <col min="9226" max="9230" width="9" style="18"/>
    <col min="9231" max="9232" width="9.109375" style="18" customWidth="1"/>
    <col min="9233" max="9233" width="9.44140625" style="18" customWidth="1"/>
    <col min="9234" max="9234" width="9" style="18"/>
    <col min="9235" max="9238" width="9.109375" style="18" customWidth="1"/>
    <col min="9239" max="9470" width="9" style="18"/>
    <col min="9471" max="9471" width="4.6640625" style="18" customWidth="1"/>
    <col min="9472" max="9472" width="6.33203125" style="18" customWidth="1"/>
    <col min="9473" max="9473" width="7" style="18" customWidth="1"/>
    <col min="9474" max="9474" width="10.21875" style="18" customWidth="1"/>
    <col min="9475" max="9475" width="9.88671875" style="18" customWidth="1"/>
    <col min="9476" max="9476" width="11.6640625" style="18" customWidth="1"/>
    <col min="9477" max="9479" width="9" style="18"/>
    <col min="9480" max="9480" width="9.33203125" style="18" customWidth="1"/>
    <col min="9481" max="9481" width="11.21875" style="18" customWidth="1"/>
    <col min="9482" max="9486" width="9" style="18"/>
    <col min="9487" max="9488" width="9.109375" style="18" customWidth="1"/>
    <col min="9489" max="9489" width="9.44140625" style="18" customWidth="1"/>
    <col min="9490" max="9490" width="9" style="18"/>
    <col min="9491" max="9494" width="9.109375" style="18" customWidth="1"/>
    <col min="9495" max="9726" width="9" style="18"/>
    <col min="9727" max="9727" width="4.6640625" style="18" customWidth="1"/>
    <col min="9728" max="9728" width="6.33203125" style="18" customWidth="1"/>
    <col min="9729" max="9729" width="7" style="18" customWidth="1"/>
    <col min="9730" max="9730" width="10.21875" style="18" customWidth="1"/>
    <col min="9731" max="9731" width="9.88671875" style="18" customWidth="1"/>
    <col min="9732" max="9732" width="11.6640625" style="18" customWidth="1"/>
    <col min="9733" max="9735" width="9" style="18"/>
    <col min="9736" max="9736" width="9.33203125" style="18" customWidth="1"/>
    <col min="9737" max="9737" width="11.21875" style="18" customWidth="1"/>
    <col min="9738" max="9742" width="9" style="18"/>
    <col min="9743" max="9744" width="9.109375" style="18" customWidth="1"/>
    <col min="9745" max="9745" width="9.44140625" style="18" customWidth="1"/>
    <col min="9746" max="9746" width="9" style="18"/>
    <col min="9747" max="9750" width="9.109375" style="18" customWidth="1"/>
    <col min="9751" max="9982" width="9" style="18"/>
    <col min="9983" max="9983" width="4.6640625" style="18" customWidth="1"/>
    <col min="9984" max="9984" width="6.33203125" style="18" customWidth="1"/>
    <col min="9985" max="9985" width="7" style="18" customWidth="1"/>
    <col min="9986" max="9986" width="10.21875" style="18" customWidth="1"/>
    <col min="9987" max="9987" width="9.88671875" style="18" customWidth="1"/>
    <col min="9988" max="9988" width="11.6640625" style="18" customWidth="1"/>
    <col min="9989" max="9991" width="9" style="18"/>
    <col min="9992" max="9992" width="9.33203125" style="18" customWidth="1"/>
    <col min="9993" max="9993" width="11.21875" style="18" customWidth="1"/>
    <col min="9994" max="9998" width="9" style="18"/>
    <col min="9999" max="10000" width="9.109375" style="18" customWidth="1"/>
    <col min="10001" max="10001" width="9.44140625" style="18" customWidth="1"/>
    <col min="10002" max="10002" width="9" style="18"/>
    <col min="10003" max="10006" width="9.109375" style="18" customWidth="1"/>
    <col min="10007" max="10238" width="9" style="18"/>
    <col min="10239" max="10239" width="4.6640625" style="18" customWidth="1"/>
    <col min="10240" max="10240" width="6.33203125" style="18" customWidth="1"/>
    <col min="10241" max="10241" width="7" style="18" customWidth="1"/>
    <col min="10242" max="10242" width="10.21875" style="18" customWidth="1"/>
    <col min="10243" max="10243" width="9.88671875" style="18" customWidth="1"/>
    <col min="10244" max="10244" width="11.6640625" style="18" customWidth="1"/>
    <col min="10245" max="10247" width="9" style="18"/>
    <col min="10248" max="10248" width="9.33203125" style="18" customWidth="1"/>
    <col min="10249" max="10249" width="11.21875" style="18" customWidth="1"/>
    <col min="10250" max="10254" width="9" style="18"/>
    <col min="10255" max="10256" width="9.109375" style="18" customWidth="1"/>
    <col min="10257" max="10257" width="9.44140625" style="18" customWidth="1"/>
    <col min="10258" max="10258" width="9" style="18"/>
    <col min="10259" max="10262" width="9.109375" style="18" customWidth="1"/>
    <col min="10263" max="10494" width="9" style="18"/>
    <col min="10495" max="10495" width="4.6640625" style="18" customWidth="1"/>
    <col min="10496" max="10496" width="6.33203125" style="18" customWidth="1"/>
    <col min="10497" max="10497" width="7" style="18" customWidth="1"/>
    <col min="10498" max="10498" width="10.21875" style="18" customWidth="1"/>
    <col min="10499" max="10499" width="9.88671875" style="18" customWidth="1"/>
    <col min="10500" max="10500" width="11.6640625" style="18" customWidth="1"/>
    <col min="10501" max="10503" width="9" style="18"/>
    <col min="10504" max="10504" width="9.33203125" style="18" customWidth="1"/>
    <col min="10505" max="10505" width="11.21875" style="18" customWidth="1"/>
    <col min="10506" max="10510" width="9" style="18"/>
    <col min="10511" max="10512" width="9.109375" style="18" customWidth="1"/>
    <col min="10513" max="10513" width="9.44140625" style="18" customWidth="1"/>
    <col min="10514" max="10514" width="9" style="18"/>
    <col min="10515" max="10518" width="9.109375" style="18" customWidth="1"/>
    <col min="10519" max="10750" width="9" style="18"/>
    <col min="10751" max="10751" width="4.6640625" style="18" customWidth="1"/>
    <col min="10752" max="10752" width="6.33203125" style="18" customWidth="1"/>
    <col min="10753" max="10753" width="7" style="18" customWidth="1"/>
    <col min="10754" max="10754" width="10.21875" style="18" customWidth="1"/>
    <col min="10755" max="10755" width="9.88671875" style="18" customWidth="1"/>
    <col min="10756" max="10756" width="11.6640625" style="18" customWidth="1"/>
    <col min="10757" max="10759" width="9" style="18"/>
    <col min="10760" max="10760" width="9.33203125" style="18" customWidth="1"/>
    <col min="10761" max="10761" width="11.21875" style="18" customWidth="1"/>
    <col min="10762" max="10766" width="9" style="18"/>
    <col min="10767" max="10768" width="9.109375" style="18" customWidth="1"/>
    <col min="10769" max="10769" width="9.44140625" style="18" customWidth="1"/>
    <col min="10770" max="10770" width="9" style="18"/>
    <col min="10771" max="10774" width="9.109375" style="18" customWidth="1"/>
    <col min="10775" max="11006" width="9" style="18"/>
    <col min="11007" max="11007" width="4.6640625" style="18" customWidth="1"/>
    <col min="11008" max="11008" width="6.33203125" style="18" customWidth="1"/>
    <col min="11009" max="11009" width="7" style="18" customWidth="1"/>
    <col min="11010" max="11010" width="10.21875" style="18" customWidth="1"/>
    <col min="11011" max="11011" width="9.88671875" style="18" customWidth="1"/>
    <col min="11012" max="11012" width="11.6640625" style="18" customWidth="1"/>
    <col min="11013" max="11015" width="9" style="18"/>
    <col min="11016" max="11016" width="9.33203125" style="18" customWidth="1"/>
    <col min="11017" max="11017" width="11.21875" style="18" customWidth="1"/>
    <col min="11018" max="11022" width="9" style="18"/>
    <col min="11023" max="11024" width="9.109375" style="18" customWidth="1"/>
    <col min="11025" max="11025" width="9.44140625" style="18" customWidth="1"/>
    <col min="11026" max="11026" width="9" style="18"/>
    <col min="11027" max="11030" width="9.109375" style="18" customWidth="1"/>
    <col min="11031" max="11262" width="9" style="18"/>
    <col min="11263" max="11263" width="4.6640625" style="18" customWidth="1"/>
    <col min="11264" max="11264" width="6.33203125" style="18" customWidth="1"/>
    <col min="11265" max="11265" width="7" style="18" customWidth="1"/>
    <col min="11266" max="11266" width="10.21875" style="18" customWidth="1"/>
    <col min="11267" max="11267" width="9.88671875" style="18" customWidth="1"/>
    <col min="11268" max="11268" width="11.6640625" style="18" customWidth="1"/>
    <col min="11269" max="11271" width="9" style="18"/>
    <col min="11272" max="11272" width="9.33203125" style="18" customWidth="1"/>
    <col min="11273" max="11273" width="11.21875" style="18" customWidth="1"/>
    <col min="11274" max="11278" width="9" style="18"/>
    <col min="11279" max="11280" width="9.109375" style="18" customWidth="1"/>
    <col min="11281" max="11281" width="9.44140625" style="18" customWidth="1"/>
    <col min="11282" max="11282" width="9" style="18"/>
    <col min="11283" max="11286" width="9.109375" style="18" customWidth="1"/>
    <col min="11287" max="11518" width="9" style="18"/>
    <col min="11519" max="11519" width="4.6640625" style="18" customWidth="1"/>
    <col min="11520" max="11520" width="6.33203125" style="18" customWidth="1"/>
    <col min="11521" max="11521" width="7" style="18" customWidth="1"/>
    <col min="11522" max="11522" width="10.21875" style="18" customWidth="1"/>
    <col min="11523" max="11523" width="9.88671875" style="18" customWidth="1"/>
    <col min="11524" max="11524" width="11.6640625" style="18" customWidth="1"/>
    <col min="11525" max="11527" width="9" style="18"/>
    <col min="11528" max="11528" width="9.33203125" style="18" customWidth="1"/>
    <col min="11529" max="11529" width="11.21875" style="18" customWidth="1"/>
    <col min="11530" max="11534" width="9" style="18"/>
    <col min="11535" max="11536" width="9.109375" style="18" customWidth="1"/>
    <col min="11537" max="11537" width="9.44140625" style="18" customWidth="1"/>
    <col min="11538" max="11538" width="9" style="18"/>
    <col min="11539" max="11542" width="9.109375" style="18" customWidth="1"/>
    <col min="11543" max="11774" width="9" style="18"/>
    <col min="11775" max="11775" width="4.6640625" style="18" customWidth="1"/>
    <col min="11776" max="11776" width="6.33203125" style="18" customWidth="1"/>
    <col min="11777" max="11777" width="7" style="18" customWidth="1"/>
    <col min="11778" max="11778" width="10.21875" style="18" customWidth="1"/>
    <col min="11779" max="11779" width="9.88671875" style="18" customWidth="1"/>
    <col min="11780" max="11780" width="11.6640625" style="18" customWidth="1"/>
    <col min="11781" max="11783" width="9" style="18"/>
    <col min="11784" max="11784" width="9.33203125" style="18" customWidth="1"/>
    <col min="11785" max="11785" width="11.21875" style="18" customWidth="1"/>
    <col min="11786" max="11790" width="9" style="18"/>
    <col min="11791" max="11792" width="9.109375" style="18" customWidth="1"/>
    <col min="11793" max="11793" width="9.44140625" style="18" customWidth="1"/>
    <col min="11794" max="11794" width="9" style="18"/>
    <col min="11795" max="11798" width="9.109375" style="18" customWidth="1"/>
    <col min="11799" max="12030" width="9" style="18"/>
    <col min="12031" max="12031" width="4.6640625" style="18" customWidth="1"/>
    <col min="12032" max="12032" width="6.33203125" style="18" customWidth="1"/>
    <col min="12033" max="12033" width="7" style="18" customWidth="1"/>
    <col min="12034" max="12034" width="10.21875" style="18" customWidth="1"/>
    <col min="12035" max="12035" width="9.88671875" style="18" customWidth="1"/>
    <col min="12036" max="12036" width="11.6640625" style="18" customWidth="1"/>
    <col min="12037" max="12039" width="9" style="18"/>
    <col min="12040" max="12040" width="9.33203125" style="18" customWidth="1"/>
    <col min="12041" max="12041" width="11.21875" style="18" customWidth="1"/>
    <col min="12042" max="12046" width="9" style="18"/>
    <col min="12047" max="12048" width="9.109375" style="18" customWidth="1"/>
    <col min="12049" max="12049" width="9.44140625" style="18" customWidth="1"/>
    <col min="12050" max="12050" width="9" style="18"/>
    <col min="12051" max="12054" width="9.109375" style="18" customWidth="1"/>
    <col min="12055" max="12286" width="9" style="18"/>
    <col min="12287" max="12287" width="4.6640625" style="18" customWidth="1"/>
    <col min="12288" max="12288" width="6.33203125" style="18" customWidth="1"/>
    <col min="12289" max="12289" width="7" style="18" customWidth="1"/>
    <col min="12290" max="12290" width="10.21875" style="18" customWidth="1"/>
    <col min="12291" max="12291" width="9.88671875" style="18" customWidth="1"/>
    <col min="12292" max="12292" width="11.6640625" style="18" customWidth="1"/>
    <col min="12293" max="12295" width="9" style="18"/>
    <col min="12296" max="12296" width="9.33203125" style="18" customWidth="1"/>
    <col min="12297" max="12297" width="11.21875" style="18" customWidth="1"/>
    <col min="12298" max="12302" width="9" style="18"/>
    <col min="12303" max="12304" width="9.109375" style="18" customWidth="1"/>
    <col min="12305" max="12305" width="9.44140625" style="18" customWidth="1"/>
    <col min="12306" max="12306" width="9" style="18"/>
    <col min="12307" max="12310" width="9.109375" style="18" customWidth="1"/>
    <col min="12311" max="12542" width="9" style="18"/>
    <col min="12543" max="12543" width="4.6640625" style="18" customWidth="1"/>
    <col min="12544" max="12544" width="6.33203125" style="18" customWidth="1"/>
    <col min="12545" max="12545" width="7" style="18" customWidth="1"/>
    <col min="12546" max="12546" width="10.21875" style="18" customWidth="1"/>
    <col min="12547" max="12547" width="9.88671875" style="18" customWidth="1"/>
    <col min="12548" max="12548" width="11.6640625" style="18" customWidth="1"/>
    <col min="12549" max="12551" width="9" style="18"/>
    <col min="12552" max="12552" width="9.33203125" style="18" customWidth="1"/>
    <col min="12553" max="12553" width="11.21875" style="18" customWidth="1"/>
    <col min="12554" max="12558" width="9" style="18"/>
    <col min="12559" max="12560" width="9.109375" style="18" customWidth="1"/>
    <col min="12561" max="12561" width="9.44140625" style="18" customWidth="1"/>
    <col min="12562" max="12562" width="9" style="18"/>
    <col min="12563" max="12566" width="9.109375" style="18" customWidth="1"/>
    <col min="12567" max="12798" width="9" style="18"/>
    <col min="12799" max="12799" width="4.6640625" style="18" customWidth="1"/>
    <col min="12800" max="12800" width="6.33203125" style="18" customWidth="1"/>
    <col min="12801" max="12801" width="7" style="18" customWidth="1"/>
    <col min="12802" max="12802" width="10.21875" style="18" customWidth="1"/>
    <col min="12803" max="12803" width="9.88671875" style="18" customWidth="1"/>
    <col min="12804" max="12804" width="11.6640625" style="18" customWidth="1"/>
    <col min="12805" max="12807" width="9" style="18"/>
    <col min="12808" max="12808" width="9.33203125" style="18" customWidth="1"/>
    <col min="12809" max="12809" width="11.21875" style="18" customWidth="1"/>
    <col min="12810" max="12814" width="9" style="18"/>
    <col min="12815" max="12816" width="9.109375" style="18" customWidth="1"/>
    <col min="12817" max="12817" width="9.44140625" style="18" customWidth="1"/>
    <col min="12818" max="12818" width="9" style="18"/>
    <col min="12819" max="12822" width="9.109375" style="18" customWidth="1"/>
    <col min="12823" max="13054" width="9" style="18"/>
    <col min="13055" max="13055" width="4.6640625" style="18" customWidth="1"/>
    <col min="13056" max="13056" width="6.33203125" style="18" customWidth="1"/>
    <col min="13057" max="13057" width="7" style="18" customWidth="1"/>
    <col min="13058" max="13058" width="10.21875" style="18" customWidth="1"/>
    <col min="13059" max="13059" width="9.88671875" style="18" customWidth="1"/>
    <col min="13060" max="13060" width="11.6640625" style="18" customWidth="1"/>
    <col min="13061" max="13063" width="9" style="18"/>
    <col min="13064" max="13064" width="9.33203125" style="18" customWidth="1"/>
    <col min="13065" max="13065" width="11.21875" style="18" customWidth="1"/>
    <col min="13066" max="13070" width="9" style="18"/>
    <col min="13071" max="13072" width="9.109375" style="18" customWidth="1"/>
    <col min="13073" max="13073" width="9.44140625" style="18" customWidth="1"/>
    <col min="13074" max="13074" width="9" style="18"/>
    <col min="13075" max="13078" width="9.109375" style="18" customWidth="1"/>
    <col min="13079" max="13310" width="9" style="18"/>
    <col min="13311" max="13311" width="4.6640625" style="18" customWidth="1"/>
    <col min="13312" max="13312" width="6.33203125" style="18" customWidth="1"/>
    <col min="13313" max="13313" width="7" style="18" customWidth="1"/>
    <col min="13314" max="13314" width="10.21875" style="18" customWidth="1"/>
    <col min="13315" max="13315" width="9.88671875" style="18" customWidth="1"/>
    <col min="13316" max="13316" width="11.6640625" style="18" customWidth="1"/>
    <col min="13317" max="13319" width="9" style="18"/>
    <col min="13320" max="13320" width="9.33203125" style="18" customWidth="1"/>
    <col min="13321" max="13321" width="11.21875" style="18" customWidth="1"/>
    <col min="13322" max="13326" width="9" style="18"/>
    <col min="13327" max="13328" width="9.109375" style="18" customWidth="1"/>
    <col min="13329" max="13329" width="9.44140625" style="18" customWidth="1"/>
    <col min="13330" max="13330" width="9" style="18"/>
    <col min="13331" max="13334" width="9.109375" style="18" customWidth="1"/>
    <col min="13335" max="13566" width="9" style="18"/>
    <col min="13567" max="13567" width="4.6640625" style="18" customWidth="1"/>
    <col min="13568" max="13568" width="6.33203125" style="18" customWidth="1"/>
    <col min="13569" max="13569" width="7" style="18" customWidth="1"/>
    <col min="13570" max="13570" width="10.21875" style="18" customWidth="1"/>
    <col min="13571" max="13571" width="9.88671875" style="18" customWidth="1"/>
    <col min="13572" max="13572" width="11.6640625" style="18" customWidth="1"/>
    <col min="13573" max="13575" width="9" style="18"/>
    <col min="13576" max="13576" width="9.33203125" style="18" customWidth="1"/>
    <col min="13577" max="13577" width="11.21875" style="18" customWidth="1"/>
    <col min="13578" max="13582" width="9" style="18"/>
    <col min="13583" max="13584" width="9.109375" style="18" customWidth="1"/>
    <col min="13585" max="13585" width="9.44140625" style="18" customWidth="1"/>
    <col min="13586" max="13586" width="9" style="18"/>
    <col min="13587" max="13590" width="9.109375" style="18" customWidth="1"/>
    <col min="13591" max="13822" width="9" style="18"/>
    <col min="13823" max="13823" width="4.6640625" style="18" customWidth="1"/>
    <col min="13824" max="13824" width="6.33203125" style="18" customWidth="1"/>
    <col min="13825" max="13825" width="7" style="18" customWidth="1"/>
    <col min="13826" max="13826" width="10.21875" style="18" customWidth="1"/>
    <col min="13827" max="13827" width="9.88671875" style="18" customWidth="1"/>
    <col min="13828" max="13828" width="11.6640625" style="18" customWidth="1"/>
    <col min="13829" max="13831" width="9" style="18"/>
    <col min="13832" max="13832" width="9.33203125" style="18" customWidth="1"/>
    <col min="13833" max="13833" width="11.21875" style="18" customWidth="1"/>
    <col min="13834" max="13838" width="9" style="18"/>
    <col min="13839" max="13840" width="9.109375" style="18" customWidth="1"/>
    <col min="13841" max="13841" width="9.44140625" style="18" customWidth="1"/>
    <col min="13842" max="13842" width="9" style="18"/>
    <col min="13843" max="13846" width="9.109375" style="18" customWidth="1"/>
    <col min="13847" max="14078" width="9" style="18"/>
    <col min="14079" max="14079" width="4.6640625" style="18" customWidth="1"/>
    <col min="14080" max="14080" width="6.33203125" style="18" customWidth="1"/>
    <col min="14081" max="14081" width="7" style="18" customWidth="1"/>
    <col min="14082" max="14082" width="10.21875" style="18" customWidth="1"/>
    <col min="14083" max="14083" width="9.88671875" style="18" customWidth="1"/>
    <col min="14084" max="14084" width="11.6640625" style="18" customWidth="1"/>
    <col min="14085" max="14087" width="9" style="18"/>
    <col min="14088" max="14088" width="9.33203125" style="18" customWidth="1"/>
    <col min="14089" max="14089" width="11.21875" style="18" customWidth="1"/>
    <col min="14090" max="14094" width="9" style="18"/>
    <col min="14095" max="14096" width="9.109375" style="18" customWidth="1"/>
    <col min="14097" max="14097" width="9.44140625" style="18" customWidth="1"/>
    <col min="14098" max="14098" width="9" style="18"/>
    <col min="14099" max="14102" width="9.109375" style="18" customWidth="1"/>
    <col min="14103" max="14334" width="9" style="18"/>
    <col min="14335" max="14335" width="4.6640625" style="18" customWidth="1"/>
    <col min="14336" max="14336" width="6.33203125" style="18" customWidth="1"/>
    <col min="14337" max="14337" width="7" style="18" customWidth="1"/>
    <col min="14338" max="14338" width="10.21875" style="18" customWidth="1"/>
    <col min="14339" max="14339" width="9.88671875" style="18" customWidth="1"/>
    <col min="14340" max="14340" width="11.6640625" style="18" customWidth="1"/>
    <col min="14341" max="14343" width="9" style="18"/>
    <col min="14344" max="14344" width="9.33203125" style="18" customWidth="1"/>
    <col min="14345" max="14345" width="11.21875" style="18" customWidth="1"/>
    <col min="14346" max="14350" width="9" style="18"/>
    <col min="14351" max="14352" width="9.109375" style="18" customWidth="1"/>
    <col min="14353" max="14353" width="9.44140625" style="18" customWidth="1"/>
    <col min="14354" max="14354" width="9" style="18"/>
    <col min="14355" max="14358" width="9.109375" style="18" customWidth="1"/>
    <col min="14359" max="14590" width="9" style="18"/>
    <col min="14591" max="14591" width="4.6640625" style="18" customWidth="1"/>
    <col min="14592" max="14592" width="6.33203125" style="18" customWidth="1"/>
    <col min="14593" max="14593" width="7" style="18" customWidth="1"/>
    <col min="14594" max="14594" width="10.21875" style="18" customWidth="1"/>
    <col min="14595" max="14595" width="9.88671875" style="18" customWidth="1"/>
    <col min="14596" max="14596" width="11.6640625" style="18" customWidth="1"/>
    <col min="14597" max="14599" width="9" style="18"/>
    <col min="14600" max="14600" width="9.33203125" style="18" customWidth="1"/>
    <col min="14601" max="14601" width="11.21875" style="18" customWidth="1"/>
    <col min="14602" max="14606" width="9" style="18"/>
    <col min="14607" max="14608" width="9.109375" style="18" customWidth="1"/>
    <col min="14609" max="14609" width="9.44140625" style="18" customWidth="1"/>
    <col min="14610" max="14610" width="9" style="18"/>
    <col min="14611" max="14614" width="9.109375" style="18" customWidth="1"/>
    <col min="14615" max="14846" width="9" style="18"/>
    <col min="14847" max="14847" width="4.6640625" style="18" customWidth="1"/>
    <col min="14848" max="14848" width="6.33203125" style="18" customWidth="1"/>
    <col min="14849" max="14849" width="7" style="18" customWidth="1"/>
    <col min="14850" max="14850" width="10.21875" style="18" customWidth="1"/>
    <col min="14851" max="14851" width="9.88671875" style="18" customWidth="1"/>
    <col min="14852" max="14852" width="11.6640625" style="18" customWidth="1"/>
    <col min="14853" max="14855" width="9" style="18"/>
    <col min="14856" max="14856" width="9.33203125" style="18" customWidth="1"/>
    <col min="14857" max="14857" width="11.21875" style="18" customWidth="1"/>
    <col min="14858" max="14862" width="9" style="18"/>
    <col min="14863" max="14864" width="9.109375" style="18" customWidth="1"/>
    <col min="14865" max="14865" width="9.44140625" style="18" customWidth="1"/>
    <col min="14866" max="14866" width="9" style="18"/>
    <col min="14867" max="14870" width="9.109375" style="18" customWidth="1"/>
    <col min="14871" max="15102" width="9" style="18"/>
    <col min="15103" max="15103" width="4.6640625" style="18" customWidth="1"/>
    <col min="15104" max="15104" width="6.33203125" style="18" customWidth="1"/>
    <col min="15105" max="15105" width="7" style="18" customWidth="1"/>
    <col min="15106" max="15106" width="10.21875" style="18" customWidth="1"/>
    <col min="15107" max="15107" width="9.88671875" style="18" customWidth="1"/>
    <col min="15108" max="15108" width="11.6640625" style="18" customWidth="1"/>
    <col min="15109" max="15111" width="9" style="18"/>
    <col min="15112" max="15112" width="9.33203125" style="18" customWidth="1"/>
    <col min="15113" max="15113" width="11.21875" style="18" customWidth="1"/>
    <col min="15114" max="15118" width="9" style="18"/>
    <col min="15119" max="15120" width="9.109375" style="18" customWidth="1"/>
    <col min="15121" max="15121" width="9.44140625" style="18" customWidth="1"/>
    <col min="15122" max="15122" width="9" style="18"/>
    <col min="15123" max="15126" width="9.109375" style="18" customWidth="1"/>
    <col min="15127" max="15358" width="9" style="18"/>
    <col min="15359" max="15359" width="4.6640625" style="18" customWidth="1"/>
    <col min="15360" max="15360" width="6.33203125" style="18" customWidth="1"/>
    <col min="15361" max="15361" width="7" style="18" customWidth="1"/>
    <col min="15362" max="15362" width="10.21875" style="18" customWidth="1"/>
    <col min="15363" max="15363" width="9.88671875" style="18" customWidth="1"/>
    <col min="15364" max="15364" width="11.6640625" style="18" customWidth="1"/>
    <col min="15365" max="15367" width="9" style="18"/>
    <col min="15368" max="15368" width="9.33203125" style="18" customWidth="1"/>
    <col min="15369" max="15369" width="11.21875" style="18" customWidth="1"/>
    <col min="15370" max="15374" width="9" style="18"/>
    <col min="15375" max="15376" width="9.109375" style="18" customWidth="1"/>
    <col min="15377" max="15377" width="9.44140625" style="18" customWidth="1"/>
    <col min="15378" max="15378" width="9" style="18"/>
    <col min="15379" max="15382" width="9.109375" style="18" customWidth="1"/>
    <col min="15383" max="15614" width="9" style="18"/>
    <col min="15615" max="15615" width="4.6640625" style="18" customWidth="1"/>
    <col min="15616" max="15616" width="6.33203125" style="18" customWidth="1"/>
    <col min="15617" max="15617" width="7" style="18" customWidth="1"/>
    <col min="15618" max="15618" width="10.21875" style="18" customWidth="1"/>
    <col min="15619" max="15619" width="9.88671875" style="18" customWidth="1"/>
    <col min="15620" max="15620" width="11.6640625" style="18" customWidth="1"/>
    <col min="15621" max="15623" width="9" style="18"/>
    <col min="15624" max="15624" width="9.33203125" style="18" customWidth="1"/>
    <col min="15625" max="15625" width="11.21875" style="18" customWidth="1"/>
    <col min="15626" max="15630" width="9" style="18"/>
    <col min="15631" max="15632" width="9.109375" style="18" customWidth="1"/>
    <col min="15633" max="15633" width="9.44140625" style="18" customWidth="1"/>
    <col min="15634" max="15634" width="9" style="18"/>
    <col min="15635" max="15638" width="9.109375" style="18" customWidth="1"/>
    <col min="15639" max="15870" width="9" style="18"/>
    <col min="15871" max="15871" width="4.6640625" style="18" customWidth="1"/>
    <col min="15872" max="15872" width="6.33203125" style="18" customWidth="1"/>
    <col min="15873" max="15873" width="7" style="18" customWidth="1"/>
    <col min="15874" max="15874" width="10.21875" style="18" customWidth="1"/>
    <col min="15875" max="15875" width="9.88671875" style="18" customWidth="1"/>
    <col min="15876" max="15876" width="11.6640625" style="18" customWidth="1"/>
    <col min="15877" max="15879" width="9" style="18"/>
    <col min="15880" max="15880" width="9.33203125" style="18" customWidth="1"/>
    <col min="15881" max="15881" width="11.21875" style="18" customWidth="1"/>
    <col min="15882" max="15886" width="9" style="18"/>
    <col min="15887" max="15888" width="9.109375" style="18" customWidth="1"/>
    <col min="15889" max="15889" width="9.44140625" style="18" customWidth="1"/>
    <col min="15890" max="15890" width="9" style="18"/>
    <col min="15891" max="15894" width="9.109375" style="18" customWidth="1"/>
    <col min="15895" max="16126" width="9" style="18"/>
    <col min="16127" max="16127" width="4.6640625" style="18" customWidth="1"/>
    <col min="16128" max="16128" width="6.33203125" style="18" customWidth="1"/>
    <col min="16129" max="16129" width="7" style="18" customWidth="1"/>
    <col min="16130" max="16130" width="10.21875" style="18" customWidth="1"/>
    <col min="16131" max="16131" width="9.88671875" style="18" customWidth="1"/>
    <col min="16132" max="16132" width="11.6640625" style="18" customWidth="1"/>
    <col min="16133" max="16135" width="9" style="18"/>
    <col min="16136" max="16136" width="9.33203125" style="18" customWidth="1"/>
    <col min="16137" max="16137" width="11.21875" style="18" customWidth="1"/>
    <col min="16138" max="16142" width="9" style="18"/>
    <col min="16143" max="16144" width="9.109375" style="18" customWidth="1"/>
    <col min="16145" max="16145" width="9.44140625" style="18" customWidth="1"/>
    <col min="16146" max="16146" width="9" style="18"/>
    <col min="16147" max="16150" width="9.109375" style="18" customWidth="1"/>
    <col min="16151" max="16384" width="9" style="18"/>
  </cols>
  <sheetData>
    <row r="2" spans="2:39" ht="14.25" customHeight="1">
      <c r="B2" s="696" t="s">
        <v>764</v>
      </c>
      <c r="C2" s="696"/>
      <c r="D2" s="696"/>
      <c r="E2" s="696"/>
      <c r="F2" s="696"/>
      <c r="G2" s="696"/>
      <c r="H2" s="696"/>
      <c r="I2" s="696"/>
      <c r="J2" s="696"/>
      <c r="K2" s="696"/>
      <c r="L2" s="696"/>
      <c r="O2" s="31" t="e">
        <f>(J13+K17)/(J7+K7)*100</f>
        <v>#DIV/0!</v>
      </c>
    </row>
    <row r="3" spans="2:39"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O3" s="31">
        <f>(J14+K18)/(J8+K8)*100</f>
        <v>96.725985057824175</v>
      </c>
    </row>
    <row r="4" spans="2:39">
      <c r="B4" s="19"/>
      <c r="C4" s="693"/>
      <c r="D4" s="693"/>
      <c r="E4" s="694"/>
      <c r="F4" s="694"/>
      <c r="G4" s="694"/>
      <c r="H4" s="694"/>
      <c r="I4" s="694"/>
      <c r="J4" s="675">
        <f>基础数据!A2</f>
        <v>45836</v>
      </c>
      <c r="K4" s="675"/>
      <c r="L4" s="26"/>
      <c r="O4" s="31">
        <f>(J15+K19)/(J9+K9)*100</f>
        <v>97.922147110926488</v>
      </c>
    </row>
    <row r="5" spans="2:39" ht="20.100000000000001" customHeight="1">
      <c r="B5" s="679" t="s">
        <v>42</v>
      </c>
      <c r="C5" s="679" t="s">
        <v>43</v>
      </c>
      <c r="D5" s="679" t="s">
        <v>44</v>
      </c>
      <c r="E5" s="679" t="s">
        <v>45</v>
      </c>
      <c r="F5" s="680" t="s">
        <v>50</v>
      </c>
      <c r="G5" s="680" t="s">
        <v>75</v>
      </c>
      <c r="H5" s="680"/>
      <c r="I5" s="680"/>
      <c r="J5" s="680" t="s">
        <v>76</v>
      </c>
      <c r="K5" s="680"/>
      <c r="L5" s="680"/>
      <c r="M5" s="695" t="s">
        <v>0</v>
      </c>
      <c r="N5" s="695" t="s">
        <v>0</v>
      </c>
      <c r="O5" s="31">
        <f>(J16+K20)/(J10+K10)*100</f>
        <v>97.348539988275135</v>
      </c>
    </row>
    <row r="6" spans="2:39" ht="20.100000000000001" customHeight="1">
      <c r="B6" s="679"/>
      <c r="C6" s="679"/>
      <c r="D6" s="679"/>
      <c r="E6" s="679"/>
      <c r="F6" s="680"/>
      <c r="G6" s="20" t="s">
        <v>6</v>
      </c>
      <c r="H6" s="20" t="s">
        <v>7</v>
      </c>
      <c r="I6" s="20" t="s">
        <v>51</v>
      </c>
      <c r="J6" s="20" t="s">
        <v>53</v>
      </c>
      <c r="K6" s="20" t="s">
        <v>54</v>
      </c>
      <c r="L6" s="20" t="s">
        <v>55</v>
      </c>
      <c r="M6" s="695"/>
      <c r="N6" s="695"/>
    </row>
    <row r="7" spans="2:39" ht="20.100000000000001" customHeight="1">
      <c r="B7" s="679" t="s">
        <v>10</v>
      </c>
      <c r="C7" s="20" t="s">
        <v>77</v>
      </c>
      <c r="D7" s="23" t="str">
        <f>IF(ISERROR((D32*F32+'1车间表1'!D7*'1车间表1'!H7)/'1车间表2'!F7),"0.00",(D32*F32+'1车间表1'!D7*'1车间表1'!H7)/'1车间表2'!F7)</f>
        <v>0.00</v>
      </c>
      <c r="E7" s="23">
        <f>E32+'1车间表1'!E7</f>
        <v>0</v>
      </c>
      <c r="F7" s="23">
        <f>F32+'1车间表1'!H7</f>
        <v>0</v>
      </c>
      <c r="G7" s="23" t="str">
        <f>IF(ISERROR(J7/F7*100),"0.00",J7/F7*100)</f>
        <v>0.00</v>
      </c>
      <c r="H7" s="23"/>
      <c r="I7" s="27" t="str">
        <f>IF(ISERROR(L7/F7*1000),"0",L7/F7*1000)</f>
        <v>0</v>
      </c>
      <c r="J7" s="23">
        <f>J32+'1车间表1'!M7</f>
        <v>0</v>
      </c>
      <c r="K7" s="23"/>
      <c r="L7" s="23">
        <f>L32+'1车间表1'!O7</f>
        <v>0</v>
      </c>
      <c r="N7" s="31" t="str">
        <f>D7</f>
        <v>0.00</v>
      </c>
      <c r="O7" s="31" t="e">
        <f>F7/E7</f>
        <v>#DIV/0!</v>
      </c>
      <c r="P7" s="31" t="e">
        <f>#REF!</f>
        <v>#REF!</v>
      </c>
      <c r="Q7" s="31" t="str">
        <f t="shared" ref="Q7:S10" si="0">G7</f>
        <v>0.00</v>
      </c>
      <c r="R7" s="31">
        <f t="shared" si="0"/>
        <v>0</v>
      </c>
      <c r="S7" s="31" t="str">
        <f t="shared" si="0"/>
        <v>0</v>
      </c>
      <c r="T7" s="31" t="e">
        <f>#REF!</f>
        <v>#REF!</v>
      </c>
      <c r="U7" s="31" t="e">
        <f>#REF!</f>
        <v>#REF!</v>
      </c>
      <c r="V7" s="31" t="e">
        <f>#REF!</f>
        <v>#REF!</v>
      </c>
      <c r="W7" s="34" t="e">
        <f>#REF!</f>
        <v>#REF!</v>
      </c>
      <c r="X7" s="31" t="e">
        <f>#REF!</f>
        <v>#REF!</v>
      </c>
      <c r="Y7" s="31" t="str">
        <f t="shared" ref="Y7:AA10" si="1">G13</f>
        <v>0.00</v>
      </c>
      <c r="Z7" s="31">
        <f t="shared" si="1"/>
        <v>0</v>
      </c>
      <c r="AA7" s="34" t="str">
        <f t="shared" si="1"/>
        <v>0</v>
      </c>
      <c r="AB7" s="31" t="e">
        <f>#REF!</f>
        <v>#REF!</v>
      </c>
      <c r="AC7" s="31">
        <f t="shared" ref="AC7:AE10" si="2">G17</f>
        <v>0</v>
      </c>
      <c r="AD7" s="31">
        <f t="shared" si="2"/>
        <v>0</v>
      </c>
      <c r="AE7" s="34">
        <f t="shared" si="2"/>
        <v>0</v>
      </c>
      <c r="AF7" s="31" t="e">
        <f>#REF!</f>
        <v>#REF!</v>
      </c>
      <c r="AG7" s="31" t="str">
        <f t="shared" ref="AG7:AI10" si="3">G21</f>
        <v>0.00</v>
      </c>
      <c r="AH7" s="31">
        <f t="shared" si="3"/>
        <v>0</v>
      </c>
      <c r="AI7" s="34" t="str">
        <f t="shared" si="3"/>
        <v>0</v>
      </c>
      <c r="AJ7" s="31" t="e">
        <f>#REF!</f>
        <v>#REF!</v>
      </c>
      <c r="AK7" s="31" t="str">
        <f>D13</f>
        <v>0.00</v>
      </c>
      <c r="AL7" s="31">
        <f>D17</f>
        <v>0</v>
      </c>
      <c r="AM7" s="31">
        <f>E21</f>
        <v>0</v>
      </c>
    </row>
    <row r="8" spans="2:39" ht="20.100000000000001" customHeight="1">
      <c r="B8" s="679"/>
      <c r="C8" s="20" t="s">
        <v>78</v>
      </c>
      <c r="D8" s="23">
        <f>IF(ISERROR((D33*F33+'1车间表1'!D8*'1车间表1'!H8)/'1车间表2'!F8),"0.00",(D33*F33+'1车间表1'!D8*'1车间表1'!H8)/'1车间表2'!F8)</f>
        <v>0</v>
      </c>
      <c r="E8" s="23">
        <f>E33+'1车间表1'!E8</f>
        <v>8</v>
      </c>
      <c r="F8" s="23">
        <f>F33+'1车间表1'!H8</f>
        <v>124.16</v>
      </c>
      <c r="G8" s="23">
        <f>IF(ISERROR(J8/F8*100),"0.00",J8/F8*100)</f>
        <v>3.75</v>
      </c>
      <c r="H8" s="23"/>
      <c r="I8" s="27">
        <f>IF(ISERROR(L8/F8*1000),"0",L8/F8*1000)</f>
        <v>160.99999999999997</v>
      </c>
      <c r="J8" s="23">
        <f>J33+'1车间表1'!M8</f>
        <v>4.6559999999999997</v>
      </c>
      <c r="K8" s="23"/>
      <c r="L8" s="23">
        <f>L33+'1车间表1'!O8</f>
        <v>19.989759999999997</v>
      </c>
      <c r="N8" s="31">
        <f>D8</f>
        <v>0</v>
      </c>
      <c r="O8" s="31">
        <f>F8/E8</f>
        <v>15.52</v>
      </c>
      <c r="P8" s="31" t="e">
        <f>#REF!</f>
        <v>#REF!</v>
      </c>
      <c r="Q8" s="31">
        <f t="shared" si="0"/>
        <v>3.75</v>
      </c>
      <c r="R8" s="31">
        <f t="shared" si="0"/>
        <v>0</v>
      </c>
      <c r="S8" s="31">
        <f t="shared" si="0"/>
        <v>160.99999999999997</v>
      </c>
      <c r="T8" s="31" t="e">
        <f>#REF!</f>
        <v>#REF!</v>
      </c>
      <c r="U8" s="31" t="e">
        <f>#REF!</f>
        <v>#REF!</v>
      </c>
      <c r="V8" s="31" t="e">
        <f>#REF!</f>
        <v>#REF!</v>
      </c>
      <c r="W8" s="34" t="e">
        <f>#REF!</f>
        <v>#REF!</v>
      </c>
      <c r="X8" s="31" t="e">
        <f>#REF!</f>
        <v>#REF!</v>
      </c>
      <c r="Y8" s="31">
        <f t="shared" si="1"/>
        <v>65.27</v>
      </c>
      <c r="Z8" s="31">
        <f t="shared" si="1"/>
        <v>0</v>
      </c>
      <c r="AA8" s="34">
        <f t="shared" si="1"/>
        <v>3352</v>
      </c>
      <c r="AB8" s="31" t="e">
        <f>#REF!</f>
        <v>#REF!</v>
      </c>
      <c r="AC8" s="31">
        <f t="shared" si="2"/>
        <v>0</v>
      </c>
      <c r="AD8" s="31">
        <f t="shared" si="2"/>
        <v>0</v>
      </c>
      <c r="AE8" s="34">
        <f t="shared" si="2"/>
        <v>0</v>
      </c>
      <c r="AF8" s="31" t="e">
        <f>#REF!</f>
        <v>#REF!</v>
      </c>
      <c r="AG8" s="31">
        <f t="shared" si="3"/>
        <v>0.13</v>
      </c>
      <c r="AH8" s="31">
        <f t="shared" si="3"/>
        <v>0</v>
      </c>
      <c r="AI8" s="34">
        <f t="shared" si="3"/>
        <v>-26.766905071521474</v>
      </c>
      <c r="AJ8" s="31" t="e">
        <f>#REF!</f>
        <v>#REF!</v>
      </c>
      <c r="AK8" s="31">
        <f>D14</f>
        <v>96.725985057824175</v>
      </c>
      <c r="AL8" s="31">
        <f>D18</f>
        <v>0</v>
      </c>
      <c r="AM8" s="31">
        <f>E22</f>
        <v>0</v>
      </c>
    </row>
    <row r="9" spans="2:39" ht="20.100000000000001" customHeight="1">
      <c r="B9" s="679"/>
      <c r="C9" s="20" t="s">
        <v>79</v>
      </c>
      <c r="D9" s="23">
        <f>IF(ISERROR((D34*F34+'1车间表1'!D9*'1车间表1'!H9)/'1车间表2'!F9),"0.00",(D34*F34+'1车间表1'!D9*'1车间表1'!H9)/'1车间表2'!F9)</f>
        <v>0</v>
      </c>
      <c r="E9" s="23">
        <f>E34+'1车间表1'!E9</f>
        <v>8</v>
      </c>
      <c r="F9" s="23">
        <f>F34+'1车间表1'!H9</f>
        <v>124.16</v>
      </c>
      <c r="G9" s="23">
        <f>IF(ISERROR(J9/F9*100),"0.00",J9/F9*100)</f>
        <v>4.07</v>
      </c>
      <c r="H9" s="23"/>
      <c r="I9" s="27">
        <f>IF(ISERROR(L9/F9*1000),"0",L9/F9*1000)</f>
        <v>230</v>
      </c>
      <c r="J9" s="23">
        <f>J34+'1车间表1'!M9</f>
        <v>5.053312</v>
      </c>
      <c r="K9" s="23"/>
      <c r="L9" s="23">
        <f>L34+'1车间表1'!O9</f>
        <v>28.556799999999999</v>
      </c>
      <c r="N9" s="31">
        <f>D9</f>
        <v>0</v>
      </c>
      <c r="O9" s="31">
        <f>F9/E9</f>
        <v>15.52</v>
      </c>
      <c r="P9" s="31" t="e">
        <f>#REF!</f>
        <v>#REF!</v>
      </c>
      <c r="Q9" s="31">
        <f t="shared" si="0"/>
        <v>4.07</v>
      </c>
      <c r="R9" s="31">
        <f t="shared" si="0"/>
        <v>0</v>
      </c>
      <c r="S9" s="31">
        <f t="shared" si="0"/>
        <v>230</v>
      </c>
      <c r="T9" s="31" t="e">
        <f>#REF!</f>
        <v>#REF!</v>
      </c>
      <c r="U9" s="31" t="e">
        <f>#REF!</f>
        <v>#REF!</v>
      </c>
      <c r="V9" s="31" t="e">
        <f>#REF!</f>
        <v>#REF!</v>
      </c>
      <c r="W9" s="34" t="e">
        <f>#REF!</f>
        <v>#REF!</v>
      </c>
      <c r="X9" s="31" t="e">
        <f>#REF!</f>
        <v>#REF!</v>
      </c>
      <c r="Y9" s="31">
        <f t="shared" si="1"/>
        <v>66.039999999999992</v>
      </c>
      <c r="Z9" s="31">
        <f t="shared" si="1"/>
        <v>0</v>
      </c>
      <c r="AA9" s="34">
        <f t="shared" si="1"/>
        <v>3380.0000000000005</v>
      </c>
      <c r="AB9" s="31" t="e">
        <f>#REF!</f>
        <v>#REF!</v>
      </c>
      <c r="AC9" s="31">
        <f t="shared" si="2"/>
        <v>0</v>
      </c>
      <c r="AD9" s="31">
        <f t="shared" si="2"/>
        <v>0</v>
      </c>
      <c r="AE9" s="34">
        <f t="shared" si="2"/>
        <v>0</v>
      </c>
      <c r="AF9" s="31" t="e">
        <f>#REF!</f>
        <v>#REF!</v>
      </c>
      <c r="AG9" s="31">
        <f t="shared" si="3"/>
        <v>8.9999999999999802E-2</v>
      </c>
      <c r="AH9" s="31">
        <f t="shared" si="3"/>
        <v>0</v>
      </c>
      <c r="AI9" s="34">
        <f t="shared" si="3"/>
        <v>27.692431821849247</v>
      </c>
      <c r="AJ9" s="31" t="e">
        <f>#REF!</f>
        <v>#REF!</v>
      </c>
      <c r="AK9" s="31">
        <f>D15</f>
        <v>97.922147110926488</v>
      </c>
      <c r="AL9" s="31">
        <f>D19</f>
        <v>0</v>
      </c>
      <c r="AM9" s="31">
        <f>E23</f>
        <v>0</v>
      </c>
    </row>
    <row r="10" spans="2:39" ht="20.100000000000001" customHeight="1">
      <c r="B10" s="679"/>
      <c r="C10" s="20" t="s">
        <v>57</v>
      </c>
      <c r="D10" s="23">
        <f>IF(ISERROR((D7*F7+D8*F8+D9*F9)/F10),"0.00",(D7*F7+D8*F8+D9*F9)/F10)</f>
        <v>0</v>
      </c>
      <c r="E10" s="23">
        <f>E7+E8+E9</f>
        <v>16</v>
      </c>
      <c r="F10" s="23">
        <f>F7+F8+F9</f>
        <v>248.32</v>
      </c>
      <c r="G10" s="23">
        <f>IF(ISERROR(J10/F10*100),"0.00",J10/F10*100)</f>
        <v>3.91</v>
      </c>
      <c r="H10" s="23"/>
      <c r="I10" s="27">
        <f>IF(ISERROR(L10/F10*1000),"0",L10/F10*1000)</f>
        <v>195.5</v>
      </c>
      <c r="J10" s="23">
        <f>J7+J8+J9</f>
        <v>9.7093120000000006</v>
      </c>
      <c r="K10" s="23"/>
      <c r="L10" s="23">
        <f>L7+L8+L9</f>
        <v>48.546559999999999</v>
      </c>
      <c r="N10" s="31">
        <f>D10</f>
        <v>0</v>
      </c>
      <c r="O10" s="31">
        <f>F10/E10</f>
        <v>15.52</v>
      </c>
      <c r="P10" s="31" t="e">
        <f>#REF!</f>
        <v>#REF!</v>
      </c>
      <c r="Q10" s="31">
        <f t="shared" si="0"/>
        <v>3.91</v>
      </c>
      <c r="R10" s="31">
        <f t="shared" si="0"/>
        <v>0</v>
      </c>
      <c r="S10" s="31">
        <f t="shared" si="0"/>
        <v>195.5</v>
      </c>
      <c r="T10" s="31" t="e">
        <f>#REF!</f>
        <v>#REF!</v>
      </c>
      <c r="U10" s="31" t="e">
        <f>#REF!</f>
        <v>#REF!</v>
      </c>
      <c r="V10" s="31" t="e">
        <f>#REF!</f>
        <v>#REF!</v>
      </c>
      <c r="W10" s="34" t="e">
        <f>#REF!</f>
        <v>#REF!</v>
      </c>
      <c r="X10" s="31" t="e">
        <f>#REF!</f>
        <v>#REF!</v>
      </c>
      <c r="Y10" s="31">
        <f t="shared" si="1"/>
        <v>65.670862584895232</v>
      </c>
      <c r="Z10" s="31">
        <f t="shared" si="1"/>
        <v>0</v>
      </c>
      <c r="AA10" s="34">
        <f t="shared" si="1"/>
        <v>3366.5768212689172</v>
      </c>
      <c r="AB10" s="31" t="e">
        <f>#REF!</f>
        <v>#REF!</v>
      </c>
      <c r="AC10" s="31">
        <f t="shared" si="2"/>
        <v>0</v>
      </c>
      <c r="AD10" s="31">
        <f t="shared" si="2"/>
        <v>0</v>
      </c>
      <c r="AE10" s="34">
        <f t="shared" si="2"/>
        <v>0</v>
      </c>
      <c r="AF10" s="31" t="e">
        <f>#REF!</f>
        <v>#REF!</v>
      </c>
      <c r="AG10" s="31">
        <f t="shared" si="3"/>
        <v>0.11005069996678257</v>
      </c>
      <c r="AH10" s="31">
        <f t="shared" si="3"/>
        <v>0</v>
      </c>
      <c r="AI10" s="34">
        <f t="shared" si="3"/>
        <v>0.39373621087637162</v>
      </c>
      <c r="AJ10" s="31" t="e">
        <f>#REF!</f>
        <v>#REF!</v>
      </c>
      <c r="AK10" s="31">
        <f>D16</f>
        <v>97.348539988275135</v>
      </c>
      <c r="AL10" s="31">
        <f>D20</f>
        <v>0</v>
      </c>
      <c r="AM10" s="31">
        <f>E24</f>
        <v>0</v>
      </c>
    </row>
    <row r="11" spans="2:39" ht="20.100000000000001" customHeight="1">
      <c r="B11" s="679" t="s">
        <v>42</v>
      </c>
      <c r="C11" s="679" t="s">
        <v>43</v>
      </c>
      <c r="D11" s="680" t="s">
        <v>59</v>
      </c>
      <c r="E11" s="680"/>
      <c r="F11" s="680" t="s">
        <v>50</v>
      </c>
      <c r="G11" s="680" t="s">
        <v>80</v>
      </c>
      <c r="H11" s="680"/>
      <c r="I11" s="680"/>
      <c r="J11" s="680" t="s">
        <v>76</v>
      </c>
      <c r="K11" s="680"/>
      <c r="L11" s="680"/>
      <c r="N11" s="31"/>
      <c r="O11" s="31"/>
      <c r="P11" s="31"/>
      <c r="Q11" s="31"/>
      <c r="R11" s="31"/>
      <c r="S11" s="31"/>
      <c r="T11" s="31"/>
      <c r="U11" s="31"/>
      <c r="V11" s="31"/>
      <c r="W11" s="34"/>
      <c r="X11" s="31"/>
      <c r="Y11" s="31"/>
      <c r="Z11" s="31"/>
      <c r="AA11" s="34"/>
      <c r="AB11" s="31"/>
      <c r="AC11" s="31"/>
      <c r="AD11" s="31"/>
      <c r="AE11" s="34"/>
      <c r="AF11" s="31"/>
      <c r="AG11" s="31"/>
      <c r="AH11" s="31"/>
      <c r="AI11" s="34"/>
    </row>
    <row r="12" spans="2:39" ht="20.100000000000001" customHeight="1">
      <c r="B12" s="679"/>
      <c r="C12" s="679"/>
      <c r="D12" s="20" t="s">
        <v>63</v>
      </c>
      <c r="E12" s="20" t="s">
        <v>14</v>
      </c>
      <c r="F12" s="680"/>
      <c r="G12" s="20" t="s">
        <v>6</v>
      </c>
      <c r="H12" s="20" t="s">
        <v>7</v>
      </c>
      <c r="I12" s="20" t="s">
        <v>51</v>
      </c>
      <c r="J12" s="20" t="s">
        <v>53</v>
      </c>
      <c r="K12" s="20" t="s">
        <v>54</v>
      </c>
      <c r="L12" s="20" t="s">
        <v>55</v>
      </c>
      <c r="W12" s="34"/>
      <c r="AA12" s="34"/>
      <c r="AE12" s="34"/>
      <c r="AI12" s="34"/>
    </row>
    <row r="13" spans="2:39" ht="20.100000000000001" customHeight="1">
      <c r="B13" s="679" t="s">
        <v>23</v>
      </c>
      <c r="C13" s="20" t="s">
        <v>77</v>
      </c>
      <c r="D13" s="23" t="str">
        <f>IF(ISERROR(J13/J7*100),"0.00",J13/J7*100)</f>
        <v>0.00</v>
      </c>
      <c r="E13" s="23" t="str">
        <f>IF(ISERROR(L13/L7*100),"0.00",L13/L7*100)</f>
        <v>0.00</v>
      </c>
      <c r="F13" s="23">
        <f>F35+'1车间表1'!D14</f>
        <v>0</v>
      </c>
      <c r="G13" s="23" t="str">
        <f t="shared" ref="G13:G24" si="4">IF(ISERROR(J13/F13*100),"0.00",J13/F13*100)</f>
        <v>0.00</v>
      </c>
      <c r="H13" s="23"/>
      <c r="I13" s="27" t="str">
        <f t="shared" ref="I13:I24" si="5">IF(ISERROR(L13/F13*1000),"0",L13/F13*1000)</f>
        <v>0</v>
      </c>
      <c r="J13" s="23">
        <f>J35+'1车间表1'!I14</f>
        <v>0</v>
      </c>
      <c r="K13" s="23"/>
      <c r="L13" s="23">
        <f>L35+'1车间表1'!K14</f>
        <v>0</v>
      </c>
      <c r="N13" s="31" t="e">
        <f>#REF!/#REF!*100</f>
        <v>#REF!</v>
      </c>
      <c r="O13" s="31" t="e">
        <f t="shared" ref="O13:Q16" si="6">J13/J7*100</f>
        <v>#DIV/0!</v>
      </c>
      <c r="P13" s="31" t="e">
        <f t="shared" si="6"/>
        <v>#DIV/0!</v>
      </c>
      <c r="Q13" s="31" t="e">
        <f t="shared" si="6"/>
        <v>#DIV/0!</v>
      </c>
      <c r="S13" s="31" t="e">
        <f>P13</f>
        <v>#DIV/0!</v>
      </c>
      <c r="T13" s="31" t="e">
        <f>P17</f>
        <v>#DIV/0!</v>
      </c>
      <c r="U13" s="31" t="e">
        <f>#REF!</f>
        <v>#REF!</v>
      </c>
      <c r="V13" s="31" t="e">
        <f>P21</f>
        <v>#DIV/0!</v>
      </c>
      <c r="W13" s="31" t="e">
        <f t="shared" ref="W13:W24" si="7">S13+T13+U13+V13</f>
        <v>#DIV/0!</v>
      </c>
      <c r="X13" s="31"/>
      <c r="Y13" s="31"/>
      <c r="Z13" s="31"/>
      <c r="AA13" s="31"/>
      <c r="AB13" s="31"/>
      <c r="AE13" s="34"/>
      <c r="AI13" s="34"/>
    </row>
    <row r="14" spans="2:39" ht="20.100000000000001" customHeight="1">
      <c r="B14" s="679"/>
      <c r="C14" s="20" t="s">
        <v>78</v>
      </c>
      <c r="D14" s="23">
        <f>IF(ISERROR(J14/J8*100),"0.00",J14/J8*100)</f>
        <v>96.725985057824175</v>
      </c>
      <c r="E14" s="23">
        <f>IF(ISERROR(L14/L8*100),"0.00",L14/L8*100)</f>
        <v>115.70148957715539</v>
      </c>
      <c r="F14" s="23">
        <f>F36+'1车间表1'!D15</f>
        <v>6.8998956094565553</v>
      </c>
      <c r="G14" s="23">
        <f t="shared" si="4"/>
        <v>65.27</v>
      </c>
      <c r="H14" s="23"/>
      <c r="I14" s="27">
        <f t="shared" si="5"/>
        <v>3352</v>
      </c>
      <c r="J14" s="23">
        <f>J36+'1车间表1'!I15</f>
        <v>4.5035618642922932</v>
      </c>
      <c r="K14" s="23"/>
      <c r="L14" s="23">
        <f>L36+'1车间表1'!K15</f>
        <v>23.128450082898372</v>
      </c>
      <c r="N14" s="31" t="e">
        <f>#REF!/#REF!*100</f>
        <v>#REF!</v>
      </c>
      <c r="O14" s="31">
        <f t="shared" si="6"/>
        <v>96.725985057824175</v>
      </c>
      <c r="P14" s="31" t="e">
        <f t="shared" si="6"/>
        <v>#DIV/0!</v>
      </c>
      <c r="Q14" s="31">
        <f t="shared" si="6"/>
        <v>115.70148957715539</v>
      </c>
      <c r="S14" s="31" t="e">
        <f>P14</f>
        <v>#DIV/0!</v>
      </c>
      <c r="T14" s="31" t="e">
        <f>P18</f>
        <v>#DIV/0!</v>
      </c>
      <c r="U14" s="31" t="e">
        <f>#REF!</f>
        <v>#REF!</v>
      </c>
      <c r="V14" s="31" t="e">
        <f>P22</f>
        <v>#DIV/0!</v>
      </c>
      <c r="W14" s="31" t="e">
        <f t="shared" si="7"/>
        <v>#DIV/0!</v>
      </c>
      <c r="AA14" s="34"/>
      <c r="AE14" s="34"/>
      <c r="AI14" s="34"/>
    </row>
    <row r="15" spans="2:39" ht="20.100000000000001" customHeight="1">
      <c r="B15" s="679"/>
      <c r="C15" s="20" t="s">
        <v>79</v>
      </c>
      <c r="D15" s="23">
        <f>IF(ISERROR(J15/J9*100),"0.00",J15/J9*100)</f>
        <v>97.922147110926488</v>
      </c>
      <c r="E15" s="23">
        <f>IF(ISERROR(L15/L9*100),"0.00",L15/L9*100)</f>
        <v>88.686422520354697</v>
      </c>
      <c r="F15" s="23">
        <f>F37+'1车间表1'!D16</f>
        <v>7.4929006823351028</v>
      </c>
      <c r="G15" s="23">
        <f t="shared" si="4"/>
        <v>66.039999999999992</v>
      </c>
      <c r="H15" s="23"/>
      <c r="I15" s="27">
        <f t="shared" si="5"/>
        <v>3380.0000000000005</v>
      </c>
      <c r="J15" s="23">
        <f>J37+'1车间表1'!I16</f>
        <v>4.9483116106141019</v>
      </c>
      <c r="K15" s="23"/>
      <c r="L15" s="23">
        <f>L37+'1车间表1'!K16</f>
        <v>25.326004306292649</v>
      </c>
      <c r="N15" s="31" t="e">
        <f>#REF!/#REF!*100</f>
        <v>#REF!</v>
      </c>
      <c r="O15" s="31">
        <f t="shared" si="6"/>
        <v>97.922147110926488</v>
      </c>
      <c r="P15" s="31" t="e">
        <f t="shared" si="6"/>
        <v>#DIV/0!</v>
      </c>
      <c r="Q15" s="31">
        <f t="shared" si="6"/>
        <v>88.686422520354697</v>
      </c>
      <c r="S15" s="31" t="e">
        <f>P15</f>
        <v>#DIV/0!</v>
      </c>
      <c r="T15" s="31" t="e">
        <f>P19</f>
        <v>#DIV/0!</v>
      </c>
      <c r="U15" s="31" t="e">
        <f>#REF!</f>
        <v>#REF!</v>
      </c>
      <c r="V15" s="31" t="e">
        <f>P23</f>
        <v>#DIV/0!</v>
      </c>
      <c r="W15" s="31" t="e">
        <f t="shared" si="7"/>
        <v>#DIV/0!</v>
      </c>
      <c r="AA15" s="34"/>
      <c r="AE15" s="34"/>
      <c r="AI15" s="34"/>
    </row>
    <row r="16" spans="2:39" ht="20.100000000000001" customHeight="1">
      <c r="B16" s="679"/>
      <c r="C16" s="20" t="s">
        <v>57</v>
      </c>
      <c r="D16" s="23">
        <f>IF(ISERROR(J16/J10*100),"0.00",J16/J10*100)</f>
        <v>97.348539988275135</v>
      </c>
      <c r="E16" s="23">
        <f>IF(ISERROR(L16/L10*100),"0.00",L16/L10*100)</f>
        <v>99.810273661390255</v>
      </c>
      <c r="F16" s="23">
        <f>F13+F14+F15</f>
        <v>14.392796291791658</v>
      </c>
      <c r="G16" s="23">
        <f t="shared" si="4"/>
        <v>65.670862584895232</v>
      </c>
      <c r="H16" s="23"/>
      <c r="I16" s="27">
        <f t="shared" si="5"/>
        <v>3366.5768212689172</v>
      </c>
      <c r="J16" s="23">
        <f>J13+J14+J15</f>
        <v>9.451873474906396</v>
      </c>
      <c r="K16" s="23"/>
      <c r="L16" s="23">
        <f>L13+L14+L15</f>
        <v>48.454454389191021</v>
      </c>
      <c r="N16" s="31" t="e">
        <f>#REF!/#REF!*100</f>
        <v>#REF!</v>
      </c>
      <c r="O16" s="31">
        <f t="shared" si="6"/>
        <v>97.348539988275135</v>
      </c>
      <c r="P16" s="31" t="e">
        <f t="shared" si="6"/>
        <v>#DIV/0!</v>
      </c>
      <c r="Q16" s="31">
        <f t="shared" si="6"/>
        <v>99.810273661390255</v>
      </c>
      <c r="S16" s="31" t="e">
        <f>P16</f>
        <v>#DIV/0!</v>
      </c>
      <c r="T16" s="31" t="e">
        <f>P20</f>
        <v>#DIV/0!</v>
      </c>
      <c r="U16" s="31" t="e">
        <f>#REF!</f>
        <v>#REF!</v>
      </c>
      <c r="V16" s="31" t="e">
        <f>P24</f>
        <v>#DIV/0!</v>
      </c>
      <c r="W16" s="31" t="e">
        <f t="shared" si="7"/>
        <v>#DIV/0!</v>
      </c>
      <c r="AA16" s="34"/>
      <c r="AE16" s="34"/>
      <c r="AI16" s="34"/>
    </row>
    <row r="17" spans="2:35" ht="20.100000000000001" customHeight="1">
      <c r="B17" s="679" t="s">
        <v>25</v>
      </c>
      <c r="C17" s="20" t="s">
        <v>77</v>
      </c>
      <c r="D17" s="23"/>
      <c r="E17" s="23"/>
      <c r="F17" s="23"/>
      <c r="G17" s="23"/>
      <c r="H17" s="23"/>
      <c r="I17" s="27"/>
      <c r="J17" s="23"/>
      <c r="K17" s="23"/>
      <c r="L17" s="23"/>
      <c r="N17" s="31" t="e">
        <f>#REF!/#REF!*100</f>
        <v>#REF!</v>
      </c>
      <c r="O17" s="31" t="e">
        <f t="shared" ref="O17:Q20" si="8">J17/J7*100</f>
        <v>#DIV/0!</v>
      </c>
      <c r="P17" s="31" t="e">
        <f t="shared" si="8"/>
        <v>#DIV/0!</v>
      </c>
      <c r="Q17" s="31" t="e">
        <f t="shared" si="8"/>
        <v>#DIV/0!</v>
      </c>
      <c r="S17" s="31" t="e">
        <f>N13</f>
        <v>#REF!</v>
      </c>
      <c r="T17" s="31" t="e">
        <f>N17</f>
        <v>#REF!</v>
      </c>
      <c r="U17" s="31" t="e">
        <f>#REF!</f>
        <v>#REF!</v>
      </c>
      <c r="V17" s="31" t="e">
        <f>N21</f>
        <v>#REF!</v>
      </c>
      <c r="W17" s="31" t="e">
        <f t="shared" si="7"/>
        <v>#REF!</v>
      </c>
      <c r="AA17" s="34"/>
      <c r="AE17" s="34"/>
      <c r="AI17" s="34"/>
    </row>
    <row r="18" spans="2:35" ht="20.100000000000001" customHeight="1">
      <c r="B18" s="679"/>
      <c r="C18" s="20" t="s">
        <v>78</v>
      </c>
      <c r="D18" s="23"/>
      <c r="E18" s="23"/>
      <c r="F18" s="23"/>
      <c r="G18" s="23"/>
      <c r="H18" s="23"/>
      <c r="I18" s="27"/>
      <c r="J18" s="23"/>
      <c r="K18" s="23"/>
      <c r="L18" s="23"/>
      <c r="N18" s="31" t="e">
        <f>#REF!/#REF!*100</f>
        <v>#REF!</v>
      </c>
      <c r="O18" s="31">
        <f t="shared" si="8"/>
        <v>0</v>
      </c>
      <c r="P18" s="31" t="e">
        <f t="shared" si="8"/>
        <v>#DIV/0!</v>
      </c>
      <c r="Q18" s="31">
        <f t="shared" si="8"/>
        <v>0</v>
      </c>
      <c r="S18" s="31" t="e">
        <f>N14</f>
        <v>#REF!</v>
      </c>
      <c r="T18" s="31" t="e">
        <f>N18</f>
        <v>#REF!</v>
      </c>
      <c r="U18" s="31" t="e">
        <f>#REF!</f>
        <v>#REF!</v>
      </c>
      <c r="V18" s="31" t="e">
        <f>N22</f>
        <v>#REF!</v>
      </c>
      <c r="W18" s="31" t="e">
        <f t="shared" si="7"/>
        <v>#REF!</v>
      </c>
      <c r="AA18" s="34"/>
      <c r="AE18" s="34"/>
      <c r="AI18" s="34"/>
    </row>
    <row r="19" spans="2:35" ht="20.100000000000001" customHeight="1">
      <c r="B19" s="679"/>
      <c r="C19" s="20" t="s">
        <v>79</v>
      </c>
      <c r="D19" s="23"/>
      <c r="E19" s="23"/>
      <c r="F19" s="23"/>
      <c r="G19" s="23"/>
      <c r="H19" s="23"/>
      <c r="I19" s="27"/>
      <c r="J19" s="23"/>
      <c r="K19" s="23"/>
      <c r="L19" s="23"/>
      <c r="N19" s="31" t="e">
        <f>#REF!/#REF!*100</f>
        <v>#REF!</v>
      </c>
      <c r="O19" s="31">
        <f t="shared" si="8"/>
        <v>0</v>
      </c>
      <c r="P19" s="31" t="e">
        <f t="shared" si="8"/>
        <v>#DIV/0!</v>
      </c>
      <c r="Q19" s="31">
        <f t="shared" si="8"/>
        <v>0</v>
      </c>
      <c r="S19" s="31" t="e">
        <f>N15</f>
        <v>#REF!</v>
      </c>
      <c r="T19" s="31" t="e">
        <f>N19</f>
        <v>#REF!</v>
      </c>
      <c r="U19" s="31" t="e">
        <f>#REF!</f>
        <v>#REF!</v>
      </c>
      <c r="V19" s="31" t="e">
        <f>N23</f>
        <v>#REF!</v>
      </c>
      <c r="W19" s="31" t="e">
        <f t="shared" si="7"/>
        <v>#REF!</v>
      </c>
      <c r="AA19" s="34"/>
      <c r="AE19" s="34"/>
      <c r="AI19" s="34"/>
    </row>
    <row r="20" spans="2:35" ht="20.100000000000001" customHeight="1">
      <c r="B20" s="679"/>
      <c r="C20" s="20" t="s">
        <v>57</v>
      </c>
      <c r="D20" s="23"/>
      <c r="E20" s="23"/>
      <c r="F20" s="23"/>
      <c r="G20" s="23"/>
      <c r="H20" s="23"/>
      <c r="I20" s="27"/>
      <c r="J20" s="23"/>
      <c r="K20" s="23"/>
      <c r="L20" s="23"/>
      <c r="N20" s="31" t="e">
        <f>#REF!/#REF!*100</f>
        <v>#REF!</v>
      </c>
      <c r="O20" s="31">
        <f t="shared" si="8"/>
        <v>0</v>
      </c>
      <c r="P20" s="31" t="e">
        <f t="shared" si="8"/>
        <v>#DIV/0!</v>
      </c>
      <c r="Q20" s="31">
        <f t="shared" si="8"/>
        <v>0</v>
      </c>
      <c r="S20" s="31" t="e">
        <f>N16</f>
        <v>#REF!</v>
      </c>
      <c r="T20" s="31" t="e">
        <f>N20</f>
        <v>#REF!</v>
      </c>
      <c r="U20" s="31" t="e">
        <f>#REF!</f>
        <v>#REF!</v>
      </c>
      <c r="V20" s="31" t="e">
        <f>N24</f>
        <v>#REF!</v>
      </c>
      <c r="W20" s="31" t="e">
        <f t="shared" si="7"/>
        <v>#REF!</v>
      </c>
      <c r="AA20" s="34"/>
      <c r="AE20" s="34"/>
      <c r="AI20" s="34"/>
    </row>
    <row r="21" spans="2:35" ht="20.100000000000001" customHeight="1">
      <c r="B21" s="679" t="s">
        <v>26</v>
      </c>
      <c r="C21" s="20" t="s">
        <v>77</v>
      </c>
      <c r="D21" s="23"/>
      <c r="E21" s="23"/>
      <c r="F21" s="23">
        <f>F41+'1车间表1'!D24</f>
        <v>0</v>
      </c>
      <c r="G21" s="23" t="str">
        <f t="shared" si="4"/>
        <v>0.00</v>
      </c>
      <c r="H21" s="23"/>
      <c r="I21" s="27" t="str">
        <f t="shared" si="5"/>
        <v>0</v>
      </c>
      <c r="J21" s="23">
        <f>J41+'1车间表1'!I24</f>
        <v>0</v>
      </c>
      <c r="K21" s="23"/>
      <c r="L21" s="23">
        <f>L41+'1车间表1'!K24</f>
        <v>0</v>
      </c>
      <c r="N21" s="31" t="e">
        <f>#REF!/#REF!*100</f>
        <v>#REF!</v>
      </c>
      <c r="O21" s="31" t="e">
        <f t="shared" ref="O21:Q24" si="9">J21/J7*100</f>
        <v>#DIV/0!</v>
      </c>
      <c r="P21" s="31" t="e">
        <f t="shared" si="9"/>
        <v>#DIV/0!</v>
      </c>
      <c r="Q21" s="31" t="e">
        <f t="shared" si="9"/>
        <v>#DIV/0!</v>
      </c>
      <c r="S21" s="31" t="e">
        <f>Q13</f>
        <v>#DIV/0!</v>
      </c>
      <c r="T21" s="31" t="e">
        <f>Q17</f>
        <v>#DIV/0!</v>
      </c>
      <c r="U21" s="31" t="e">
        <f>#REF!</f>
        <v>#REF!</v>
      </c>
      <c r="V21" s="31" t="e">
        <f>Q21</f>
        <v>#DIV/0!</v>
      </c>
      <c r="W21" s="31" t="e">
        <f t="shared" si="7"/>
        <v>#DIV/0!</v>
      </c>
      <c r="AA21" s="34"/>
      <c r="AE21" s="34"/>
      <c r="AI21" s="34"/>
    </row>
    <row r="22" spans="2:35" ht="20.100000000000001" customHeight="1">
      <c r="B22" s="679"/>
      <c r="C22" s="20" t="s">
        <v>78</v>
      </c>
      <c r="D22" s="23"/>
      <c r="E22" s="23"/>
      <c r="F22" s="23">
        <f>F42+'1车间表1'!D25</f>
        <v>117.26010439054345</v>
      </c>
      <c r="G22" s="23">
        <f t="shared" si="4"/>
        <v>0.13</v>
      </c>
      <c r="H22" s="23"/>
      <c r="I22" s="27">
        <f t="shared" si="5"/>
        <v>-26.766905071521474</v>
      </c>
      <c r="J22" s="23">
        <f>J42+'1车间表1'!I25</f>
        <v>0.15243813570770648</v>
      </c>
      <c r="K22" s="23"/>
      <c r="L22" s="23">
        <f>L42+'1车间表1'!K25</f>
        <v>-3.1386900828983748</v>
      </c>
      <c r="N22" s="31" t="e">
        <f>#REF!/#REF!*100</f>
        <v>#REF!</v>
      </c>
      <c r="O22" s="31">
        <f t="shared" si="9"/>
        <v>3.2740149421758264</v>
      </c>
      <c r="P22" s="31" t="e">
        <f t="shared" si="9"/>
        <v>#DIV/0!</v>
      </c>
      <c r="Q22" s="31">
        <f t="shared" si="9"/>
        <v>-15.701489577155382</v>
      </c>
      <c r="S22" s="31">
        <f>Q14</f>
        <v>115.70148957715539</v>
      </c>
      <c r="T22" s="31">
        <f>Q18</f>
        <v>0</v>
      </c>
      <c r="U22" s="31" t="e">
        <f>#REF!</f>
        <v>#REF!</v>
      </c>
      <c r="V22" s="31">
        <f>Q22</f>
        <v>-15.701489577155382</v>
      </c>
      <c r="W22" s="31" t="e">
        <f t="shared" si="7"/>
        <v>#REF!</v>
      </c>
      <c r="AA22" s="34"/>
      <c r="AE22" s="34"/>
      <c r="AI22" s="34"/>
    </row>
    <row r="23" spans="2:35" ht="20.100000000000001" customHeight="1">
      <c r="B23" s="679"/>
      <c r="C23" s="20" t="s">
        <v>79</v>
      </c>
      <c r="D23" s="23"/>
      <c r="E23" s="23"/>
      <c r="F23" s="23">
        <f>F43+'1车间表1'!D26</f>
        <v>116.66709931766489</v>
      </c>
      <c r="G23" s="23">
        <f t="shared" si="4"/>
        <v>8.9999999999999802E-2</v>
      </c>
      <c r="H23" s="23"/>
      <c r="I23" s="27">
        <f t="shared" si="5"/>
        <v>27.692431821849247</v>
      </c>
      <c r="J23" s="23">
        <f>J43+'1车间表1'!I26</f>
        <v>0.10500038938589817</v>
      </c>
      <c r="K23" s="23"/>
      <c r="L23" s="23">
        <f>L43+'1车间表1'!K26</f>
        <v>3.2307956937073499</v>
      </c>
      <c r="N23" s="31" t="e">
        <f>#REF!/#REF!*100</f>
        <v>#REF!</v>
      </c>
      <c r="O23" s="31">
        <f t="shared" si="9"/>
        <v>2.077852889073506</v>
      </c>
      <c r="P23" s="31" t="e">
        <f t="shared" si="9"/>
        <v>#DIV/0!</v>
      </c>
      <c r="Q23" s="31">
        <f t="shared" si="9"/>
        <v>11.313577479645303</v>
      </c>
      <c r="S23" s="31">
        <f>Q15</f>
        <v>88.686422520354697</v>
      </c>
      <c r="T23" s="31">
        <f>Q19</f>
        <v>0</v>
      </c>
      <c r="U23" s="31" t="e">
        <f>#REF!</f>
        <v>#REF!</v>
      </c>
      <c r="V23" s="31">
        <f>Q23</f>
        <v>11.313577479645303</v>
      </c>
      <c r="W23" s="31" t="e">
        <f t="shared" si="7"/>
        <v>#REF!</v>
      </c>
      <c r="AA23" s="34"/>
      <c r="AE23" s="34"/>
      <c r="AI23" s="34"/>
    </row>
    <row r="24" spans="2:35" ht="20.100000000000001" customHeight="1">
      <c r="B24" s="679"/>
      <c r="C24" s="20" t="s">
        <v>57</v>
      </c>
      <c r="D24" s="23"/>
      <c r="E24" s="23"/>
      <c r="F24" s="23">
        <f>F21+F22+F23</f>
        <v>233.92720370820834</v>
      </c>
      <c r="G24" s="23">
        <f t="shared" si="4"/>
        <v>0.11005069996678257</v>
      </c>
      <c r="H24" s="23"/>
      <c r="I24" s="27">
        <f t="shared" si="5"/>
        <v>0.39373621087637162</v>
      </c>
      <c r="J24" s="23">
        <f>J21+J22+J23</f>
        <v>0.25743852509360465</v>
      </c>
      <c r="K24" s="23"/>
      <c r="L24" s="23">
        <f>L21+L22+L23</f>
        <v>9.2105610808975058E-2</v>
      </c>
      <c r="N24" s="31" t="e">
        <f>#REF!/#REF!*100</f>
        <v>#REF!</v>
      </c>
      <c r="O24" s="31">
        <f t="shared" si="9"/>
        <v>2.6514600117248746</v>
      </c>
      <c r="P24" s="31" t="e">
        <f t="shared" si="9"/>
        <v>#DIV/0!</v>
      </c>
      <c r="Q24" s="31">
        <f t="shared" si="9"/>
        <v>0.1897263386097286</v>
      </c>
      <c r="S24" s="31">
        <f>Q16</f>
        <v>99.810273661390255</v>
      </c>
      <c r="T24" s="31">
        <f>Q20</f>
        <v>0</v>
      </c>
      <c r="U24" s="31" t="e">
        <f>#REF!</f>
        <v>#REF!</v>
      </c>
      <c r="V24" s="31">
        <f>Q24</f>
        <v>0.1897263386097286</v>
      </c>
      <c r="W24" s="31" t="e">
        <f t="shared" si="7"/>
        <v>#REF!</v>
      </c>
      <c r="AA24" s="34"/>
      <c r="AE24" s="34"/>
      <c r="AI24" s="34"/>
    </row>
    <row r="25" spans="2:35">
      <c r="B25" s="19"/>
      <c r="C25" s="694" t="s">
        <v>66</v>
      </c>
      <c r="D25" s="694"/>
      <c r="E25" s="694"/>
      <c r="F25" s="19"/>
      <c r="G25" s="19"/>
      <c r="H25" s="19"/>
      <c r="I25" s="19"/>
      <c r="J25" s="694"/>
      <c r="K25" s="694"/>
      <c r="L25" s="19"/>
    </row>
    <row r="26" spans="2:3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9" spans="2:35">
      <c r="D29" s="18" t="s">
        <v>68</v>
      </c>
    </row>
    <row r="30" spans="2:35">
      <c r="B30" s="679" t="s">
        <v>42</v>
      </c>
      <c r="C30" s="679" t="s">
        <v>43</v>
      </c>
      <c r="D30" s="679" t="s">
        <v>44</v>
      </c>
      <c r="E30" s="679" t="s">
        <v>45</v>
      </c>
      <c r="F30" s="680" t="s">
        <v>50</v>
      </c>
      <c r="G30" s="680"/>
      <c r="H30" s="680"/>
      <c r="I30" s="680"/>
      <c r="J30" s="680"/>
      <c r="K30" s="680"/>
      <c r="L30" s="680"/>
    </row>
    <row r="31" spans="2:35">
      <c r="B31" s="679"/>
      <c r="C31" s="679"/>
      <c r="D31" s="679"/>
      <c r="E31" s="679"/>
      <c r="F31" s="680"/>
      <c r="G31" s="20" t="s">
        <v>6</v>
      </c>
      <c r="H31" s="20" t="s">
        <v>7</v>
      </c>
      <c r="I31" s="20" t="s">
        <v>51</v>
      </c>
      <c r="J31" s="20" t="s">
        <v>53</v>
      </c>
      <c r="K31" s="20" t="s">
        <v>54</v>
      </c>
      <c r="L31" s="20" t="s">
        <v>55</v>
      </c>
    </row>
    <row r="32" spans="2:35">
      <c r="B32" s="679" t="s">
        <v>10</v>
      </c>
      <c r="C32" s="20" t="s">
        <v>81</v>
      </c>
      <c r="D32" s="573"/>
      <c r="E32" s="573"/>
      <c r="F32" s="573"/>
      <c r="G32" s="574"/>
      <c r="H32" s="574"/>
      <c r="I32" s="574"/>
      <c r="J32" s="576"/>
      <c r="K32" s="576"/>
      <c r="L32" s="577"/>
      <c r="O32" s="578"/>
      <c r="P32" s="578"/>
      <c r="Q32" s="578"/>
      <c r="R32" s="578"/>
      <c r="S32" s="578"/>
      <c r="T32" s="578"/>
      <c r="U32" s="578"/>
      <c r="V32" s="578"/>
    </row>
    <row r="33" spans="2:22">
      <c r="B33" s="679"/>
      <c r="C33" s="20" t="s">
        <v>82</v>
      </c>
      <c r="D33" s="573"/>
      <c r="E33" s="573"/>
      <c r="F33" s="573"/>
      <c r="G33" s="574"/>
      <c r="H33" s="574"/>
      <c r="I33" s="574"/>
      <c r="J33" s="576"/>
      <c r="K33" s="576"/>
      <c r="L33" s="577"/>
      <c r="O33" s="578"/>
      <c r="P33" s="578"/>
      <c r="Q33" s="578"/>
      <c r="R33" s="578"/>
      <c r="S33" s="578"/>
      <c r="T33" s="578"/>
      <c r="U33" s="578"/>
      <c r="V33" s="578"/>
    </row>
    <row r="34" spans="2:22">
      <c r="B34" s="679"/>
      <c r="C34" s="20" t="s">
        <v>83</v>
      </c>
      <c r="D34" s="573"/>
      <c r="E34" s="573"/>
      <c r="F34" s="573"/>
      <c r="G34" s="574"/>
      <c r="H34" s="574"/>
      <c r="I34" s="574"/>
      <c r="J34" s="576"/>
      <c r="K34" s="576"/>
      <c r="L34" s="577"/>
      <c r="O34" s="578"/>
      <c r="P34" s="578"/>
      <c r="Q34" s="578"/>
      <c r="R34" s="578"/>
      <c r="S34" s="578"/>
      <c r="T34" s="578"/>
      <c r="U34" s="578"/>
      <c r="V34" s="578"/>
    </row>
    <row r="35" spans="2:22">
      <c r="B35" s="679" t="s">
        <v>23</v>
      </c>
      <c r="C35" s="20" t="s">
        <v>81</v>
      </c>
      <c r="D35" s="574"/>
      <c r="E35" s="574"/>
      <c r="F35" s="573"/>
      <c r="G35" s="574"/>
      <c r="H35" s="574"/>
      <c r="I35" s="574"/>
      <c r="J35" s="576"/>
      <c r="K35" s="576"/>
      <c r="L35" s="577"/>
      <c r="O35" s="578"/>
      <c r="P35" s="578"/>
      <c r="Q35" s="578"/>
      <c r="R35" s="578"/>
      <c r="S35" s="578"/>
      <c r="T35" s="578"/>
      <c r="U35" s="578"/>
      <c r="V35" s="578"/>
    </row>
    <row r="36" spans="2:22">
      <c r="B36" s="679"/>
      <c r="C36" s="20" t="s">
        <v>82</v>
      </c>
      <c r="D36" s="574"/>
      <c r="E36" s="574"/>
      <c r="F36" s="573"/>
      <c r="G36" s="574"/>
      <c r="H36" s="574"/>
      <c r="I36" s="574"/>
      <c r="J36" s="576"/>
      <c r="K36" s="576"/>
      <c r="L36" s="577"/>
      <c r="O36" s="578"/>
      <c r="P36" s="578"/>
      <c r="Q36" s="578"/>
      <c r="R36" s="578"/>
      <c r="S36" s="578"/>
      <c r="T36" s="578"/>
      <c r="U36" s="578"/>
      <c r="V36" s="578"/>
    </row>
    <row r="37" spans="2:22">
      <c r="B37" s="679"/>
      <c r="C37" s="20" t="s">
        <v>83</v>
      </c>
      <c r="D37" s="574"/>
      <c r="E37" s="574"/>
      <c r="F37" s="573"/>
      <c r="G37" s="574"/>
      <c r="H37" s="574"/>
      <c r="I37" s="574"/>
      <c r="J37" s="576"/>
      <c r="K37" s="576"/>
      <c r="L37" s="577"/>
      <c r="O37" s="578"/>
      <c r="P37" s="578"/>
      <c r="Q37" s="578"/>
      <c r="R37" s="578"/>
      <c r="S37" s="578"/>
      <c r="T37" s="578"/>
      <c r="U37" s="578"/>
      <c r="V37" s="578"/>
    </row>
    <row r="38" spans="2:22">
      <c r="B38" s="679" t="s">
        <v>25</v>
      </c>
      <c r="C38" s="20" t="s">
        <v>81</v>
      </c>
      <c r="D38" s="574"/>
      <c r="E38" s="574"/>
      <c r="F38" s="573"/>
      <c r="G38" s="574"/>
      <c r="H38" s="574"/>
      <c r="I38" s="574"/>
      <c r="J38" s="576"/>
      <c r="K38" s="576"/>
      <c r="L38" s="577"/>
      <c r="O38" s="578"/>
      <c r="P38" s="578"/>
      <c r="Q38" s="578"/>
      <c r="R38" s="578"/>
      <c r="S38" s="578"/>
      <c r="T38" s="578"/>
      <c r="U38" s="578"/>
      <c r="V38" s="578"/>
    </row>
    <row r="39" spans="2:22">
      <c r="B39" s="679"/>
      <c r="C39" s="20" t="s">
        <v>82</v>
      </c>
      <c r="D39" s="574"/>
      <c r="E39" s="574"/>
      <c r="F39" s="573"/>
      <c r="G39" s="574"/>
      <c r="H39" s="574"/>
      <c r="I39" s="574"/>
      <c r="J39" s="576"/>
      <c r="K39" s="576"/>
      <c r="L39" s="577"/>
      <c r="O39" s="578"/>
      <c r="P39" s="578"/>
      <c r="Q39" s="578"/>
      <c r="R39" s="578"/>
      <c r="S39" s="578"/>
      <c r="T39" s="578"/>
      <c r="U39" s="578"/>
      <c r="V39" s="578"/>
    </row>
    <row r="40" spans="2:22">
      <c r="B40" s="679"/>
      <c r="C40" s="20" t="s">
        <v>83</v>
      </c>
      <c r="D40" s="574"/>
      <c r="E40" s="574"/>
      <c r="F40" s="573"/>
      <c r="G40" s="574"/>
      <c r="H40" s="574"/>
      <c r="I40" s="574"/>
      <c r="J40" s="576"/>
      <c r="K40" s="576"/>
      <c r="L40" s="577"/>
      <c r="O40" s="578"/>
      <c r="P40" s="578"/>
      <c r="Q40" s="578"/>
      <c r="R40" s="578"/>
      <c r="S40" s="578"/>
      <c r="T40" s="578"/>
      <c r="U40" s="578"/>
      <c r="V40" s="578"/>
    </row>
    <row r="41" spans="2:22">
      <c r="B41" s="679" t="s">
        <v>26</v>
      </c>
      <c r="C41" s="20" t="s">
        <v>81</v>
      </c>
      <c r="D41" s="574"/>
      <c r="E41" s="574"/>
      <c r="F41" s="573"/>
      <c r="G41" s="574"/>
      <c r="H41" s="574"/>
      <c r="I41" s="574"/>
      <c r="J41" s="576"/>
      <c r="K41" s="576"/>
      <c r="L41" s="577"/>
      <c r="O41" s="578"/>
      <c r="P41" s="578"/>
      <c r="Q41" s="578"/>
      <c r="R41" s="578"/>
      <c r="S41" s="578"/>
      <c r="T41" s="578"/>
      <c r="U41" s="578"/>
      <c r="V41" s="578"/>
    </row>
    <row r="42" spans="2:22">
      <c r="B42" s="679"/>
      <c r="C42" s="20" t="s">
        <v>82</v>
      </c>
      <c r="D42" s="574"/>
      <c r="E42" s="574"/>
      <c r="F42" s="573"/>
      <c r="G42" s="574"/>
      <c r="H42" s="574"/>
      <c r="I42" s="574"/>
      <c r="J42" s="576"/>
      <c r="K42" s="576"/>
      <c r="L42" s="577"/>
      <c r="O42" s="578"/>
      <c r="P42" s="578"/>
      <c r="Q42" s="578"/>
      <c r="R42" s="578"/>
      <c r="S42" s="578"/>
      <c r="T42" s="578"/>
      <c r="U42" s="578"/>
      <c r="V42" s="578"/>
    </row>
    <row r="43" spans="2:22">
      <c r="B43" s="679"/>
      <c r="C43" s="20" t="s">
        <v>83</v>
      </c>
      <c r="D43" s="574"/>
      <c r="E43" s="574"/>
      <c r="F43" s="573"/>
      <c r="G43" s="574"/>
      <c r="H43" s="574"/>
      <c r="I43" s="574"/>
      <c r="J43" s="576"/>
      <c r="K43" s="576"/>
      <c r="L43" s="577"/>
    </row>
    <row r="45" spans="2:22">
      <c r="B45" s="580"/>
      <c r="C45" s="580"/>
      <c r="D45" s="580"/>
      <c r="E45" s="580"/>
      <c r="F45" s="580"/>
      <c r="G45" s="580"/>
      <c r="H45" s="580"/>
      <c r="I45" s="580"/>
      <c r="J45" s="580"/>
      <c r="K45" s="580"/>
      <c r="L45" s="580"/>
      <c r="M45" s="580"/>
      <c r="N45" s="580"/>
    </row>
    <row r="46" spans="2:22">
      <c r="D46" s="18" t="s">
        <v>73</v>
      </c>
    </row>
    <row r="47" spans="2:22">
      <c r="B47" s="679" t="s">
        <v>42</v>
      </c>
      <c r="C47" s="679" t="s">
        <v>43</v>
      </c>
      <c r="D47" s="679" t="s">
        <v>44</v>
      </c>
      <c r="E47" s="679" t="s">
        <v>45</v>
      </c>
      <c r="F47" s="680" t="s">
        <v>50</v>
      </c>
      <c r="G47" s="680"/>
      <c r="H47" s="680"/>
      <c r="I47" s="680"/>
      <c r="J47" s="680"/>
      <c r="K47" s="680"/>
      <c r="L47" s="680"/>
    </row>
    <row r="48" spans="2:22">
      <c r="B48" s="679"/>
      <c r="C48" s="679"/>
      <c r="D48" s="679"/>
      <c r="E48" s="679"/>
      <c r="F48" s="680"/>
      <c r="G48" s="20" t="s">
        <v>6</v>
      </c>
      <c r="H48" s="20" t="s">
        <v>7</v>
      </c>
      <c r="I48" s="20" t="s">
        <v>51</v>
      </c>
      <c r="J48" s="20" t="s">
        <v>53</v>
      </c>
      <c r="K48" s="20" t="s">
        <v>54</v>
      </c>
      <c r="L48" s="20" t="s">
        <v>55</v>
      </c>
    </row>
    <row r="49" spans="2:12">
      <c r="B49" s="679" t="s">
        <v>10</v>
      </c>
      <c r="C49" s="20" t="s">
        <v>81</v>
      </c>
      <c r="D49" s="23" t="str">
        <f t="shared" ref="D49:F51" si="10">D7</f>
        <v>0.00</v>
      </c>
      <c r="E49" s="23">
        <f t="shared" si="10"/>
        <v>0</v>
      </c>
      <c r="F49" s="23">
        <f t="shared" si="10"/>
        <v>0</v>
      </c>
      <c r="G49" s="575"/>
      <c r="H49" s="575"/>
      <c r="I49" s="575"/>
      <c r="J49" s="28">
        <f t="shared" ref="J49:L51" si="11">J7</f>
        <v>0</v>
      </c>
      <c r="K49" s="28">
        <f t="shared" si="11"/>
        <v>0</v>
      </c>
      <c r="L49" s="32">
        <f t="shared" si="11"/>
        <v>0</v>
      </c>
    </row>
    <row r="50" spans="2:12">
      <c r="B50" s="679"/>
      <c r="C50" s="20" t="s">
        <v>82</v>
      </c>
      <c r="D50" s="23">
        <f t="shared" si="10"/>
        <v>0</v>
      </c>
      <c r="E50" s="23">
        <f t="shared" si="10"/>
        <v>8</v>
      </c>
      <c r="F50" s="23">
        <f t="shared" si="10"/>
        <v>124.16</v>
      </c>
      <c r="G50" s="575"/>
      <c r="H50" s="575"/>
      <c r="I50" s="575"/>
      <c r="J50" s="28">
        <f t="shared" si="11"/>
        <v>4.6559999999999997</v>
      </c>
      <c r="K50" s="28">
        <f t="shared" si="11"/>
        <v>0</v>
      </c>
      <c r="L50" s="32">
        <f t="shared" si="11"/>
        <v>19.989759999999997</v>
      </c>
    </row>
    <row r="51" spans="2:12">
      <c r="B51" s="679"/>
      <c r="C51" s="20" t="s">
        <v>83</v>
      </c>
      <c r="D51" s="23">
        <f t="shared" si="10"/>
        <v>0</v>
      </c>
      <c r="E51" s="23">
        <f t="shared" si="10"/>
        <v>8</v>
      </c>
      <c r="F51" s="23">
        <f t="shared" si="10"/>
        <v>124.16</v>
      </c>
      <c r="G51" s="575"/>
      <c r="H51" s="575"/>
      <c r="I51" s="575"/>
      <c r="J51" s="28">
        <f t="shared" si="11"/>
        <v>5.053312</v>
      </c>
      <c r="K51" s="28">
        <f t="shared" si="11"/>
        <v>0</v>
      </c>
      <c r="L51" s="32">
        <f t="shared" si="11"/>
        <v>28.556799999999999</v>
      </c>
    </row>
    <row r="52" spans="2:12">
      <c r="B52" s="679" t="s">
        <v>23</v>
      </c>
      <c r="C52" s="20" t="s">
        <v>81</v>
      </c>
      <c r="D52" s="575"/>
      <c r="E52" s="575"/>
      <c r="F52" s="23">
        <f>F13</f>
        <v>0</v>
      </c>
      <c r="G52" s="575"/>
      <c r="H52" s="575"/>
      <c r="I52" s="575"/>
      <c r="J52" s="28">
        <f t="shared" ref="J52:L54" si="12">J13</f>
        <v>0</v>
      </c>
      <c r="K52" s="28">
        <f t="shared" si="12"/>
        <v>0</v>
      </c>
      <c r="L52" s="32">
        <f t="shared" si="12"/>
        <v>0</v>
      </c>
    </row>
    <row r="53" spans="2:12">
      <c r="B53" s="679"/>
      <c r="C53" s="20" t="s">
        <v>82</v>
      </c>
      <c r="D53" s="575"/>
      <c r="E53" s="575"/>
      <c r="F53" s="23">
        <f>F14</f>
        <v>6.8998956094565553</v>
      </c>
      <c r="G53" s="575"/>
      <c r="H53" s="575"/>
      <c r="I53" s="575"/>
      <c r="J53" s="28">
        <f t="shared" si="12"/>
        <v>4.5035618642922932</v>
      </c>
      <c r="K53" s="28">
        <f t="shared" si="12"/>
        <v>0</v>
      </c>
      <c r="L53" s="32">
        <f t="shared" si="12"/>
        <v>23.128450082898372</v>
      </c>
    </row>
    <row r="54" spans="2:12">
      <c r="B54" s="679"/>
      <c r="C54" s="20" t="s">
        <v>83</v>
      </c>
      <c r="D54" s="575"/>
      <c r="E54" s="575"/>
      <c r="F54" s="23">
        <f>F15</f>
        <v>7.4929006823351028</v>
      </c>
      <c r="G54" s="575"/>
      <c r="H54" s="575"/>
      <c r="I54" s="575"/>
      <c r="J54" s="28">
        <f t="shared" si="12"/>
        <v>4.9483116106141019</v>
      </c>
      <c r="K54" s="28">
        <f t="shared" si="12"/>
        <v>0</v>
      </c>
      <c r="L54" s="32">
        <f t="shared" si="12"/>
        <v>25.326004306292649</v>
      </c>
    </row>
    <row r="55" spans="2:12">
      <c r="B55" s="679" t="s">
        <v>25</v>
      </c>
      <c r="C55" s="20" t="s">
        <v>81</v>
      </c>
      <c r="D55" s="575"/>
      <c r="E55" s="575"/>
      <c r="F55" s="23">
        <f>F17</f>
        <v>0</v>
      </c>
      <c r="G55" s="575"/>
      <c r="H55" s="575"/>
      <c r="I55" s="575"/>
      <c r="J55" s="28">
        <f t="shared" ref="J55:L57" si="13">J17</f>
        <v>0</v>
      </c>
      <c r="K55" s="28">
        <f t="shared" si="13"/>
        <v>0</v>
      </c>
      <c r="L55" s="32">
        <f t="shared" si="13"/>
        <v>0</v>
      </c>
    </row>
    <row r="56" spans="2:12">
      <c r="B56" s="679"/>
      <c r="C56" s="20" t="s">
        <v>82</v>
      </c>
      <c r="D56" s="575"/>
      <c r="E56" s="575"/>
      <c r="F56" s="23">
        <f>F18</f>
        <v>0</v>
      </c>
      <c r="G56" s="575"/>
      <c r="H56" s="575"/>
      <c r="I56" s="575"/>
      <c r="J56" s="28">
        <f t="shared" si="13"/>
        <v>0</v>
      </c>
      <c r="K56" s="28">
        <f t="shared" si="13"/>
        <v>0</v>
      </c>
      <c r="L56" s="32">
        <f t="shared" si="13"/>
        <v>0</v>
      </c>
    </row>
    <row r="57" spans="2:12">
      <c r="B57" s="679"/>
      <c r="C57" s="20" t="s">
        <v>83</v>
      </c>
      <c r="D57" s="575"/>
      <c r="E57" s="575"/>
      <c r="F57" s="23">
        <f>F19</f>
        <v>0</v>
      </c>
      <c r="G57" s="575"/>
      <c r="H57" s="575"/>
      <c r="I57" s="575"/>
      <c r="J57" s="28">
        <f t="shared" si="13"/>
        <v>0</v>
      </c>
      <c r="K57" s="28">
        <f t="shared" si="13"/>
        <v>0</v>
      </c>
      <c r="L57" s="32">
        <f t="shared" si="13"/>
        <v>0</v>
      </c>
    </row>
    <row r="58" spans="2:12">
      <c r="B58" s="679" t="s">
        <v>26</v>
      </c>
      <c r="C58" s="20" t="s">
        <v>81</v>
      </c>
      <c r="D58" s="575"/>
      <c r="E58" s="575"/>
      <c r="F58" s="23">
        <f>F21</f>
        <v>0</v>
      </c>
      <c r="G58" s="575"/>
      <c r="H58" s="575"/>
      <c r="I58" s="575"/>
      <c r="J58" s="28">
        <f t="shared" ref="J58:L60" si="14">J21</f>
        <v>0</v>
      </c>
      <c r="K58" s="28">
        <f t="shared" si="14"/>
        <v>0</v>
      </c>
      <c r="L58" s="32">
        <f t="shared" si="14"/>
        <v>0</v>
      </c>
    </row>
    <row r="59" spans="2:12">
      <c r="B59" s="679"/>
      <c r="C59" s="20" t="s">
        <v>82</v>
      </c>
      <c r="D59" s="575"/>
      <c r="E59" s="575"/>
      <c r="F59" s="23">
        <f>F22</f>
        <v>117.26010439054345</v>
      </c>
      <c r="G59" s="575"/>
      <c r="H59" s="575"/>
      <c r="I59" s="575"/>
      <c r="J59" s="28">
        <f t="shared" si="14"/>
        <v>0.15243813570770648</v>
      </c>
      <c r="K59" s="28">
        <f t="shared" si="14"/>
        <v>0</v>
      </c>
      <c r="L59" s="32">
        <f t="shared" si="14"/>
        <v>-3.1386900828983748</v>
      </c>
    </row>
    <row r="60" spans="2:12">
      <c r="B60" s="679"/>
      <c r="C60" s="20" t="s">
        <v>83</v>
      </c>
      <c r="D60" s="575"/>
      <c r="E60" s="575"/>
      <c r="F60" s="23">
        <f>F23</f>
        <v>116.66709931766489</v>
      </c>
      <c r="G60" s="575"/>
      <c r="H60" s="575"/>
      <c r="I60" s="575"/>
      <c r="J60" s="28">
        <f t="shared" si="14"/>
        <v>0.10500038938589817</v>
      </c>
      <c r="K60" s="28">
        <f t="shared" si="14"/>
        <v>0</v>
      </c>
      <c r="L60" s="32">
        <f t="shared" si="14"/>
        <v>3.2307956937073499</v>
      </c>
    </row>
  </sheetData>
  <sheetProtection sheet="1" objects="1"/>
  <mergeCells count="48">
    <mergeCell ref="M5:M6"/>
    <mergeCell ref="N5:N6"/>
    <mergeCell ref="B2:L3"/>
    <mergeCell ref="D30:D31"/>
    <mergeCell ref="D47:D48"/>
    <mergeCell ref="E5:E6"/>
    <mergeCell ref="E30:E31"/>
    <mergeCell ref="E47:E48"/>
    <mergeCell ref="G30:I30"/>
    <mergeCell ref="J30:L30"/>
    <mergeCell ref="G47:I47"/>
    <mergeCell ref="J47:L47"/>
    <mergeCell ref="B35:B37"/>
    <mergeCell ref="B38:B40"/>
    <mergeCell ref="B41:B43"/>
    <mergeCell ref="B47:B48"/>
    <mergeCell ref="B52:B54"/>
    <mergeCell ref="B55:B57"/>
    <mergeCell ref="B58:B60"/>
    <mergeCell ref="C5:C6"/>
    <mergeCell ref="C11:C12"/>
    <mergeCell ref="C30:C31"/>
    <mergeCell ref="C47:C48"/>
    <mergeCell ref="B5:B6"/>
    <mergeCell ref="B7:B10"/>
    <mergeCell ref="B11:B12"/>
    <mergeCell ref="B13:B16"/>
    <mergeCell ref="B17:B20"/>
    <mergeCell ref="B21:B24"/>
    <mergeCell ref="B30:B31"/>
    <mergeCell ref="B32:B34"/>
    <mergeCell ref="J11:L11"/>
    <mergeCell ref="C25:E25"/>
    <mergeCell ref="J25:K25"/>
    <mergeCell ref="F11:F12"/>
    <mergeCell ref="B49:B51"/>
    <mergeCell ref="F30:F31"/>
    <mergeCell ref="F47:F48"/>
    <mergeCell ref="C4:D4"/>
    <mergeCell ref="E4:F4"/>
    <mergeCell ref="G4:I4"/>
    <mergeCell ref="D11:E11"/>
    <mergeCell ref="G11:I11"/>
    <mergeCell ref="J4:K4"/>
    <mergeCell ref="G5:I5"/>
    <mergeCell ref="J5:L5"/>
    <mergeCell ref="D5:D6"/>
    <mergeCell ref="F5:F6"/>
  </mergeCells>
  <phoneticPr fontId="54" type="noConversion"/>
  <printOptions horizontalCentered="1" verticalCentered="1"/>
  <pageMargins left="0" right="0" top="0" bottom="0" header="0" footer="0"/>
  <pageSetup paperSize="9" orientation="landscape" horizontalDpi="180" verticalDpi="18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indexed="12"/>
  </sheetPr>
  <dimension ref="B2:AO60"/>
  <sheetViews>
    <sheetView topLeftCell="A16" workbookViewId="0">
      <selection activeCell="I9" sqref="I9"/>
    </sheetView>
  </sheetViews>
  <sheetFormatPr defaultColWidth="9" defaultRowHeight="15.6"/>
  <cols>
    <col min="1" max="1" width="4.6640625" style="18" customWidth="1"/>
    <col min="2" max="2" width="6.33203125" style="18" customWidth="1"/>
    <col min="3" max="3" width="7" style="18" customWidth="1"/>
    <col min="4" max="4" width="10.21875" style="18" customWidth="1"/>
    <col min="5" max="5" width="9.88671875" style="18" customWidth="1"/>
    <col min="6" max="6" width="11.6640625" style="18" customWidth="1"/>
    <col min="7" max="8" width="9" style="18"/>
    <col min="9" max="9" width="9.33203125" style="18" customWidth="1"/>
    <col min="10" max="10" width="11.6640625" style="18" customWidth="1"/>
    <col min="11" max="11" width="10.44140625" style="18" customWidth="1"/>
    <col min="12" max="12" width="12.21875" style="18" customWidth="1"/>
    <col min="13" max="13" width="9" style="18"/>
    <col min="14" max="16" width="9" style="18" hidden="1" customWidth="1"/>
    <col min="17" max="17" width="9.77734375" style="18" hidden="1" customWidth="1"/>
    <col min="18" max="18" width="9" style="18" hidden="1" customWidth="1"/>
    <col min="19" max="19" width="9.109375" style="18" hidden="1" customWidth="1"/>
    <col min="20" max="20" width="9.44140625" style="18" hidden="1" customWidth="1"/>
    <col min="21" max="21" width="10.77734375" style="18" hidden="1" customWidth="1"/>
    <col min="22" max="22" width="10.21875" style="18" hidden="1" customWidth="1"/>
    <col min="23" max="40" width="9" style="18" hidden="1" customWidth="1"/>
    <col min="41" max="254" width="9" style="18"/>
    <col min="255" max="255" width="4.6640625" style="18" customWidth="1"/>
    <col min="256" max="256" width="6.33203125" style="18" customWidth="1"/>
    <col min="257" max="257" width="7" style="18" customWidth="1"/>
    <col min="258" max="258" width="10.21875" style="18" customWidth="1"/>
    <col min="259" max="259" width="9.88671875" style="18" customWidth="1"/>
    <col min="260" max="260" width="11.6640625" style="18" customWidth="1"/>
    <col min="261" max="263" width="9" style="18"/>
    <col min="264" max="264" width="9.33203125" style="18" customWidth="1"/>
    <col min="265" max="265" width="11.21875" style="18" customWidth="1"/>
    <col min="266" max="267" width="9" style="18"/>
    <col min="268" max="268" width="10.109375" style="18" customWidth="1"/>
    <col min="269" max="272" width="9" style="18"/>
    <col min="273" max="273" width="9.77734375" style="18" customWidth="1"/>
    <col min="274" max="274" width="9" style="18"/>
    <col min="275" max="275" width="9.109375" style="18" customWidth="1"/>
    <col min="276" max="276" width="9.44140625" style="18" customWidth="1"/>
    <col min="277" max="277" width="10.77734375" style="18" customWidth="1"/>
    <col min="278" max="278" width="10.21875" style="18" customWidth="1"/>
    <col min="279" max="510" width="9" style="18"/>
    <col min="511" max="511" width="4.6640625" style="18" customWidth="1"/>
    <col min="512" max="512" width="6.33203125" style="18" customWidth="1"/>
    <col min="513" max="513" width="7" style="18" customWidth="1"/>
    <col min="514" max="514" width="10.21875" style="18" customWidth="1"/>
    <col min="515" max="515" width="9.88671875" style="18" customWidth="1"/>
    <col min="516" max="516" width="11.6640625" style="18" customWidth="1"/>
    <col min="517" max="519" width="9" style="18"/>
    <col min="520" max="520" width="9.33203125" style="18" customWidth="1"/>
    <col min="521" max="521" width="11.21875" style="18" customWidth="1"/>
    <col min="522" max="523" width="9" style="18"/>
    <col min="524" max="524" width="10.109375" style="18" customWidth="1"/>
    <col min="525" max="528" width="9" style="18"/>
    <col min="529" max="529" width="9.77734375" style="18" customWidth="1"/>
    <col min="530" max="530" width="9" style="18"/>
    <col min="531" max="531" width="9.109375" style="18" customWidth="1"/>
    <col min="532" max="532" width="9.44140625" style="18" customWidth="1"/>
    <col min="533" max="533" width="10.77734375" style="18" customWidth="1"/>
    <col min="534" max="534" width="10.21875" style="18" customWidth="1"/>
    <col min="535" max="766" width="9" style="18"/>
    <col min="767" max="767" width="4.6640625" style="18" customWidth="1"/>
    <col min="768" max="768" width="6.33203125" style="18" customWidth="1"/>
    <col min="769" max="769" width="7" style="18" customWidth="1"/>
    <col min="770" max="770" width="10.21875" style="18" customWidth="1"/>
    <col min="771" max="771" width="9.88671875" style="18" customWidth="1"/>
    <col min="772" max="772" width="11.6640625" style="18" customWidth="1"/>
    <col min="773" max="775" width="9" style="18"/>
    <col min="776" max="776" width="9.33203125" style="18" customWidth="1"/>
    <col min="777" max="777" width="11.21875" style="18" customWidth="1"/>
    <col min="778" max="779" width="9" style="18"/>
    <col min="780" max="780" width="10.109375" style="18" customWidth="1"/>
    <col min="781" max="784" width="9" style="18"/>
    <col min="785" max="785" width="9.77734375" style="18" customWidth="1"/>
    <col min="786" max="786" width="9" style="18"/>
    <col min="787" max="787" width="9.109375" style="18" customWidth="1"/>
    <col min="788" max="788" width="9.44140625" style="18" customWidth="1"/>
    <col min="789" max="789" width="10.77734375" style="18" customWidth="1"/>
    <col min="790" max="790" width="10.21875" style="18" customWidth="1"/>
    <col min="791" max="1022" width="9" style="18"/>
    <col min="1023" max="1023" width="4.6640625" style="18" customWidth="1"/>
    <col min="1024" max="1024" width="6.33203125" style="18" customWidth="1"/>
    <col min="1025" max="1025" width="7" style="18" customWidth="1"/>
    <col min="1026" max="1026" width="10.21875" style="18" customWidth="1"/>
    <col min="1027" max="1027" width="9.88671875" style="18" customWidth="1"/>
    <col min="1028" max="1028" width="11.6640625" style="18" customWidth="1"/>
    <col min="1029" max="1031" width="9" style="18"/>
    <col min="1032" max="1032" width="9.33203125" style="18" customWidth="1"/>
    <col min="1033" max="1033" width="11.21875" style="18" customWidth="1"/>
    <col min="1034" max="1035" width="9" style="18"/>
    <col min="1036" max="1036" width="10.109375" style="18" customWidth="1"/>
    <col min="1037" max="1040" width="9" style="18"/>
    <col min="1041" max="1041" width="9.77734375" style="18" customWidth="1"/>
    <col min="1042" max="1042" width="9" style="18"/>
    <col min="1043" max="1043" width="9.109375" style="18" customWidth="1"/>
    <col min="1044" max="1044" width="9.44140625" style="18" customWidth="1"/>
    <col min="1045" max="1045" width="10.77734375" style="18" customWidth="1"/>
    <col min="1046" max="1046" width="10.21875" style="18" customWidth="1"/>
    <col min="1047" max="1278" width="9" style="18"/>
    <col min="1279" max="1279" width="4.6640625" style="18" customWidth="1"/>
    <col min="1280" max="1280" width="6.33203125" style="18" customWidth="1"/>
    <col min="1281" max="1281" width="7" style="18" customWidth="1"/>
    <col min="1282" max="1282" width="10.21875" style="18" customWidth="1"/>
    <col min="1283" max="1283" width="9.88671875" style="18" customWidth="1"/>
    <col min="1284" max="1284" width="11.6640625" style="18" customWidth="1"/>
    <col min="1285" max="1287" width="9" style="18"/>
    <col min="1288" max="1288" width="9.33203125" style="18" customWidth="1"/>
    <col min="1289" max="1289" width="11.21875" style="18" customWidth="1"/>
    <col min="1290" max="1291" width="9" style="18"/>
    <col min="1292" max="1292" width="10.109375" style="18" customWidth="1"/>
    <col min="1293" max="1296" width="9" style="18"/>
    <col min="1297" max="1297" width="9.77734375" style="18" customWidth="1"/>
    <col min="1298" max="1298" width="9" style="18"/>
    <col min="1299" max="1299" width="9.109375" style="18" customWidth="1"/>
    <col min="1300" max="1300" width="9.44140625" style="18" customWidth="1"/>
    <col min="1301" max="1301" width="10.77734375" style="18" customWidth="1"/>
    <col min="1302" max="1302" width="10.21875" style="18" customWidth="1"/>
    <col min="1303" max="1534" width="9" style="18"/>
    <col min="1535" max="1535" width="4.6640625" style="18" customWidth="1"/>
    <col min="1536" max="1536" width="6.33203125" style="18" customWidth="1"/>
    <col min="1537" max="1537" width="7" style="18" customWidth="1"/>
    <col min="1538" max="1538" width="10.21875" style="18" customWidth="1"/>
    <col min="1539" max="1539" width="9.88671875" style="18" customWidth="1"/>
    <col min="1540" max="1540" width="11.6640625" style="18" customWidth="1"/>
    <col min="1541" max="1543" width="9" style="18"/>
    <col min="1544" max="1544" width="9.33203125" style="18" customWidth="1"/>
    <col min="1545" max="1545" width="11.21875" style="18" customWidth="1"/>
    <col min="1546" max="1547" width="9" style="18"/>
    <col min="1548" max="1548" width="10.109375" style="18" customWidth="1"/>
    <col min="1549" max="1552" width="9" style="18"/>
    <col min="1553" max="1553" width="9.77734375" style="18" customWidth="1"/>
    <col min="1554" max="1554" width="9" style="18"/>
    <col min="1555" max="1555" width="9.109375" style="18" customWidth="1"/>
    <col min="1556" max="1556" width="9.44140625" style="18" customWidth="1"/>
    <col min="1557" max="1557" width="10.77734375" style="18" customWidth="1"/>
    <col min="1558" max="1558" width="10.21875" style="18" customWidth="1"/>
    <col min="1559" max="1790" width="9" style="18"/>
    <col min="1791" max="1791" width="4.6640625" style="18" customWidth="1"/>
    <col min="1792" max="1792" width="6.33203125" style="18" customWidth="1"/>
    <col min="1793" max="1793" width="7" style="18" customWidth="1"/>
    <col min="1794" max="1794" width="10.21875" style="18" customWidth="1"/>
    <col min="1795" max="1795" width="9.88671875" style="18" customWidth="1"/>
    <col min="1796" max="1796" width="11.6640625" style="18" customWidth="1"/>
    <col min="1797" max="1799" width="9" style="18"/>
    <col min="1800" max="1800" width="9.33203125" style="18" customWidth="1"/>
    <col min="1801" max="1801" width="11.21875" style="18" customWidth="1"/>
    <col min="1802" max="1803" width="9" style="18"/>
    <col min="1804" max="1804" width="10.109375" style="18" customWidth="1"/>
    <col min="1805" max="1808" width="9" style="18"/>
    <col min="1809" max="1809" width="9.77734375" style="18" customWidth="1"/>
    <col min="1810" max="1810" width="9" style="18"/>
    <col min="1811" max="1811" width="9.109375" style="18" customWidth="1"/>
    <col min="1812" max="1812" width="9.44140625" style="18" customWidth="1"/>
    <col min="1813" max="1813" width="10.77734375" style="18" customWidth="1"/>
    <col min="1814" max="1814" width="10.21875" style="18" customWidth="1"/>
    <col min="1815" max="2046" width="9" style="18"/>
    <col min="2047" max="2047" width="4.6640625" style="18" customWidth="1"/>
    <col min="2048" max="2048" width="6.33203125" style="18" customWidth="1"/>
    <col min="2049" max="2049" width="7" style="18" customWidth="1"/>
    <col min="2050" max="2050" width="10.21875" style="18" customWidth="1"/>
    <col min="2051" max="2051" width="9.88671875" style="18" customWidth="1"/>
    <col min="2052" max="2052" width="11.6640625" style="18" customWidth="1"/>
    <col min="2053" max="2055" width="9" style="18"/>
    <col min="2056" max="2056" width="9.33203125" style="18" customWidth="1"/>
    <col min="2057" max="2057" width="11.21875" style="18" customWidth="1"/>
    <col min="2058" max="2059" width="9" style="18"/>
    <col min="2060" max="2060" width="10.109375" style="18" customWidth="1"/>
    <col min="2061" max="2064" width="9" style="18"/>
    <col min="2065" max="2065" width="9.77734375" style="18" customWidth="1"/>
    <col min="2066" max="2066" width="9" style="18"/>
    <col min="2067" max="2067" width="9.109375" style="18" customWidth="1"/>
    <col min="2068" max="2068" width="9.44140625" style="18" customWidth="1"/>
    <col min="2069" max="2069" width="10.77734375" style="18" customWidth="1"/>
    <col min="2070" max="2070" width="10.21875" style="18" customWidth="1"/>
    <col min="2071" max="2302" width="9" style="18"/>
    <col min="2303" max="2303" width="4.6640625" style="18" customWidth="1"/>
    <col min="2304" max="2304" width="6.33203125" style="18" customWidth="1"/>
    <col min="2305" max="2305" width="7" style="18" customWidth="1"/>
    <col min="2306" max="2306" width="10.21875" style="18" customWidth="1"/>
    <col min="2307" max="2307" width="9.88671875" style="18" customWidth="1"/>
    <col min="2308" max="2308" width="11.6640625" style="18" customWidth="1"/>
    <col min="2309" max="2311" width="9" style="18"/>
    <col min="2312" max="2312" width="9.33203125" style="18" customWidth="1"/>
    <col min="2313" max="2313" width="11.21875" style="18" customWidth="1"/>
    <col min="2314" max="2315" width="9" style="18"/>
    <col min="2316" max="2316" width="10.109375" style="18" customWidth="1"/>
    <col min="2317" max="2320" width="9" style="18"/>
    <col min="2321" max="2321" width="9.77734375" style="18" customWidth="1"/>
    <col min="2322" max="2322" width="9" style="18"/>
    <col min="2323" max="2323" width="9.109375" style="18" customWidth="1"/>
    <col min="2324" max="2324" width="9.44140625" style="18" customWidth="1"/>
    <col min="2325" max="2325" width="10.77734375" style="18" customWidth="1"/>
    <col min="2326" max="2326" width="10.21875" style="18" customWidth="1"/>
    <col min="2327" max="2558" width="9" style="18"/>
    <col min="2559" max="2559" width="4.6640625" style="18" customWidth="1"/>
    <col min="2560" max="2560" width="6.33203125" style="18" customWidth="1"/>
    <col min="2561" max="2561" width="7" style="18" customWidth="1"/>
    <col min="2562" max="2562" width="10.21875" style="18" customWidth="1"/>
    <col min="2563" max="2563" width="9.88671875" style="18" customWidth="1"/>
    <col min="2564" max="2564" width="11.6640625" style="18" customWidth="1"/>
    <col min="2565" max="2567" width="9" style="18"/>
    <col min="2568" max="2568" width="9.33203125" style="18" customWidth="1"/>
    <col min="2569" max="2569" width="11.21875" style="18" customWidth="1"/>
    <col min="2570" max="2571" width="9" style="18"/>
    <col min="2572" max="2572" width="10.109375" style="18" customWidth="1"/>
    <col min="2573" max="2576" width="9" style="18"/>
    <col min="2577" max="2577" width="9.77734375" style="18" customWidth="1"/>
    <col min="2578" max="2578" width="9" style="18"/>
    <col min="2579" max="2579" width="9.109375" style="18" customWidth="1"/>
    <col min="2580" max="2580" width="9.44140625" style="18" customWidth="1"/>
    <col min="2581" max="2581" width="10.77734375" style="18" customWidth="1"/>
    <col min="2582" max="2582" width="10.21875" style="18" customWidth="1"/>
    <col min="2583" max="2814" width="9" style="18"/>
    <col min="2815" max="2815" width="4.6640625" style="18" customWidth="1"/>
    <col min="2816" max="2816" width="6.33203125" style="18" customWidth="1"/>
    <col min="2817" max="2817" width="7" style="18" customWidth="1"/>
    <col min="2818" max="2818" width="10.21875" style="18" customWidth="1"/>
    <col min="2819" max="2819" width="9.88671875" style="18" customWidth="1"/>
    <col min="2820" max="2820" width="11.6640625" style="18" customWidth="1"/>
    <col min="2821" max="2823" width="9" style="18"/>
    <col min="2824" max="2824" width="9.33203125" style="18" customWidth="1"/>
    <col min="2825" max="2825" width="11.21875" style="18" customWidth="1"/>
    <col min="2826" max="2827" width="9" style="18"/>
    <col min="2828" max="2828" width="10.109375" style="18" customWidth="1"/>
    <col min="2829" max="2832" width="9" style="18"/>
    <col min="2833" max="2833" width="9.77734375" style="18" customWidth="1"/>
    <col min="2834" max="2834" width="9" style="18"/>
    <col min="2835" max="2835" width="9.109375" style="18" customWidth="1"/>
    <col min="2836" max="2836" width="9.44140625" style="18" customWidth="1"/>
    <col min="2837" max="2837" width="10.77734375" style="18" customWidth="1"/>
    <col min="2838" max="2838" width="10.21875" style="18" customWidth="1"/>
    <col min="2839" max="3070" width="9" style="18"/>
    <col min="3071" max="3071" width="4.6640625" style="18" customWidth="1"/>
    <col min="3072" max="3072" width="6.33203125" style="18" customWidth="1"/>
    <col min="3073" max="3073" width="7" style="18" customWidth="1"/>
    <col min="3074" max="3074" width="10.21875" style="18" customWidth="1"/>
    <col min="3075" max="3075" width="9.88671875" style="18" customWidth="1"/>
    <col min="3076" max="3076" width="11.6640625" style="18" customWidth="1"/>
    <col min="3077" max="3079" width="9" style="18"/>
    <col min="3080" max="3080" width="9.33203125" style="18" customWidth="1"/>
    <col min="3081" max="3081" width="11.21875" style="18" customWidth="1"/>
    <col min="3082" max="3083" width="9" style="18"/>
    <col min="3084" max="3084" width="10.109375" style="18" customWidth="1"/>
    <col min="3085" max="3088" width="9" style="18"/>
    <col min="3089" max="3089" width="9.77734375" style="18" customWidth="1"/>
    <col min="3090" max="3090" width="9" style="18"/>
    <col min="3091" max="3091" width="9.109375" style="18" customWidth="1"/>
    <col min="3092" max="3092" width="9.44140625" style="18" customWidth="1"/>
    <col min="3093" max="3093" width="10.77734375" style="18" customWidth="1"/>
    <col min="3094" max="3094" width="10.21875" style="18" customWidth="1"/>
    <col min="3095" max="3326" width="9" style="18"/>
    <col min="3327" max="3327" width="4.6640625" style="18" customWidth="1"/>
    <col min="3328" max="3328" width="6.33203125" style="18" customWidth="1"/>
    <col min="3329" max="3329" width="7" style="18" customWidth="1"/>
    <col min="3330" max="3330" width="10.21875" style="18" customWidth="1"/>
    <col min="3331" max="3331" width="9.88671875" style="18" customWidth="1"/>
    <col min="3332" max="3332" width="11.6640625" style="18" customWidth="1"/>
    <col min="3333" max="3335" width="9" style="18"/>
    <col min="3336" max="3336" width="9.33203125" style="18" customWidth="1"/>
    <col min="3337" max="3337" width="11.21875" style="18" customWidth="1"/>
    <col min="3338" max="3339" width="9" style="18"/>
    <col min="3340" max="3340" width="10.109375" style="18" customWidth="1"/>
    <col min="3341" max="3344" width="9" style="18"/>
    <col min="3345" max="3345" width="9.77734375" style="18" customWidth="1"/>
    <col min="3346" max="3346" width="9" style="18"/>
    <col min="3347" max="3347" width="9.109375" style="18" customWidth="1"/>
    <col min="3348" max="3348" width="9.44140625" style="18" customWidth="1"/>
    <col min="3349" max="3349" width="10.77734375" style="18" customWidth="1"/>
    <col min="3350" max="3350" width="10.21875" style="18" customWidth="1"/>
    <col min="3351" max="3582" width="9" style="18"/>
    <col min="3583" max="3583" width="4.6640625" style="18" customWidth="1"/>
    <col min="3584" max="3584" width="6.33203125" style="18" customWidth="1"/>
    <col min="3585" max="3585" width="7" style="18" customWidth="1"/>
    <col min="3586" max="3586" width="10.21875" style="18" customWidth="1"/>
    <col min="3587" max="3587" width="9.88671875" style="18" customWidth="1"/>
    <col min="3588" max="3588" width="11.6640625" style="18" customWidth="1"/>
    <col min="3589" max="3591" width="9" style="18"/>
    <col min="3592" max="3592" width="9.33203125" style="18" customWidth="1"/>
    <col min="3593" max="3593" width="11.21875" style="18" customWidth="1"/>
    <col min="3594" max="3595" width="9" style="18"/>
    <col min="3596" max="3596" width="10.109375" style="18" customWidth="1"/>
    <col min="3597" max="3600" width="9" style="18"/>
    <col min="3601" max="3601" width="9.77734375" style="18" customWidth="1"/>
    <col min="3602" max="3602" width="9" style="18"/>
    <col min="3603" max="3603" width="9.109375" style="18" customWidth="1"/>
    <col min="3604" max="3604" width="9.44140625" style="18" customWidth="1"/>
    <col min="3605" max="3605" width="10.77734375" style="18" customWidth="1"/>
    <col min="3606" max="3606" width="10.21875" style="18" customWidth="1"/>
    <col min="3607" max="3838" width="9" style="18"/>
    <col min="3839" max="3839" width="4.6640625" style="18" customWidth="1"/>
    <col min="3840" max="3840" width="6.33203125" style="18" customWidth="1"/>
    <col min="3841" max="3841" width="7" style="18" customWidth="1"/>
    <col min="3842" max="3842" width="10.21875" style="18" customWidth="1"/>
    <col min="3843" max="3843" width="9.88671875" style="18" customWidth="1"/>
    <col min="3844" max="3844" width="11.6640625" style="18" customWidth="1"/>
    <col min="3845" max="3847" width="9" style="18"/>
    <col min="3848" max="3848" width="9.33203125" style="18" customWidth="1"/>
    <col min="3849" max="3849" width="11.21875" style="18" customWidth="1"/>
    <col min="3850" max="3851" width="9" style="18"/>
    <col min="3852" max="3852" width="10.109375" style="18" customWidth="1"/>
    <col min="3853" max="3856" width="9" style="18"/>
    <col min="3857" max="3857" width="9.77734375" style="18" customWidth="1"/>
    <col min="3858" max="3858" width="9" style="18"/>
    <col min="3859" max="3859" width="9.109375" style="18" customWidth="1"/>
    <col min="3860" max="3860" width="9.44140625" style="18" customWidth="1"/>
    <col min="3861" max="3861" width="10.77734375" style="18" customWidth="1"/>
    <col min="3862" max="3862" width="10.21875" style="18" customWidth="1"/>
    <col min="3863" max="4094" width="9" style="18"/>
    <col min="4095" max="4095" width="4.6640625" style="18" customWidth="1"/>
    <col min="4096" max="4096" width="6.33203125" style="18" customWidth="1"/>
    <col min="4097" max="4097" width="7" style="18" customWidth="1"/>
    <col min="4098" max="4098" width="10.21875" style="18" customWidth="1"/>
    <col min="4099" max="4099" width="9.88671875" style="18" customWidth="1"/>
    <col min="4100" max="4100" width="11.6640625" style="18" customWidth="1"/>
    <col min="4101" max="4103" width="9" style="18"/>
    <col min="4104" max="4104" width="9.33203125" style="18" customWidth="1"/>
    <col min="4105" max="4105" width="11.21875" style="18" customWidth="1"/>
    <col min="4106" max="4107" width="9" style="18"/>
    <col min="4108" max="4108" width="10.109375" style="18" customWidth="1"/>
    <col min="4109" max="4112" width="9" style="18"/>
    <col min="4113" max="4113" width="9.77734375" style="18" customWidth="1"/>
    <col min="4114" max="4114" width="9" style="18"/>
    <col min="4115" max="4115" width="9.109375" style="18" customWidth="1"/>
    <col min="4116" max="4116" width="9.44140625" style="18" customWidth="1"/>
    <col min="4117" max="4117" width="10.77734375" style="18" customWidth="1"/>
    <col min="4118" max="4118" width="10.21875" style="18" customWidth="1"/>
    <col min="4119" max="4350" width="9" style="18"/>
    <col min="4351" max="4351" width="4.6640625" style="18" customWidth="1"/>
    <col min="4352" max="4352" width="6.33203125" style="18" customWidth="1"/>
    <col min="4353" max="4353" width="7" style="18" customWidth="1"/>
    <col min="4354" max="4354" width="10.21875" style="18" customWidth="1"/>
    <col min="4355" max="4355" width="9.88671875" style="18" customWidth="1"/>
    <col min="4356" max="4356" width="11.6640625" style="18" customWidth="1"/>
    <col min="4357" max="4359" width="9" style="18"/>
    <col min="4360" max="4360" width="9.33203125" style="18" customWidth="1"/>
    <col min="4361" max="4361" width="11.21875" style="18" customWidth="1"/>
    <col min="4362" max="4363" width="9" style="18"/>
    <col min="4364" max="4364" width="10.109375" style="18" customWidth="1"/>
    <col min="4365" max="4368" width="9" style="18"/>
    <col min="4369" max="4369" width="9.77734375" style="18" customWidth="1"/>
    <col min="4370" max="4370" width="9" style="18"/>
    <col min="4371" max="4371" width="9.109375" style="18" customWidth="1"/>
    <col min="4372" max="4372" width="9.44140625" style="18" customWidth="1"/>
    <col min="4373" max="4373" width="10.77734375" style="18" customWidth="1"/>
    <col min="4374" max="4374" width="10.21875" style="18" customWidth="1"/>
    <col min="4375" max="4606" width="9" style="18"/>
    <col min="4607" max="4607" width="4.6640625" style="18" customWidth="1"/>
    <col min="4608" max="4608" width="6.33203125" style="18" customWidth="1"/>
    <col min="4609" max="4609" width="7" style="18" customWidth="1"/>
    <col min="4610" max="4610" width="10.21875" style="18" customWidth="1"/>
    <col min="4611" max="4611" width="9.88671875" style="18" customWidth="1"/>
    <col min="4612" max="4612" width="11.6640625" style="18" customWidth="1"/>
    <col min="4613" max="4615" width="9" style="18"/>
    <col min="4616" max="4616" width="9.33203125" style="18" customWidth="1"/>
    <col min="4617" max="4617" width="11.21875" style="18" customWidth="1"/>
    <col min="4618" max="4619" width="9" style="18"/>
    <col min="4620" max="4620" width="10.109375" style="18" customWidth="1"/>
    <col min="4621" max="4624" width="9" style="18"/>
    <col min="4625" max="4625" width="9.77734375" style="18" customWidth="1"/>
    <col min="4626" max="4626" width="9" style="18"/>
    <col min="4627" max="4627" width="9.109375" style="18" customWidth="1"/>
    <col min="4628" max="4628" width="9.44140625" style="18" customWidth="1"/>
    <col min="4629" max="4629" width="10.77734375" style="18" customWidth="1"/>
    <col min="4630" max="4630" width="10.21875" style="18" customWidth="1"/>
    <col min="4631" max="4862" width="9" style="18"/>
    <col min="4863" max="4863" width="4.6640625" style="18" customWidth="1"/>
    <col min="4864" max="4864" width="6.33203125" style="18" customWidth="1"/>
    <col min="4865" max="4865" width="7" style="18" customWidth="1"/>
    <col min="4866" max="4866" width="10.21875" style="18" customWidth="1"/>
    <col min="4867" max="4867" width="9.88671875" style="18" customWidth="1"/>
    <col min="4868" max="4868" width="11.6640625" style="18" customWidth="1"/>
    <col min="4869" max="4871" width="9" style="18"/>
    <col min="4872" max="4872" width="9.33203125" style="18" customWidth="1"/>
    <col min="4873" max="4873" width="11.21875" style="18" customWidth="1"/>
    <col min="4874" max="4875" width="9" style="18"/>
    <col min="4876" max="4876" width="10.109375" style="18" customWidth="1"/>
    <col min="4877" max="4880" width="9" style="18"/>
    <col min="4881" max="4881" width="9.77734375" style="18" customWidth="1"/>
    <col min="4882" max="4882" width="9" style="18"/>
    <col min="4883" max="4883" width="9.109375" style="18" customWidth="1"/>
    <col min="4884" max="4884" width="9.44140625" style="18" customWidth="1"/>
    <col min="4885" max="4885" width="10.77734375" style="18" customWidth="1"/>
    <col min="4886" max="4886" width="10.21875" style="18" customWidth="1"/>
    <col min="4887" max="5118" width="9" style="18"/>
    <col min="5119" max="5119" width="4.6640625" style="18" customWidth="1"/>
    <col min="5120" max="5120" width="6.33203125" style="18" customWidth="1"/>
    <col min="5121" max="5121" width="7" style="18" customWidth="1"/>
    <col min="5122" max="5122" width="10.21875" style="18" customWidth="1"/>
    <col min="5123" max="5123" width="9.88671875" style="18" customWidth="1"/>
    <col min="5124" max="5124" width="11.6640625" style="18" customWidth="1"/>
    <col min="5125" max="5127" width="9" style="18"/>
    <col min="5128" max="5128" width="9.33203125" style="18" customWidth="1"/>
    <col min="5129" max="5129" width="11.21875" style="18" customWidth="1"/>
    <col min="5130" max="5131" width="9" style="18"/>
    <col min="5132" max="5132" width="10.109375" style="18" customWidth="1"/>
    <col min="5133" max="5136" width="9" style="18"/>
    <col min="5137" max="5137" width="9.77734375" style="18" customWidth="1"/>
    <col min="5138" max="5138" width="9" style="18"/>
    <col min="5139" max="5139" width="9.109375" style="18" customWidth="1"/>
    <col min="5140" max="5140" width="9.44140625" style="18" customWidth="1"/>
    <col min="5141" max="5141" width="10.77734375" style="18" customWidth="1"/>
    <col min="5142" max="5142" width="10.21875" style="18" customWidth="1"/>
    <col min="5143" max="5374" width="9" style="18"/>
    <col min="5375" max="5375" width="4.6640625" style="18" customWidth="1"/>
    <col min="5376" max="5376" width="6.33203125" style="18" customWidth="1"/>
    <col min="5377" max="5377" width="7" style="18" customWidth="1"/>
    <col min="5378" max="5378" width="10.21875" style="18" customWidth="1"/>
    <col min="5379" max="5379" width="9.88671875" style="18" customWidth="1"/>
    <col min="5380" max="5380" width="11.6640625" style="18" customWidth="1"/>
    <col min="5381" max="5383" width="9" style="18"/>
    <col min="5384" max="5384" width="9.33203125" style="18" customWidth="1"/>
    <col min="5385" max="5385" width="11.21875" style="18" customWidth="1"/>
    <col min="5386" max="5387" width="9" style="18"/>
    <col min="5388" max="5388" width="10.109375" style="18" customWidth="1"/>
    <col min="5389" max="5392" width="9" style="18"/>
    <col min="5393" max="5393" width="9.77734375" style="18" customWidth="1"/>
    <col min="5394" max="5394" width="9" style="18"/>
    <col min="5395" max="5395" width="9.109375" style="18" customWidth="1"/>
    <col min="5396" max="5396" width="9.44140625" style="18" customWidth="1"/>
    <col min="5397" max="5397" width="10.77734375" style="18" customWidth="1"/>
    <col min="5398" max="5398" width="10.21875" style="18" customWidth="1"/>
    <col min="5399" max="5630" width="9" style="18"/>
    <col min="5631" max="5631" width="4.6640625" style="18" customWidth="1"/>
    <col min="5632" max="5632" width="6.33203125" style="18" customWidth="1"/>
    <col min="5633" max="5633" width="7" style="18" customWidth="1"/>
    <col min="5634" max="5634" width="10.21875" style="18" customWidth="1"/>
    <col min="5635" max="5635" width="9.88671875" style="18" customWidth="1"/>
    <col min="5636" max="5636" width="11.6640625" style="18" customWidth="1"/>
    <col min="5637" max="5639" width="9" style="18"/>
    <col min="5640" max="5640" width="9.33203125" style="18" customWidth="1"/>
    <col min="5641" max="5641" width="11.21875" style="18" customWidth="1"/>
    <col min="5642" max="5643" width="9" style="18"/>
    <col min="5644" max="5644" width="10.109375" style="18" customWidth="1"/>
    <col min="5645" max="5648" width="9" style="18"/>
    <col min="5649" max="5649" width="9.77734375" style="18" customWidth="1"/>
    <col min="5650" max="5650" width="9" style="18"/>
    <col min="5651" max="5651" width="9.109375" style="18" customWidth="1"/>
    <col min="5652" max="5652" width="9.44140625" style="18" customWidth="1"/>
    <col min="5653" max="5653" width="10.77734375" style="18" customWidth="1"/>
    <col min="5654" max="5654" width="10.21875" style="18" customWidth="1"/>
    <col min="5655" max="5886" width="9" style="18"/>
    <col min="5887" max="5887" width="4.6640625" style="18" customWidth="1"/>
    <col min="5888" max="5888" width="6.33203125" style="18" customWidth="1"/>
    <col min="5889" max="5889" width="7" style="18" customWidth="1"/>
    <col min="5890" max="5890" width="10.21875" style="18" customWidth="1"/>
    <col min="5891" max="5891" width="9.88671875" style="18" customWidth="1"/>
    <col min="5892" max="5892" width="11.6640625" style="18" customWidth="1"/>
    <col min="5893" max="5895" width="9" style="18"/>
    <col min="5896" max="5896" width="9.33203125" style="18" customWidth="1"/>
    <col min="5897" max="5897" width="11.21875" style="18" customWidth="1"/>
    <col min="5898" max="5899" width="9" style="18"/>
    <col min="5900" max="5900" width="10.109375" style="18" customWidth="1"/>
    <col min="5901" max="5904" width="9" style="18"/>
    <col min="5905" max="5905" width="9.77734375" style="18" customWidth="1"/>
    <col min="5906" max="5906" width="9" style="18"/>
    <col min="5907" max="5907" width="9.109375" style="18" customWidth="1"/>
    <col min="5908" max="5908" width="9.44140625" style="18" customWidth="1"/>
    <col min="5909" max="5909" width="10.77734375" style="18" customWidth="1"/>
    <col min="5910" max="5910" width="10.21875" style="18" customWidth="1"/>
    <col min="5911" max="6142" width="9" style="18"/>
    <col min="6143" max="6143" width="4.6640625" style="18" customWidth="1"/>
    <col min="6144" max="6144" width="6.33203125" style="18" customWidth="1"/>
    <col min="6145" max="6145" width="7" style="18" customWidth="1"/>
    <col min="6146" max="6146" width="10.21875" style="18" customWidth="1"/>
    <col min="6147" max="6147" width="9.88671875" style="18" customWidth="1"/>
    <col min="6148" max="6148" width="11.6640625" style="18" customWidth="1"/>
    <col min="6149" max="6151" width="9" style="18"/>
    <col min="6152" max="6152" width="9.33203125" style="18" customWidth="1"/>
    <col min="6153" max="6153" width="11.21875" style="18" customWidth="1"/>
    <col min="6154" max="6155" width="9" style="18"/>
    <col min="6156" max="6156" width="10.109375" style="18" customWidth="1"/>
    <col min="6157" max="6160" width="9" style="18"/>
    <col min="6161" max="6161" width="9.77734375" style="18" customWidth="1"/>
    <col min="6162" max="6162" width="9" style="18"/>
    <col min="6163" max="6163" width="9.109375" style="18" customWidth="1"/>
    <col min="6164" max="6164" width="9.44140625" style="18" customWidth="1"/>
    <col min="6165" max="6165" width="10.77734375" style="18" customWidth="1"/>
    <col min="6166" max="6166" width="10.21875" style="18" customWidth="1"/>
    <col min="6167" max="6398" width="9" style="18"/>
    <col min="6399" max="6399" width="4.6640625" style="18" customWidth="1"/>
    <col min="6400" max="6400" width="6.33203125" style="18" customWidth="1"/>
    <col min="6401" max="6401" width="7" style="18" customWidth="1"/>
    <col min="6402" max="6402" width="10.21875" style="18" customWidth="1"/>
    <col min="6403" max="6403" width="9.88671875" style="18" customWidth="1"/>
    <col min="6404" max="6404" width="11.6640625" style="18" customWidth="1"/>
    <col min="6405" max="6407" width="9" style="18"/>
    <col min="6408" max="6408" width="9.33203125" style="18" customWidth="1"/>
    <col min="6409" max="6409" width="11.21875" style="18" customWidth="1"/>
    <col min="6410" max="6411" width="9" style="18"/>
    <col min="6412" max="6412" width="10.109375" style="18" customWidth="1"/>
    <col min="6413" max="6416" width="9" style="18"/>
    <col min="6417" max="6417" width="9.77734375" style="18" customWidth="1"/>
    <col min="6418" max="6418" width="9" style="18"/>
    <col min="6419" max="6419" width="9.109375" style="18" customWidth="1"/>
    <col min="6420" max="6420" width="9.44140625" style="18" customWidth="1"/>
    <col min="6421" max="6421" width="10.77734375" style="18" customWidth="1"/>
    <col min="6422" max="6422" width="10.21875" style="18" customWidth="1"/>
    <col min="6423" max="6654" width="9" style="18"/>
    <col min="6655" max="6655" width="4.6640625" style="18" customWidth="1"/>
    <col min="6656" max="6656" width="6.33203125" style="18" customWidth="1"/>
    <col min="6657" max="6657" width="7" style="18" customWidth="1"/>
    <col min="6658" max="6658" width="10.21875" style="18" customWidth="1"/>
    <col min="6659" max="6659" width="9.88671875" style="18" customWidth="1"/>
    <col min="6660" max="6660" width="11.6640625" style="18" customWidth="1"/>
    <col min="6661" max="6663" width="9" style="18"/>
    <col min="6664" max="6664" width="9.33203125" style="18" customWidth="1"/>
    <col min="6665" max="6665" width="11.21875" style="18" customWidth="1"/>
    <col min="6666" max="6667" width="9" style="18"/>
    <col min="6668" max="6668" width="10.109375" style="18" customWidth="1"/>
    <col min="6669" max="6672" width="9" style="18"/>
    <col min="6673" max="6673" width="9.77734375" style="18" customWidth="1"/>
    <col min="6674" max="6674" width="9" style="18"/>
    <col min="6675" max="6675" width="9.109375" style="18" customWidth="1"/>
    <col min="6676" max="6676" width="9.44140625" style="18" customWidth="1"/>
    <col min="6677" max="6677" width="10.77734375" style="18" customWidth="1"/>
    <col min="6678" max="6678" width="10.21875" style="18" customWidth="1"/>
    <col min="6679" max="6910" width="9" style="18"/>
    <col min="6911" max="6911" width="4.6640625" style="18" customWidth="1"/>
    <col min="6912" max="6912" width="6.33203125" style="18" customWidth="1"/>
    <col min="6913" max="6913" width="7" style="18" customWidth="1"/>
    <col min="6914" max="6914" width="10.21875" style="18" customWidth="1"/>
    <col min="6915" max="6915" width="9.88671875" style="18" customWidth="1"/>
    <col min="6916" max="6916" width="11.6640625" style="18" customWidth="1"/>
    <col min="6917" max="6919" width="9" style="18"/>
    <col min="6920" max="6920" width="9.33203125" style="18" customWidth="1"/>
    <col min="6921" max="6921" width="11.21875" style="18" customWidth="1"/>
    <col min="6922" max="6923" width="9" style="18"/>
    <col min="6924" max="6924" width="10.109375" style="18" customWidth="1"/>
    <col min="6925" max="6928" width="9" style="18"/>
    <col min="6929" max="6929" width="9.77734375" style="18" customWidth="1"/>
    <col min="6930" max="6930" width="9" style="18"/>
    <col min="6931" max="6931" width="9.109375" style="18" customWidth="1"/>
    <col min="6932" max="6932" width="9.44140625" style="18" customWidth="1"/>
    <col min="6933" max="6933" width="10.77734375" style="18" customWidth="1"/>
    <col min="6934" max="6934" width="10.21875" style="18" customWidth="1"/>
    <col min="6935" max="7166" width="9" style="18"/>
    <col min="7167" max="7167" width="4.6640625" style="18" customWidth="1"/>
    <col min="7168" max="7168" width="6.33203125" style="18" customWidth="1"/>
    <col min="7169" max="7169" width="7" style="18" customWidth="1"/>
    <col min="7170" max="7170" width="10.21875" style="18" customWidth="1"/>
    <col min="7171" max="7171" width="9.88671875" style="18" customWidth="1"/>
    <col min="7172" max="7172" width="11.6640625" style="18" customWidth="1"/>
    <col min="7173" max="7175" width="9" style="18"/>
    <col min="7176" max="7176" width="9.33203125" style="18" customWidth="1"/>
    <col min="7177" max="7177" width="11.21875" style="18" customWidth="1"/>
    <col min="7178" max="7179" width="9" style="18"/>
    <col min="7180" max="7180" width="10.109375" style="18" customWidth="1"/>
    <col min="7181" max="7184" width="9" style="18"/>
    <col min="7185" max="7185" width="9.77734375" style="18" customWidth="1"/>
    <col min="7186" max="7186" width="9" style="18"/>
    <col min="7187" max="7187" width="9.109375" style="18" customWidth="1"/>
    <col min="7188" max="7188" width="9.44140625" style="18" customWidth="1"/>
    <col min="7189" max="7189" width="10.77734375" style="18" customWidth="1"/>
    <col min="7190" max="7190" width="10.21875" style="18" customWidth="1"/>
    <col min="7191" max="7422" width="9" style="18"/>
    <col min="7423" max="7423" width="4.6640625" style="18" customWidth="1"/>
    <col min="7424" max="7424" width="6.33203125" style="18" customWidth="1"/>
    <col min="7425" max="7425" width="7" style="18" customWidth="1"/>
    <col min="7426" max="7426" width="10.21875" style="18" customWidth="1"/>
    <col min="7427" max="7427" width="9.88671875" style="18" customWidth="1"/>
    <col min="7428" max="7428" width="11.6640625" style="18" customWidth="1"/>
    <col min="7429" max="7431" width="9" style="18"/>
    <col min="7432" max="7432" width="9.33203125" style="18" customWidth="1"/>
    <col min="7433" max="7433" width="11.21875" style="18" customWidth="1"/>
    <col min="7434" max="7435" width="9" style="18"/>
    <col min="7436" max="7436" width="10.109375" style="18" customWidth="1"/>
    <col min="7437" max="7440" width="9" style="18"/>
    <col min="7441" max="7441" width="9.77734375" style="18" customWidth="1"/>
    <col min="7442" max="7442" width="9" style="18"/>
    <col min="7443" max="7443" width="9.109375" style="18" customWidth="1"/>
    <col min="7444" max="7444" width="9.44140625" style="18" customWidth="1"/>
    <col min="7445" max="7445" width="10.77734375" style="18" customWidth="1"/>
    <col min="7446" max="7446" width="10.21875" style="18" customWidth="1"/>
    <col min="7447" max="7678" width="9" style="18"/>
    <col min="7679" max="7679" width="4.6640625" style="18" customWidth="1"/>
    <col min="7680" max="7680" width="6.33203125" style="18" customWidth="1"/>
    <col min="7681" max="7681" width="7" style="18" customWidth="1"/>
    <col min="7682" max="7682" width="10.21875" style="18" customWidth="1"/>
    <col min="7683" max="7683" width="9.88671875" style="18" customWidth="1"/>
    <col min="7684" max="7684" width="11.6640625" style="18" customWidth="1"/>
    <col min="7685" max="7687" width="9" style="18"/>
    <col min="7688" max="7688" width="9.33203125" style="18" customWidth="1"/>
    <col min="7689" max="7689" width="11.21875" style="18" customWidth="1"/>
    <col min="7690" max="7691" width="9" style="18"/>
    <col min="7692" max="7692" width="10.109375" style="18" customWidth="1"/>
    <col min="7693" max="7696" width="9" style="18"/>
    <col min="7697" max="7697" width="9.77734375" style="18" customWidth="1"/>
    <col min="7698" max="7698" width="9" style="18"/>
    <col min="7699" max="7699" width="9.109375" style="18" customWidth="1"/>
    <col min="7700" max="7700" width="9.44140625" style="18" customWidth="1"/>
    <col min="7701" max="7701" width="10.77734375" style="18" customWidth="1"/>
    <col min="7702" max="7702" width="10.21875" style="18" customWidth="1"/>
    <col min="7703" max="7934" width="9" style="18"/>
    <col min="7935" max="7935" width="4.6640625" style="18" customWidth="1"/>
    <col min="7936" max="7936" width="6.33203125" style="18" customWidth="1"/>
    <col min="7937" max="7937" width="7" style="18" customWidth="1"/>
    <col min="7938" max="7938" width="10.21875" style="18" customWidth="1"/>
    <col min="7939" max="7939" width="9.88671875" style="18" customWidth="1"/>
    <col min="7940" max="7940" width="11.6640625" style="18" customWidth="1"/>
    <col min="7941" max="7943" width="9" style="18"/>
    <col min="7944" max="7944" width="9.33203125" style="18" customWidth="1"/>
    <col min="7945" max="7945" width="11.21875" style="18" customWidth="1"/>
    <col min="7946" max="7947" width="9" style="18"/>
    <col min="7948" max="7948" width="10.109375" style="18" customWidth="1"/>
    <col min="7949" max="7952" width="9" style="18"/>
    <col min="7953" max="7953" width="9.77734375" style="18" customWidth="1"/>
    <col min="7954" max="7954" width="9" style="18"/>
    <col min="7955" max="7955" width="9.109375" style="18" customWidth="1"/>
    <col min="7956" max="7956" width="9.44140625" style="18" customWidth="1"/>
    <col min="7957" max="7957" width="10.77734375" style="18" customWidth="1"/>
    <col min="7958" max="7958" width="10.21875" style="18" customWidth="1"/>
    <col min="7959" max="8190" width="9" style="18"/>
    <col min="8191" max="8191" width="4.6640625" style="18" customWidth="1"/>
    <col min="8192" max="8192" width="6.33203125" style="18" customWidth="1"/>
    <col min="8193" max="8193" width="7" style="18" customWidth="1"/>
    <col min="8194" max="8194" width="10.21875" style="18" customWidth="1"/>
    <col min="8195" max="8195" width="9.88671875" style="18" customWidth="1"/>
    <col min="8196" max="8196" width="11.6640625" style="18" customWidth="1"/>
    <col min="8197" max="8199" width="9" style="18"/>
    <col min="8200" max="8200" width="9.33203125" style="18" customWidth="1"/>
    <col min="8201" max="8201" width="11.21875" style="18" customWidth="1"/>
    <col min="8202" max="8203" width="9" style="18"/>
    <col min="8204" max="8204" width="10.109375" style="18" customWidth="1"/>
    <col min="8205" max="8208" width="9" style="18"/>
    <col min="8209" max="8209" width="9.77734375" style="18" customWidth="1"/>
    <col min="8210" max="8210" width="9" style="18"/>
    <col min="8211" max="8211" width="9.109375" style="18" customWidth="1"/>
    <col min="8212" max="8212" width="9.44140625" style="18" customWidth="1"/>
    <col min="8213" max="8213" width="10.77734375" style="18" customWidth="1"/>
    <col min="8214" max="8214" width="10.21875" style="18" customWidth="1"/>
    <col min="8215" max="8446" width="9" style="18"/>
    <col min="8447" max="8447" width="4.6640625" style="18" customWidth="1"/>
    <col min="8448" max="8448" width="6.33203125" style="18" customWidth="1"/>
    <col min="8449" max="8449" width="7" style="18" customWidth="1"/>
    <col min="8450" max="8450" width="10.21875" style="18" customWidth="1"/>
    <col min="8451" max="8451" width="9.88671875" style="18" customWidth="1"/>
    <col min="8452" max="8452" width="11.6640625" style="18" customWidth="1"/>
    <col min="8453" max="8455" width="9" style="18"/>
    <col min="8456" max="8456" width="9.33203125" style="18" customWidth="1"/>
    <col min="8457" max="8457" width="11.21875" style="18" customWidth="1"/>
    <col min="8458" max="8459" width="9" style="18"/>
    <col min="8460" max="8460" width="10.109375" style="18" customWidth="1"/>
    <col min="8461" max="8464" width="9" style="18"/>
    <col min="8465" max="8465" width="9.77734375" style="18" customWidth="1"/>
    <col min="8466" max="8466" width="9" style="18"/>
    <col min="8467" max="8467" width="9.109375" style="18" customWidth="1"/>
    <col min="8468" max="8468" width="9.44140625" style="18" customWidth="1"/>
    <col min="8469" max="8469" width="10.77734375" style="18" customWidth="1"/>
    <col min="8470" max="8470" width="10.21875" style="18" customWidth="1"/>
    <col min="8471" max="8702" width="9" style="18"/>
    <col min="8703" max="8703" width="4.6640625" style="18" customWidth="1"/>
    <col min="8704" max="8704" width="6.33203125" style="18" customWidth="1"/>
    <col min="8705" max="8705" width="7" style="18" customWidth="1"/>
    <col min="8706" max="8706" width="10.21875" style="18" customWidth="1"/>
    <col min="8707" max="8707" width="9.88671875" style="18" customWidth="1"/>
    <col min="8708" max="8708" width="11.6640625" style="18" customWidth="1"/>
    <col min="8709" max="8711" width="9" style="18"/>
    <col min="8712" max="8712" width="9.33203125" style="18" customWidth="1"/>
    <col min="8713" max="8713" width="11.21875" style="18" customWidth="1"/>
    <col min="8714" max="8715" width="9" style="18"/>
    <col min="8716" max="8716" width="10.109375" style="18" customWidth="1"/>
    <col min="8717" max="8720" width="9" style="18"/>
    <col min="8721" max="8721" width="9.77734375" style="18" customWidth="1"/>
    <col min="8722" max="8722" width="9" style="18"/>
    <col min="8723" max="8723" width="9.109375" style="18" customWidth="1"/>
    <col min="8724" max="8724" width="9.44140625" style="18" customWidth="1"/>
    <col min="8725" max="8725" width="10.77734375" style="18" customWidth="1"/>
    <col min="8726" max="8726" width="10.21875" style="18" customWidth="1"/>
    <col min="8727" max="8958" width="9" style="18"/>
    <col min="8959" max="8959" width="4.6640625" style="18" customWidth="1"/>
    <col min="8960" max="8960" width="6.33203125" style="18" customWidth="1"/>
    <col min="8961" max="8961" width="7" style="18" customWidth="1"/>
    <col min="8962" max="8962" width="10.21875" style="18" customWidth="1"/>
    <col min="8963" max="8963" width="9.88671875" style="18" customWidth="1"/>
    <col min="8964" max="8964" width="11.6640625" style="18" customWidth="1"/>
    <col min="8965" max="8967" width="9" style="18"/>
    <col min="8968" max="8968" width="9.33203125" style="18" customWidth="1"/>
    <col min="8969" max="8969" width="11.21875" style="18" customWidth="1"/>
    <col min="8970" max="8971" width="9" style="18"/>
    <col min="8972" max="8972" width="10.109375" style="18" customWidth="1"/>
    <col min="8973" max="8976" width="9" style="18"/>
    <col min="8977" max="8977" width="9.77734375" style="18" customWidth="1"/>
    <col min="8978" max="8978" width="9" style="18"/>
    <col min="8979" max="8979" width="9.109375" style="18" customWidth="1"/>
    <col min="8980" max="8980" width="9.44140625" style="18" customWidth="1"/>
    <col min="8981" max="8981" width="10.77734375" style="18" customWidth="1"/>
    <col min="8982" max="8982" width="10.21875" style="18" customWidth="1"/>
    <col min="8983" max="9214" width="9" style="18"/>
    <col min="9215" max="9215" width="4.6640625" style="18" customWidth="1"/>
    <col min="9216" max="9216" width="6.33203125" style="18" customWidth="1"/>
    <col min="9217" max="9217" width="7" style="18" customWidth="1"/>
    <col min="9218" max="9218" width="10.21875" style="18" customWidth="1"/>
    <col min="9219" max="9219" width="9.88671875" style="18" customWidth="1"/>
    <col min="9220" max="9220" width="11.6640625" style="18" customWidth="1"/>
    <col min="9221" max="9223" width="9" style="18"/>
    <col min="9224" max="9224" width="9.33203125" style="18" customWidth="1"/>
    <col min="9225" max="9225" width="11.21875" style="18" customWidth="1"/>
    <col min="9226" max="9227" width="9" style="18"/>
    <col min="9228" max="9228" width="10.109375" style="18" customWidth="1"/>
    <col min="9229" max="9232" width="9" style="18"/>
    <col min="9233" max="9233" width="9.77734375" style="18" customWidth="1"/>
    <col min="9234" max="9234" width="9" style="18"/>
    <col min="9235" max="9235" width="9.109375" style="18" customWidth="1"/>
    <col min="9236" max="9236" width="9.44140625" style="18" customWidth="1"/>
    <col min="9237" max="9237" width="10.77734375" style="18" customWidth="1"/>
    <col min="9238" max="9238" width="10.21875" style="18" customWidth="1"/>
    <col min="9239" max="9470" width="9" style="18"/>
    <col min="9471" max="9471" width="4.6640625" style="18" customWidth="1"/>
    <col min="9472" max="9472" width="6.33203125" style="18" customWidth="1"/>
    <col min="9473" max="9473" width="7" style="18" customWidth="1"/>
    <col min="9474" max="9474" width="10.21875" style="18" customWidth="1"/>
    <col min="9475" max="9475" width="9.88671875" style="18" customWidth="1"/>
    <col min="9476" max="9476" width="11.6640625" style="18" customWidth="1"/>
    <col min="9477" max="9479" width="9" style="18"/>
    <col min="9480" max="9480" width="9.33203125" style="18" customWidth="1"/>
    <col min="9481" max="9481" width="11.21875" style="18" customWidth="1"/>
    <col min="9482" max="9483" width="9" style="18"/>
    <col min="9484" max="9484" width="10.109375" style="18" customWidth="1"/>
    <col min="9485" max="9488" width="9" style="18"/>
    <col min="9489" max="9489" width="9.77734375" style="18" customWidth="1"/>
    <col min="9490" max="9490" width="9" style="18"/>
    <col min="9491" max="9491" width="9.109375" style="18" customWidth="1"/>
    <col min="9492" max="9492" width="9.44140625" style="18" customWidth="1"/>
    <col min="9493" max="9493" width="10.77734375" style="18" customWidth="1"/>
    <col min="9494" max="9494" width="10.21875" style="18" customWidth="1"/>
    <col min="9495" max="9726" width="9" style="18"/>
    <col min="9727" max="9727" width="4.6640625" style="18" customWidth="1"/>
    <col min="9728" max="9728" width="6.33203125" style="18" customWidth="1"/>
    <col min="9729" max="9729" width="7" style="18" customWidth="1"/>
    <col min="9730" max="9730" width="10.21875" style="18" customWidth="1"/>
    <col min="9731" max="9731" width="9.88671875" style="18" customWidth="1"/>
    <col min="9732" max="9732" width="11.6640625" style="18" customWidth="1"/>
    <col min="9733" max="9735" width="9" style="18"/>
    <col min="9736" max="9736" width="9.33203125" style="18" customWidth="1"/>
    <col min="9737" max="9737" width="11.21875" style="18" customWidth="1"/>
    <col min="9738" max="9739" width="9" style="18"/>
    <col min="9740" max="9740" width="10.109375" style="18" customWidth="1"/>
    <col min="9741" max="9744" width="9" style="18"/>
    <col min="9745" max="9745" width="9.77734375" style="18" customWidth="1"/>
    <col min="9746" max="9746" width="9" style="18"/>
    <col min="9747" max="9747" width="9.109375" style="18" customWidth="1"/>
    <col min="9748" max="9748" width="9.44140625" style="18" customWidth="1"/>
    <col min="9749" max="9749" width="10.77734375" style="18" customWidth="1"/>
    <col min="9750" max="9750" width="10.21875" style="18" customWidth="1"/>
    <col min="9751" max="9982" width="9" style="18"/>
    <col min="9983" max="9983" width="4.6640625" style="18" customWidth="1"/>
    <col min="9984" max="9984" width="6.33203125" style="18" customWidth="1"/>
    <col min="9985" max="9985" width="7" style="18" customWidth="1"/>
    <col min="9986" max="9986" width="10.21875" style="18" customWidth="1"/>
    <col min="9987" max="9987" width="9.88671875" style="18" customWidth="1"/>
    <col min="9988" max="9988" width="11.6640625" style="18" customWidth="1"/>
    <col min="9989" max="9991" width="9" style="18"/>
    <col min="9992" max="9992" width="9.33203125" style="18" customWidth="1"/>
    <col min="9993" max="9993" width="11.21875" style="18" customWidth="1"/>
    <col min="9994" max="9995" width="9" style="18"/>
    <col min="9996" max="9996" width="10.109375" style="18" customWidth="1"/>
    <col min="9997" max="10000" width="9" style="18"/>
    <col min="10001" max="10001" width="9.77734375" style="18" customWidth="1"/>
    <col min="10002" max="10002" width="9" style="18"/>
    <col min="10003" max="10003" width="9.109375" style="18" customWidth="1"/>
    <col min="10004" max="10004" width="9.44140625" style="18" customWidth="1"/>
    <col min="10005" max="10005" width="10.77734375" style="18" customWidth="1"/>
    <col min="10006" max="10006" width="10.21875" style="18" customWidth="1"/>
    <col min="10007" max="10238" width="9" style="18"/>
    <col min="10239" max="10239" width="4.6640625" style="18" customWidth="1"/>
    <col min="10240" max="10240" width="6.33203125" style="18" customWidth="1"/>
    <col min="10241" max="10241" width="7" style="18" customWidth="1"/>
    <col min="10242" max="10242" width="10.21875" style="18" customWidth="1"/>
    <col min="10243" max="10243" width="9.88671875" style="18" customWidth="1"/>
    <col min="10244" max="10244" width="11.6640625" style="18" customWidth="1"/>
    <col min="10245" max="10247" width="9" style="18"/>
    <col min="10248" max="10248" width="9.33203125" style="18" customWidth="1"/>
    <col min="10249" max="10249" width="11.21875" style="18" customWidth="1"/>
    <col min="10250" max="10251" width="9" style="18"/>
    <col min="10252" max="10252" width="10.109375" style="18" customWidth="1"/>
    <col min="10253" max="10256" width="9" style="18"/>
    <col min="10257" max="10257" width="9.77734375" style="18" customWidth="1"/>
    <col min="10258" max="10258" width="9" style="18"/>
    <col min="10259" max="10259" width="9.109375" style="18" customWidth="1"/>
    <col min="10260" max="10260" width="9.44140625" style="18" customWidth="1"/>
    <col min="10261" max="10261" width="10.77734375" style="18" customWidth="1"/>
    <col min="10262" max="10262" width="10.21875" style="18" customWidth="1"/>
    <col min="10263" max="10494" width="9" style="18"/>
    <col min="10495" max="10495" width="4.6640625" style="18" customWidth="1"/>
    <col min="10496" max="10496" width="6.33203125" style="18" customWidth="1"/>
    <col min="10497" max="10497" width="7" style="18" customWidth="1"/>
    <col min="10498" max="10498" width="10.21875" style="18" customWidth="1"/>
    <col min="10499" max="10499" width="9.88671875" style="18" customWidth="1"/>
    <col min="10500" max="10500" width="11.6640625" style="18" customWidth="1"/>
    <col min="10501" max="10503" width="9" style="18"/>
    <col min="10504" max="10504" width="9.33203125" style="18" customWidth="1"/>
    <col min="10505" max="10505" width="11.21875" style="18" customWidth="1"/>
    <col min="10506" max="10507" width="9" style="18"/>
    <col min="10508" max="10508" width="10.109375" style="18" customWidth="1"/>
    <col min="10509" max="10512" width="9" style="18"/>
    <col min="10513" max="10513" width="9.77734375" style="18" customWidth="1"/>
    <col min="10514" max="10514" width="9" style="18"/>
    <col min="10515" max="10515" width="9.109375" style="18" customWidth="1"/>
    <col min="10516" max="10516" width="9.44140625" style="18" customWidth="1"/>
    <col min="10517" max="10517" width="10.77734375" style="18" customWidth="1"/>
    <col min="10518" max="10518" width="10.21875" style="18" customWidth="1"/>
    <col min="10519" max="10750" width="9" style="18"/>
    <col min="10751" max="10751" width="4.6640625" style="18" customWidth="1"/>
    <col min="10752" max="10752" width="6.33203125" style="18" customWidth="1"/>
    <col min="10753" max="10753" width="7" style="18" customWidth="1"/>
    <col min="10754" max="10754" width="10.21875" style="18" customWidth="1"/>
    <col min="10755" max="10755" width="9.88671875" style="18" customWidth="1"/>
    <col min="10756" max="10756" width="11.6640625" style="18" customWidth="1"/>
    <col min="10757" max="10759" width="9" style="18"/>
    <col min="10760" max="10760" width="9.33203125" style="18" customWidth="1"/>
    <col min="10761" max="10761" width="11.21875" style="18" customWidth="1"/>
    <col min="10762" max="10763" width="9" style="18"/>
    <col min="10764" max="10764" width="10.109375" style="18" customWidth="1"/>
    <col min="10765" max="10768" width="9" style="18"/>
    <col min="10769" max="10769" width="9.77734375" style="18" customWidth="1"/>
    <col min="10770" max="10770" width="9" style="18"/>
    <col min="10771" max="10771" width="9.109375" style="18" customWidth="1"/>
    <col min="10772" max="10772" width="9.44140625" style="18" customWidth="1"/>
    <col min="10773" max="10773" width="10.77734375" style="18" customWidth="1"/>
    <col min="10774" max="10774" width="10.21875" style="18" customWidth="1"/>
    <col min="10775" max="11006" width="9" style="18"/>
    <col min="11007" max="11007" width="4.6640625" style="18" customWidth="1"/>
    <col min="11008" max="11008" width="6.33203125" style="18" customWidth="1"/>
    <col min="11009" max="11009" width="7" style="18" customWidth="1"/>
    <col min="11010" max="11010" width="10.21875" style="18" customWidth="1"/>
    <col min="11011" max="11011" width="9.88671875" style="18" customWidth="1"/>
    <col min="11012" max="11012" width="11.6640625" style="18" customWidth="1"/>
    <col min="11013" max="11015" width="9" style="18"/>
    <col min="11016" max="11016" width="9.33203125" style="18" customWidth="1"/>
    <col min="11017" max="11017" width="11.21875" style="18" customWidth="1"/>
    <col min="11018" max="11019" width="9" style="18"/>
    <col min="11020" max="11020" width="10.109375" style="18" customWidth="1"/>
    <col min="11021" max="11024" width="9" style="18"/>
    <col min="11025" max="11025" width="9.77734375" style="18" customWidth="1"/>
    <col min="11026" max="11026" width="9" style="18"/>
    <col min="11027" max="11027" width="9.109375" style="18" customWidth="1"/>
    <col min="11028" max="11028" width="9.44140625" style="18" customWidth="1"/>
    <col min="11029" max="11029" width="10.77734375" style="18" customWidth="1"/>
    <col min="11030" max="11030" width="10.21875" style="18" customWidth="1"/>
    <col min="11031" max="11262" width="9" style="18"/>
    <col min="11263" max="11263" width="4.6640625" style="18" customWidth="1"/>
    <col min="11264" max="11264" width="6.33203125" style="18" customWidth="1"/>
    <col min="11265" max="11265" width="7" style="18" customWidth="1"/>
    <col min="11266" max="11266" width="10.21875" style="18" customWidth="1"/>
    <col min="11267" max="11267" width="9.88671875" style="18" customWidth="1"/>
    <col min="11268" max="11268" width="11.6640625" style="18" customWidth="1"/>
    <col min="11269" max="11271" width="9" style="18"/>
    <col min="11272" max="11272" width="9.33203125" style="18" customWidth="1"/>
    <col min="11273" max="11273" width="11.21875" style="18" customWidth="1"/>
    <col min="11274" max="11275" width="9" style="18"/>
    <col min="11276" max="11276" width="10.109375" style="18" customWidth="1"/>
    <col min="11277" max="11280" width="9" style="18"/>
    <col min="11281" max="11281" width="9.77734375" style="18" customWidth="1"/>
    <col min="11282" max="11282" width="9" style="18"/>
    <col min="11283" max="11283" width="9.109375" style="18" customWidth="1"/>
    <col min="11284" max="11284" width="9.44140625" style="18" customWidth="1"/>
    <col min="11285" max="11285" width="10.77734375" style="18" customWidth="1"/>
    <col min="11286" max="11286" width="10.21875" style="18" customWidth="1"/>
    <col min="11287" max="11518" width="9" style="18"/>
    <col min="11519" max="11519" width="4.6640625" style="18" customWidth="1"/>
    <col min="11520" max="11520" width="6.33203125" style="18" customWidth="1"/>
    <col min="11521" max="11521" width="7" style="18" customWidth="1"/>
    <col min="11522" max="11522" width="10.21875" style="18" customWidth="1"/>
    <col min="11523" max="11523" width="9.88671875" style="18" customWidth="1"/>
    <col min="11524" max="11524" width="11.6640625" style="18" customWidth="1"/>
    <col min="11525" max="11527" width="9" style="18"/>
    <col min="11528" max="11528" width="9.33203125" style="18" customWidth="1"/>
    <col min="11529" max="11529" width="11.21875" style="18" customWidth="1"/>
    <col min="11530" max="11531" width="9" style="18"/>
    <col min="11532" max="11532" width="10.109375" style="18" customWidth="1"/>
    <col min="11533" max="11536" width="9" style="18"/>
    <col min="11537" max="11537" width="9.77734375" style="18" customWidth="1"/>
    <col min="11538" max="11538" width="9" style="18"/>
    <col min="11539" max="11539" width="9.109375" style="18" customWidth="1"/>
    <col min="11540" max="11540" width="9.44140625" style="18" customWidth="1"/>
    <col min="11541" max="11541" width="10.77734375" style="18" customWidth="1"/>
    <col min="11542" max="11542" width="10.21875" style="18" customWidth="1"/>
    <col min="11543" max="11774" width="9" style="18"/>
    <col min="11775" max="11775" width="4.6640625" style="18" customWidth="1"/>
    <col min="11776" max="11776" width="6.33203125" style="18" customWidth="1"/>
    <col min="11777" max="11777" width="7" style="18" customWidth="1"/>
    <col min="11778" max="11778" width="10.21875" style="18" customWidth="1"/>
    <col min="11779" max="11779" width="9.88671875" style="18" customWidth="1"/>
    <col min="11780" max="11780" width="11.6640625" style="18" customWidth="1"/>
    <col min="11781" max="11783" width="9" style="18"/>
    <col min="11784" max="11784" width="9.33203125" style="18" customWidth="1"/>
    <col min="11785" max="11785" width="11.21875" style="18" customWidth="1"/>
    <col min="11786" max="11787" width="9" style="18"/>
    <col min="11788" max="11788" width="10.109375" style="18" customWidth="1"/>
    <col min="11789" max="11792" width="9" style="18"/>
    <col min="11793" max="11793" width="9.77734375" style="18" customWidth="1"/>
    <col min="11794" max="11794" width="9" style="18"/>
    <col min="11795" max="11795" width="9.109375" style="18" customWidth="1"/>
    <col min="11796" max="11796" width="9.44140625" style="18" customWidth="1"/>
    <col min="11797" max="11797" width="10.77734375" style="18" customWidth="1"/>
    <col min="11798" max="11798" width="10.21875" style="18" customWidth="1"/>
    <col min="11799" max="12030" width="9" style="18"/>
    <col min="12031" max="12031" width="4.6640625" style="18" customWidth="1"/>
    <col min="12032" max="12032" width="6.33203125" style="18" customWidth="1"/>
    <col min="12033" max="12033" width="7" style="18" customWidth="1"/>
    <col min="12034" max="12034" width="10.21875" style="18" customWidth="1"/>
    <col min="12035" max="12035" width="9.88671875" style="18" customWidth="1"/>
    <col min="12036" max="12036" width="11.6640625" style="18" customWidth="1"/>
    <col min="12037" max="12039" width="9" style="18"/>
    <col min="12040" max="12040" width="9.33203125" style="18" customWidth="1"/>
    <col min="12041" max="12041" width="11.21875" style="18" customWidth="1"/>
    <col min="12042" max="12043" width="9" style="18"/>
    <col min="12044" max="12044" width="10.109375" style="18" customWidth="1"/>
    <col min="12045" max="12048" width="9" style="18"/>
    <col min="12049" max="12049" width="9.77734375" style="18" customWidth="1"/>
    <col min="12050" max="12050" width="9" style="18"/>
    <col min="12051" max="12051" width="9.109375" style="18" customWidth="1"/>
    <col min="12052" max="12052" width="9.44140625" style="18" customWidth="1"/>
    <col min="12053" max="12053" width="10.77734375" style="18" customWidth="1"/>
    <col min="12054" max="12054" width="10.21875" style="18" customWidth="1"/>
    <col min="12055" max="12286" width="9" style="18"/>
    <col min="12287" max="12287" width="4.6640625" style="18" customWidth="1"/>
    <col min="12288" max="12288" width="6.33203125" style="18" customWidth="1"/>
    <col min="12289" max="12289" width="7" style="18" customWidth="1"/>
    <col min="12290" max="12290" width="10.21875" style="18" customWidth="1"/>
    <col min="12291" max="12291" width="9.88671875" style="18" customWidth="1"/>
    <col min="12292" max="12292" width="11.6640625" style="18" customWidth="1"/>
    <col min="12293" max="12295" width="9" style="18"/>
    <col min="12296" max="12296" width="9.33203125" style="18" customWidth="1"/>
    <col min="12297" max="12297" width="11.21875" style="18" customWidth="1"/>
    <col min="12298" max="12299" width="9" style="18"/>
    <col min="12300" max="12300" width="10.109375" style="18" customWidth="1"/>
    <col min="12301" max="12304" width="9" style="18"/>
    <col min="12305" max="12305" width="9.77734375" style="18" customWidth="1"/>
    <col min="12306" max="12306" width="9" style="18"/>
    <col min="12307" max="12307" width="9.109375" style="18" customWidth="1"/>
    <col min="12308" max="12308" width="9.44140625" style="18" customWidth="1"/>
    <col min="12309" max="12309" width="10.77734375" style="18" customWidth="1"/>
    <col min="12310" max="12310" width="10.21875" style="18" customWidth="1"/>
    <col min="12311" max="12542" width="9" style="18"/>
    <col min="12543" max="12543" width="4.6640625" style="18" customWidth="1"/>
    <col min="12544" max="12544" width="6.33203125" style="18" customWidth="1"/>
    <col min="12545" max="12545" width="7" style="18" customWidth="1"/>
    <col min="12546" max="12546" width="10.21875" style="18" customWidth="1"/>
    <col min="12547" max="12547" width="9.88671875" style="18" customWidth="1"/>
    <col min="12548" max="12548" width="11.6640625" style="18" customWidth="1"/>
    <col min="12549" max="12551" width="9" style="18"/>
    <col min="12552" max="12552" width="9.33203125" style="18" customWidth="1"/>
    <col min="12553" max="12553" width="11.21875" style="18" customWidth="1"/>
    <col min="12554" max="12555" width="9" style="18"/>
    <col min="12556" max="12556" width="10.109375" style="18" customWidth="1"/>
    <col min="12557" max="12560" width="9" style="18"/>
    <col min="12561" max="12561" width="9.77734375" style="18" customWidth="1"/>
    <col min="12562" max="12562" width="9" style="18"/>
    <col min="12563" max="12563" width="9.109375" style="18" customWidth="1"/>
    <col min="12564" max="12564" width="9.44140625" style="18" customWidth="1"/>
    <col min="12565" max="12565" width="10.77734375" style="18" customWidth="1"/>
    <col min="12566" max="12566" width="10.21875" style="18" customWidth="1"/>
    <col min="12567" max="12798" width="9" style="18"/>
    <col min="12799" max="12799" width="4.6640625" style="18" customWidth="1"/>
    <col min="12800" max="12800" width="6.33203125" style="18" customWidth="1"/>
    <col min="12801" max="12801" width="7" style="18" customWidth="1"/>
    <col min="12802" max="12802" width="10.21875" style="18" customWidth="1"/>
    <col min="12803" max="12803" width="9.88671875" style="18" customWidth="1"/>
    <col min="12804" max="12804" width="11.6640625" style="18" customWidth="1"/>
    <col min="12805" max="12807" width="9" style="18"/>
    <col min="12808" max="12808" width="9.33203125" style="18" customWidth="1"/>
    <col min="12809" max="12809" width="11.21875" style="18" customWidth="1"/>
    <col min="12810" max="12811" width="9" style="18"/>
    <col min="12812" max="12812" width="10.109375" style="18" customWidth="1"/>
    <col min="12813" max="12816" width="9" style="18"/>
    <col min="12817" max="12817" width="9.77734375" style="18" customWidth="1"/>
    <col min="12818" max="12818" width="9" style="18"/>
    <col min="12819" max="12819" width="9.109375" style="18" customWidth="1"/>
    <col min="12820" max="12820" width="9.44140625" style="18" customWidth="1"/>
    <col min="12821" max="12821" width="10.77734375" style="18" customWidth="1"/>
    <col min="12822" max="12822" width="10.21875" style="18" customWidth="1"/>
    <col min="12823" max="13054" width="9" style="18"/>
    <col min="13055" max="13055" width="4.6640625" style="18" customWidth="1"/>
    <col min="13056" max="13056" width="6.33203125" style="18" customWidth="1"/>
    <col min="13057" max="13057" width="7" style="18" customWidth="1"/>
    <col min="13058" max="13058" width="10.21875" style="18" customWidth="1"/>
    <col min="13059" max="13059" width="9.88671875" style="18" customWidth="1"/>
    <col min="13060" max="13060" width="11.6640625" style="18" customWidth="1"/>
    <col min="13061" max="13063" width="9" style="18"/>
    <col min="13064" max="13064" width="9.33203125" style="18" customWidth="1"/>
    <col min="13065" max="13065" width="11.21875" style="18" customWidth="1"/>
    <col min="13066" max="13067" width="9" style="18"/>
    <col min="13068" max="13068" width="10.109375" style="18" customWidth="1"/>
    <col min="13069" max="13072" width="9" style="18"/>
    <col min="13073" max="13073" width="9.77734375" style="18" customWidth="1"/>
    <col min="13074" max="13074" width="9" style="18"/>
    <col min="13075" max="13075" width="9.109375" style="18" customWidth="1"/>
    <col min="13076" max="13076" width="9.44140625" style="18" customWidth="1"/>
    <col min="13077" max="13077" width="10.77734375" style="18" customWidth="1"/>
    <col min="13078" max="13078" width="10.21875" style="18" customWidth="1"/>
    <col min="13079" max="13310" width="9" style="18"/>
    <col min="13311" max="13311" width="4.6640625" style="18" customWidth="1"/>
    <col min="13312" max="13312" width="6.33203125" style="18" customWidth="1"/>
    <col min="13313" max="13313" width="7" style="18" customWidth="1"/>
    <col min="13314" max="13314" width="10.21875" style="18" customWidth="1"/>
    <col min="13315" max="13315" width="9.88671875" style="18" customWidth="1"/>
    <col min="13316" max="13316" width="11.6640625" style="18" customWidth="1"/>
    <col min="13317" max="13319" width="9" style="18"/>
    <col min="13320" max="13320" width="9.33203125" style="18" customWidth="1"/>
    <col min="13321" max="13321" width="11.21875" style="18" customWidth="1"/>
    <col min="13322" max="13323" width="9" style="18"/>
    <col min="13324" max="13324" width="10.109375" style="18" customWidth="1"/>
    <col min="13325" max="13328" width="9" style="18"/>
    <col min="13329" max="13329" width="9.77734375" style="18" customWidth="1"/>
    <col min="13330" max="13330" width="9" style="18"/>
    <col min="13331" max="13331" width="9.109375" style="18" customWidth="1"/>
    <col min="13332" max="13332" width="9.44140625" style="18" customWidth="1"/>
    <col min="13333" max="13333" width="10.77734375" style="18" customWidth="1"/>
    <col min="13334" max="13334" width="10.21875" style="18" customWidth="1"/>
    <col min="13335" max="13566" width="9" style="18"/>
    <col min="13567" max="13567" width="4.6640625" style="18" customWidth="1"/>
    <col min="13568" max="13568" width="6.33203125" style="18" customWidth="1"/>
    <col min="13569" max="13569" width="7" style="18" customWidth="1"/>
    <col min="13570" max="13570" width="10.21875" style="18" customWidth="1"/>
    <col min="13571" max="13571" width="9.88671875" style="18" customWidth="1"/>
    <col min="13572" max="13572" width="11.6640625" style="18" customWidth="1"/>
    <col min="13573" max="13575" width="9" style="18"/>
    <col min="13576" max="13576" width="9.33203125" style="18" customWidth="1"/>
    <col min="13577" max="13577" width="11.21875" style="18" customWidth="1"/>
    <col min="13578" max="13579" width="9" style="18"/>
    <col min="13580" max="13580" width="10.109375" style="18" customWidth="1"/>
    <col min="13581" max="13584" width="9" style="18"/>
    <col min="13585" max="13585" width="9.77734375" style="18" customWidth="1"/>
    <col min="13586" max="13586" width="9" style="18"/>
    <col min="13587" max="13587" width="9.109375" style="18" customWidth="1"/>
    <col min="13588" max="13588" width="9.44140625" style="18" customWidth="1"/>
    <col min="13589" max="13589" width="10.77734375" style="18" customWidth="1"/>
    <col min="13590" max="13590" width="10.21875" style="18" customWidth="1"/>
    <col min="13591" max="13822" width="9" style="18"/>
    <col min="13823" max="13823" width="4.6640625" style="18" customWidth="1"/>
    <col min="13824" max="13824" width="6.33203125" style="18" customWidth="1"/>
    <col min="13825" max="13825" width="7" style="18" customWidth="1"/>
    <col min="13826" max="13826" width="10.21875" style="18" customWidth="1"/>
    <col min="13827" max="13827" width="9.88671875" style="18" customWidth="1"/>
    <col min="13828" max="13828" width="11.6640625" style="18" customWidth="1"/>
    <col min="13829" max="13831" width="9" style="18"/>
    <col min="13832" max="13832" width="9.33203125" style="18" customWidth="1"/>
    <col min="13833" max="13833" width="11.21875" style="18" customWidth="1"/>
    <col min="13834" max="13835" width="9" style="18"/>
    <col min="13836" max="13836" width="10.109375" style="18" customWidth="1"/>
    <col min="13837" max="13840" width="9" style="18"/>
    <col min="13841" max="13841" width="9.77734375" style="18" customWidth="1"/>
    <col min="13842" max="13842" width="9" style="18"/>
    <col min="13843" max="13843" width="9.109375" style="18" customWidth="1"/>
    <col min="13844" max="13844" width="9.44140625" style="18" customWidth="1"/>
    <col min="13845" max="13845" width="10.77734375" style="18" customWidth="1"/>
    <col min="13846" max="13846" width="10.21875" style="18" customWidth="1"/>
    <col min="13847" max="14078" width="9" style="18"/>
    <col min="14079" max="14079" width="4.6640625" style="18" customWidth="1"/>
    <col min="14080" max="14080" width="6.33203125" style="18" customWidth="1"/>
    <col min="14081" max="14081" width="7" style="18" customWidth="1"/>
    <col min="14082" max="14082" width="10.21875" style="18" customWidth="1"/>
    <col min="14083" max="14083" width="9.88671875" style="18" customWidth="1"/>
    <col min="14084" max="14084" width="11.6640625" style="18" customWidth="1"/>
    <col min="14085" max="14087" width="9" style="18"/>
    <col min="14088" max="14088" width="9.33203125" style="18" customWidth="1"/>
    <col min="14089" max="14089" width="11.21875" style="18" customWidth="1"/>
    <col min="14090" max="14091" width="9" style="18"/>
    <col min="14092" max="14092" width="10.109375" style="18" customWidth="1"/>
    <col min="14093" max="14096" width="9" style="18"/>
    <col min="14097" max="14097" width="9.77734375" style="18" customWidth="1"/>
    <col min="14098" max="14098" width="9" style="18"/>
    <col min="14099" max="14099" width="9.109375" style="18" customWidth="1"/>
    <col min="14100" max="14100" width="9.44140625" style="18" customWidth="1"/>
    <col min="14101" max="14101" width="10.77734375" style="18" customWidth="1"/>
    <col min="14102" max="14102" width="10.21875" style="18" customWidth="1"/>
    <col min="14103" max="14334" width="9" style="18"/>
    <col min="14335" max="14335" width="4.6640625" style="18" customWidth="1"/>
    <col min="14336" max="14336" width="6.33203125" style="18" customWidth="1"/>
    <col min="14337" max="14337" width="7" style="18" customWidth="1"/>
    <col min="14338" max="14338" width="10.21875" style="18" customWidth="1"/>
    <col min="14339" max="14339" width="9.88671875" style="18" customWidth="1"/>
    <col min="14340" max="14340" width="11.6640625" style="18" customWidth="1"/>
    <col min="14341" max="14343" width="9" style="18"/>
    <col min="14344" max="14344" width="9.33203125" style="18" customWidth="1"/>
    <col min="14345" max="14345" width="11.21875" style="18" customWidth="1"/>
    <col min="14346" max="14347" width="9" style="18"/>
    <col min="14348" max="14348" width="10.109375" style="18" customWidth="1"/>
    <col min="14349" max="14352" width="9" style="18"/>
    <col min="14353" max="14353" width="9.77734375" style="18" customWidth="1"/>
    <col min="14354" max="14354" width="9" style="18"/>
    <col min="14355" max="14355" width="9.109375" style="18" customWidth="1"/>
    <col min="14356" max="14356" width="9.44140625" style="18" customWidth="1"/>
    <col min="14357" max="14357" width="10.77734375" style="18" customWidth="1"/>
    <col min="14358" max="14358" width="10.21875" style="18" customWidth="1"/>
    <col min="14359" max="14590" width="9" style="18"/>
    <col min="14591" max="14591" width="4.6640625" style="18" customWidth="1"/>
    <col min="14592" max="14592" width="6.33203125" style="18" customWidth="1"/>
    <col min="14593" max="14593" width="7" style="18" customWidth="1"/>
    <col min="14594" max="14594" width="10.21875" style="18" customWidth="1"/>
    <col min="14595" max="14595" width="9.88671875" style="18" customWidth="1"/>
    <col min="14596" max="14596" width="11.6640625" style="18" customWidth="1"/>
    <col min="14597" max="14599" width="9" style="18"/>
    <col min="14600" max="14600" width="9.33203125" style="18" customWidth="1"/>
    <col min="14601" max="14601" width="11.21875" style="18" customWidth="1"/>
    <col min="14602" max="14603" width="9" style="18"/>
    <col min="14604" max="14604" width="10.109375" style="18" customWidth="1"/>
    <col min="14605" max="14608" width="9" style="18"/>
    <col min="14609" max="14609" width="9.77734375" style="18" customWidth="1"/>
    <col min="14610" max="14610" width="9" style="18"/>
    <col min="14611" max="14611" width="9.109375" style="18" customWidth="1"/>
    <col min="14612" max="14612" width="9.44140625" style="18" customWidth="1"/>
    <col min="14613" max="14613" width="10.77734375" style="18" customWidth="1"/>
    <col min="14614" max="14614" width="10.21875" style="18" customWidth="1"/>
    <col min="14615" max="14846" width="9" style="18"/>
    <col min="14847" max="14847" width="4.6640625" style="18" customWidth="1"/>
    <col min="14848" max="14848" width="6.33203125" style="18" customWidth="1"/>
    <col min="14849" max="14849" width="7" style="18" customWidth="1"/>
    <col min="14850" max="14850" width="10.21875" style="18" customWidth="1"/>
    <col min="14851" max="14851" width="9.88671875" style="18" customWidth="1"/>
    <col min="14852" max="14852" width="11.6640625" style="18" customWidth="1"/>
    <col min="14853" max="14855" width="9" style="18"/>
    <col min="14856" max="14856" width="9.33203125" style="18" customWidth="1"/>
    <col min="14857" max="14857" width="11.21875" style="18" customWidth="1"/>
    <col min="14858" max="14859" width="9" style="18"/>
    <col min="14860" max="14860" width="10.109375" style="18" customWidth="1"/>
    <col min="14861" max="14864" width="9" style="18"/>
    <col min="14865" max="14865" width="9.77734375" style="18" customWidth="1"/>
    <col min="14866" max="14866" width="9" style="18"/>
    <col min="14867" max="14867" width="9.109375" style="18" customWidth="1"/>
    <col min="14868" max="14868" width="9.44140625" style="18" customWidth="1"/>
    <col min="14869" max="14869" width="10.77734375" style="18" customWidth="1"/>
    <col min="14870" max="14870" width="10.21875" style="18" customWidth="1"/>
    <col min="14871" max="15102" width="9" style="18"/>
    <col min="15103" max="15103" width="4.6640625" style="18" customWidth="1"/>
    <col min="15104" max="15104" width="6.33203125" style="18" customWidth="1"/>
    <col min="15105" max="15105" width="7" style="18" customWidth="1"/>
    <col min="15106" max="15106" width="10.21875" style="18" customWidth="1"/>
    <col min="15107" max="15107" width="9.88671875" style="18" customWidth="1"/>
    <col min="15108" max="15108" width="11.6640625" style="18" customWidth="1"/>
    <col min="15109" max="15111" width="9" style="18"/>
    <col min="15112" max="15112" width="9.33203125" style="18" customWidth="1"/>
    <col min="15113" max="15113" width="11.21875" style="18" customWidth="1"/>
    <col min="15114" max="15115" width="9" style="18"/>
    <col min="15116" max="15116" width="10.109375" style="18" customWidth="1"/>
    <col min="15117" max="15120" width="9" style="18"/>
    <col min="15121" max="15121" width="9.77734375" style="18" customWidth="1"/>
    <col min="15122" max="15122" width="9" style="18"/>
    <col min="15123" max="15123" width="9.109375" style="18" customWidth="1"/>
    <col min="15124" max="15124" width="9.44140625" style="18" customWidth="1"/>
    <col min="15125" max="15125" width="10.77734375" style="18" customWidth="1"/>
    <col min="15126" max="15126" width="10.21875" style="18" customWidth="1"/>
    <col min="15127" max="15358" width="9" style="18"/>
    <col min="15359" max="15359" width="4.6640625" style="18" customWidth="1"/>
    <col min="15360" max="15360" width="6.33203125" style="18" customWidth="1"/>
    <col min="15361" max="15361" width="7" style="18" customWidth="1"/>
    <col min="15362" max="15362" width="10.21875" style="18" customWidth="1"/>
    <col min="15363" max="15363" width="9.88671875" style="18" customWidth="1"/>
    <col min="15364" max="15364" width="11.6640625" style="18" customWidth="1"/>
    <col min="15365" max="15367" width="9" style="18"/>
    <col min="15368" max="15368" width="9.33203125" style="18" customWidth="1"/>
    <col min="15369" max="15369" width="11.21875" style="18" customWidth="1"/>
    <col min="15370" max="15371" width="9" style="18"/>
    <col min="15372" max="15372" width="10.109375" style="18" customWidth="1"/>
    <col min="15373" max="15376" width="9" style="18"/>
    <col min="15377" max="15377" width="9.77734375" style="18" customWidth="1"/>
    <col min="15378" max="15378" width="9" style="18"/>
    <col min="15379" max="15379" width="9.109375" style="18" customWidth="1"/>
    <col min="15380" max="15380" width="9.44140625" style="18" customWidth="1"/>
    <col min="15381" max="15381" width="10.77734375" style="18" customWidth="1"/>
    <col min="15382" max="15382" width="10.21875" style="18" customWidth="1"/>
    <col min="15383" max="15614" width="9" style="18"/>
    <col min="15615" max="15615" width="4.6640625" style="18" customWidth="1"/>
    <col min="15616" max="15616" width="6.33203125" style="18" customWidth="1"/>
    <col min="15617" max="15617" width="7" style="18" customWidth="1"/>
    <col min="15618" max="15618" width="10.21875" style="18" customWidth="1"/>
    <col min="15619" max="15619" width="9.88671875" style="18" customWidth="1"/>
    <col min="15620" max="15620" width="11.6640625" style="18" customWidth="1"/>
    <col min="15621" max="15623" width="9" style="18"/>
    <col min="15624" max="15624" width="9.33203125" style="18" customWidth="1"/>
    <col min="15625" max="15625" width="11.21875" style="18" customWidth="1"/>
    <col min="15626" max="15627" width="9" style="18"/>
    <col min="15628" max="15628" width="10.109375" style="18" customWidth="1"/>
    <col min="15629" max="15632" width="9" style="18"/>
    <col min="15633" max="15633" width="9.77734375" style="18" customWidth="1"/>
    <col min="15634" max="15634" width="9" style="18"/>
    <col min="15635" max="15635" width="9.109375" style="18" customWidth="1"/>
    <col min="15636" max="15636" width="9.44140625" style="18" customWidth="1"/>
    <col min="15637" max="15637" width="10.77734375" style="18" customWidth="1"/>
    <col min="15638" max="15638" width="10.21875" style="18" customWidth="1"/>
    <col min="15639" max="15870" width="9" style="18"/>
    <col min="15871" max="15871" width="4.6640625" style="18" customWidth="1"/>
    <col min="15872" max="15872" width="6.33203125" style="18" customWidth="1"/>
    <col min="15873" max="15873" width="7" style="18" customWidth="1"/>
    <col min="15874" max="15874" width="10.21875" style="18" customWidth="1"/>
    <col min="15875" max="15875" width="9.88671875" style="18" customWidth="1"/>
    <col min="15876" max="15876" width="11.6640625" style="18" customWidth="1"/>
    <col min="15877" max="15879" width="9" style="18"/>
    <col min="15880" max="15880" width="9.33203125" style="18" customWidth="1"/>
    <col min="15881" max="15881" width="11.21875" style="18" customWidth="1"/>
    <col min="15882" max="15883" width="9" style="18"/>
    <col min="15884" max="15884" width="10.109375" style="18" customWidth="1"/>
    <col min="15885" max="15888" width="9" style="18"/>
    <col min="15889" max="15889" width="9.77734375" style="18" customWidth="1"/>
    <col min="15890" max="15890" width="9" style="18"/>
    <col min="15891" max="15891" width="9.109375" style="18" customWidth="1"/>
    <col min="15892" max="15892" width="9.44140625" style="18" customWidth="1"/>
    <col min="15893" max="15893" width="10.77734375" style="18" customWidth="1"/>
    <col min="15894" max="15894" width="10.21875" style="18" customWidth="1"/>
    <col min="15895" max="16126" width="9" style="18"/>
    <col min="16127" max="16127" width="4.6640625" style="18" customWidth="1"/>
    <col min="16128" max="16128" width="6.33203125" style="18" customWidth="1"/>
    <col min="16129" max="16129" width="7" style="18" customWidth="1"/>
    <col min="16130" max="16130" width="10.21875" style="18" customWidth="1"/>
    <col min="16131" max="16131" width="9.88671875" style="18" customWidth="1"/>
    <col min="16132" max="16132" width="11.6640625" style="18" customWidth="1"/>
    <col min="16133" max="16135" width="9" style="18"/>
    <col min="16136" max="16136" width="9.33203125" style="18" customWidth="1"/>
    <col min="16137" max="16137" width="11.21875" style="18" customWidth="1"/>
    <col min="16138" max="16139" width="9" style="18"/>
    <col min="16140" max="16140" width="10.109375" style="18" customWidth="1"/>
    <col min="16141" max="16144" width="9" style="18"/>
    <col min="16145" max="16145" width="9.77734375" style="18" customWidth="1"/>
    <col min="16146" max="16146" width="9" style="18"/>
    <col min="16147" max="16147" width="9.109375" style="18" customWidth="1"/>
    <col min="16148" max="16148" width="9.44140625" style="18" customWidth="1"/>
    <col min="16149" max="16149" width="10.77734375" style="18" customWidth="1"/>
    <col min="16150" max="16150" width="10.21875" style="18" customWidth="1"/>
    <col min="16151" max="16384" width="9" style="18"/>
  </cols>
  <sheetData>
    <row r="2" spans="2:41" ht="14.25" customHeight="1">
      <c r="B2" s="696" t="s">
        <v>765</v>
      </c>
      <c r="C2" s="696"/>
      <c r="D2" s="696"/>
      <c r="E2" s="696"/>
      <c r="F2" s="696"/>
      <c r="G2" s="696"/>
      <c r="H2" s="696"/>
      <c r="I2" s="696"/>
      <c r="J2" s="696"/>
      <c r="K2" s="696"/>
      <c r="L2" s="696"/>
      <c r="O2" s="31" t="e">
        <f>(J13+K17)/(J7+K7)*100</f>
        <v>#DIV/0!</v>
      </c>
    </row>
    <row r="3" spans="2:41"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O3" s="31">
        <f>(J14+K18)/(J8+K8)*100</f>
        <v>96.725985057824175</v>
      </c>
    </row>
    <row r="4" spans="2:41">
      <c r="B4" s="19"/>
      <c r="C4" s="693"/>
      <c r="D4" s="693"/>
      <c r="E4" s="694"/>
      <c r="F4" s="694"/>
      <c r="G4" s="694"/>
      <c r="H4" s="694"/>
      <c r="I4" s="694"/>
      <c r="J4" s="675">
        <f>基础数据!A2</f>
        <v>45836</v>
      </c>
      <c r="K4" s="675"/>
      <c r="L4" s="26"/>
      <c r="O4" s="31">
        <f>(J15+K19)/(J9+K9)*100</f>
        <v>97.922147110926488</v>
      </c>
    </row>
    <row r="5" spans="2:41" ht="20.100000000000001" customHeight="1">
      <c r="B5" s="679" t="s">
        <v>42</v>
      </c>
      <c r="C5" s="679" t="s">
        <v>43</v>
      </c>
      <c r="D5" s="679" t="s">
        <v>44</v>
      </c>
      <c r="E5" s="679" t="s">
        <v>45</v>
      </c>
      <c r="F5" s="680" t="s">
        <v>50</v>
      </c>
      <c r="G5" s="680" t="s">
        <v>85</v>
      </c>
      <c r="H5" s="680"/>
      <c r="I5" s="680"/>
      <c r="J5" s="680" t="s">
        <v>76</v>
      </c>
      <c r="K5" s="680"/>
      <c r="L5" s="680"/>
      <c r="M5" s="695" t="s">
        <v>0</v>
      </c>
      <c r="N5" s="695" t="s">
        <v>0</v>
      </c>
      <c r="O5" s="31">
        <f>(J16+K20)/(J10+K10)*100</f>
        <v>97.348539988275135</v>
      </c>
    </row>
    <row r="6" spans="2:41" ht="20.100000000000001" customHeight="1">
      <c r="B6" s="679"/>
      <c r="C6" s="679"/>
      <c r="D6" s="679"/>
      <c r="E6" s="679"/>
      <c r="F6" s="680"/>
      <c r="G6" s="20" t="s">
        <v>6</v>
      </c>
      <c r="H6" s="20" t="s">
        <v>7</v>
      </c>
      <c r="I6" s="20" t="s">
        <v>51</v>
      </c>
      <c r="J6" s="20" t="s">
        <v>53</v>
      </c>
      <c r="K6" s="20" t="s">
        <v>54</v>
      </c>
      <c r="L6" s="20" t="s">
        <v>55</v>
      </c>
      <c r="M6" s="695"/>
      <c r="N6" s="695"/>
    </row>
    <row r="7" spans="2:41" ht="20.100000000000001" customHeight="1">
      <c r="B7" s="679" t="s">
        <v>10</v>
      </c>
      <c r="C7" s="21" t="s">
        <v>86</v>
      </c>
      <c r="D7" s="23" t="str">
        <f>IF(ISERROR((D32*F32+'1车间表1'!D7*'1车间表1'!H7)/'1车间表3'!F7),"0.00",(D32*F32+'1车间表1'!D7*'1车间表1'!H7)/'1车间表3'!F7)</f>
        <v>0.00</v>
      </c>
      <c r="E7" s="23">
        <f>E32+'1车间表1'!E7</f>
        <v>0</v>
      </c>
      <c r="F7" s="23">
        <f>F32+'1车间表1'!H7</f>
        <v>0</v>
      </c>
      <c r="G7" s="23" t="str">
        <f>IF(ISERROR(J7/F7*100),"0.00",J7/F7*100)</f>
        <v>0.00</v>
      </c>
      <c r="H7" s="23">
        <v>0.77369580849783004</v>
      </c>
      <c r="I7" s="27" t="str">
        <f>IF(ISERROR(L7/F7*1000),"0.00",L7/F7*1000)</f>
        <v>0.00</v>
      </c>
      <c r="J7" s="28">
        <f>J32+'1车间表1'!M7</f>
        <v>0</v>
      </c>
      <c r="K7" s="28"/>
      <c r="L7" s="32">
        <f>L32+'1车间表1'!O7</f>
        <v>0</v>
      </c>
      <c r="N7" s="31" t="str">
        <f>D7</f>
        <v>0.00</v>
      </c>
      <c r="O7" s="31" t="e">
        <f>F7/E7</f>
        <v>#DIV/0!</v>
      </c>
      <c r="P7" s="31" t="e">
        <f>#REF!</f>
        <v>#REF!</v>
      </c>
      <c r="Q7" s="31" t="str">
        <f t="shared" ref="Q7:S10" si="0">G7</f>
        <v>0.00</v>
      </c>
      <c r="R7" s="31">
        <f t="shared" si="0"/>
        <v>0.77369580849783004</v>
      </c>
      <c r="S7" s="31" t="str">
        <f t="shared" si="0"/>
        <v>0.00</v>
      </c>
      <c r="T7" s="31" t="e">
        <f>#REF!</f>
        <v>#REF!</v>
      </c>
      <c r="U7" s="31" t="e">
        <f>#REF!</f>
        <v>#REF!</v>
      </c>
      <c r="V7" s="31" t="e">
        <f>#REF!</f>
        <v>#REF!</v>
      </c>
      <c r="W7" s="34" t="e">
        <f>#REF!</f>
        <v>#REF!</v>
      </c>
      <c r="X7" s="31" t="e">
        <f>#REF!</f>
        <v>#REF!</v>
      </c>
      <c r="Y7" s="31" t="str">
        <f t="shared" ref="Y7:AA10" si="1">G13</f>
        <v>0.00</v>
      </c>
      <c r="Z7" s="31">
        <f t="shared" si="1"/>
        <v>0</v>
      </c>
      <c r="AA7" s="34" t="str">
        <f t="shared" si="1"/>
        <v>0.00</v>
      </c>
      <c r="AB7" s="31" t="e">
        <f>#REF!</f>
        <v>#REF!</v>
      </c>
      <c r="AC7" s="31">
        <f t="shared" ref="AC7:AE10" si="2">G17</f>
        <v>0</v>
      </c>
      <c r="AD7" s="31">
        <f t="shared" si="2"/>
        <v>0</v>
      </c>
      <c r="AE7" s="34">
        <f t="shared" si="2"/>
        <v>0</v>
      </c>
      <c r="AF7" s="31" t="e">
        <f>#REF!</f>
        <v>#REF!</v>
      </c>
      <c r="AG7" s="31" t="str">
        <f t="shared" ref="AG7:AI10" si="3">G21</f>
        <v>0.00</v>
      </c>
      <c r="AH7" s="31">
        <f t="shared" si="3"/>
        <v>0</v>
      </c>
      <c r="AI7" s="34" t="str">
        <f t="shared" si="3"/>
        <v>0.00</v>
      </c>
      <c r="AJ7" s="31" t="e">
        <f>#REF!</f>
        <v>#REF!</v>
      </c>
      <c r="AK7" s="31" t="str">
        <f>D13</f>
        <v>0.00</v>
      </c>
      <c r="AL7" s="31">
        <f>D17</f>
        <v>0</v>
      </c>
      <c r="AM7" s="31">
        <f>E21</f>
        <v>0</v>
      </c>
      <c r="AO7" s="31"/>
    </row>
    <row r="8" spans="2:41" ht="20.100000000000001" customHeight="1">
      <c r="B8" s="679"/>
      <c r="C8" s="21" t="s">
        <v>87</v>
      </c>
      <c r="D8" s="23">
        <f>IF(ISERROR((D33*F33+'1车间表1'!D8*'1车间表1'!H8)/'1车间表3'!F8),"0.00",(D33*F33+'1车间表1'!D8*'1车间表1'!H8)/'1车间表3'!F8)</f>
        <v>0</v>
      </c>
      <c r="E8" s="23">
        <f>E33+'1车间表1'!E8</f>
        <v>8</v>
      </c>
      <c r="F8" s="23">
        <f>F33+'1车间表1'!H8</f>
        <v>124.16</v>
      </c>
      <c r="G8" s="23">
        <f>IF(ISERROR(J8/F8*100),"0.00",J8/F8*100)</f>
        <v>3.75</v>
      </c>
      <c r="H8" s="23">
        <v>0.74011612092102497</v>
      </c>
      <c r="I8" s="27">
        <f>IF(ISERROR(L8/F8*1000),"0.00",L8/F8*1000)</f>
        <v>160.99999999999997</v>
      </c>
      <c r="J8" s="28">
        <f>J33+'1车间表1'!M8</f>
        <v>4.6559999999999997</v>
      </c>
      <c r="K8" s="28"/>
      <c r="L8" s="32">
        <f>L33+'1车间表1'!O8</f>
        <v>19.989759999999997</v>
      </c>
      <c r="N8" s="31">
        <f>D8</f>
        <v>0</v>
      </c>
      <c r="O8" s="31">
        <f>F8/E8</f>
        <v>15.52</v>
      </c>
      <c r="P8" s="31" t="e">
        <f>#REF!</f>
        <v>#REF!</v>
      </c>
      <c r="Q8" s="31">
        <f t="shared" si="0"/>
        <v>3.75</v>
      </c>
      <c r="R8" s="31">
        <f t="shared" si="0"/>
        <v>0.74011612092102497</v>
      </c>
      <c r="S8" s="31">
        <f t="shared" si="0"/>
        <v>160.99999999999997</v>
      </c>
      <c r="T8" s="31" t="e">
        <f>#REF!</f>
        <v>#REF!</v>
      </c>
      <c r="U8" s="31" t="e">
        <f>#REF!</f>
        <v>#REF!</v>
      </c>
      <c r="V8" s="31" t="e">
        <f>#REF!</f>
        <v>#REF!</v>
      </c>
      <c r="W8" s="34" t="e">
        <f>#REF!</f>
        <v>#REF!</v>
      </c>
      <c r="X8" s="31" t="e">
        <f>#REF!</f>
        <v>#REF!</v>
      </c>
      <c r="Y8" s="31">
        <f t="shared" si="1"/>
        <v>65.27</v>
      </c>
      <c r="Z8" s="31">
        <f t="shared" si="1"/>
        <v>0</v>
      </c>
      <c r="AA8" s="34">
        <f t="shared" si="1"/>
        <v>3352</v>
      </c>
      <c r="AB8" s="31" t="e">
        <f>#REF!</f>
        <v>#REF!</v>
      </c>
      <c r="AC8" s="31">
        <f t="shared" si="2"/>
        <v>0</v>
      </c>
      <c r="AD8" s="31">
        <f t="shared" si="2"/>
        <v>0</v>
      </c>
      <c r="AE8" s="34">
        <f t="shared" si="2"/>
        <v>0</v>
      </c>
      <c r="AF8" s="31" t="e">
        <f>#REF!</f>
        <v>#REF!</v>
      </c>
      <c r="AG8" s="31">
        <f t="shared" si="3"/>
        <v>0.13</v>
      </c>
      <c r="AH8" s="31">
        <f t="shared" si="3"/>
        <v>0</v>
      </c>
      <c r="AI8" s="34">
        <f t="shared" si="3"/>
        <v>-26.766905071521474</v>
      </c>
      <c r="AJ8" s="31" t="e">
        <f>#REF!</f>
        <v>#REF!</v>
      </c>
      <c r="AK8" s="31">
        <f>D14</f>
        <v>96.725985057824175</v>
      </c>
      <c r="AL8" s="31">
        <f>D18</f>
        <v>0</v>
      </c>
      <c r="AM8" s="31">
        <f>E22</f>
        <v>0</v>
      </c>
      <c r="AO8" s="31"/>
    </row>
    <row r="9" spans="2:41" ht="20.100000000000001" customHeight="1">
      <c r="B9" s="679"/>
      <c r="C9" s="21" t="s">
        <v>88</v>
      </c>
      <c r="D9" s="23">
        <f>IF(ISERROR((D34*F34+'1车间表1'!D9*'1车间表1'!H9)/'1车间表3'!F9),"0.00",(D34*F34+'1车间表1'!D9*'1车间表1'!H9)/'1车间表3'!F9)</f>
        <v>0</v>
      </c>
      <c r="E9" s="23">
        <f>E34+'1车间表1'!E9</f>
        <v>8</v>
      </c>
      <c r="F9" s="23">
        <f>F34+'1车间表1'!H9</f>
        <v>124.16</v>
      </c>
      <c r="G9" s="23">
        <f>IF(ISERROR(J9/F9*100),"0.00",J9/F9*100)</f>
        <v>4.07</v>
      </c>
      <c r="H9" s="23">
        <v>1.08473501752905</v>
      </c>
      <c r="I9" s="27">
        <f>IF(ISERROR(L9/F9*1000),"0.00",L9/F9*1000)</f>
        <v>230</v>
      </c>
      <c r="J9" s="28">
        <f>J34+'1车间表1'!M9</f>
        <v>5.053312</v>
      </c>
      <c r="K9" s="28"/>
      <c r="L9" s="32">
        <f>L34+'1车间表1'!O9</f>
        <v>28.556799999999999</v>
      </c>
      <c r="N9" s="31">
        <f>D9</f>
        <v>0</v>
      </c>
      <c r="O9" s="31">
        <f>F9/E9</f>
        <v>15.52</v>
      </c>
      <c r="P9" s="31" t="e">
        <f>#REF!</f>
        <v>#REF!</v>
      </c>
      <c r="Q9" s="31">
        <f t="shared" si="0"/>
        <v>4.07</v>
      </c>
      <c r="R9" s="31">
        <f t="shared" si="0"/>
        <v>1.08473501752905</v>
      </c>
      <c r="S9" s="31">
        <f t="shared" si="0"/>
        <v>230</v>
      </c>
      <c r="T9" s="31" t="e">
        <f>#REF!</f>
        <v>#REF!</v>
      </c>
      <c r="U9" s="31" t="e">
        <f>#REF!</f>
        <v>#REF!</v>
      </c>
      <c r="V9" s="31" t="e">
        <f>#REF!</f>
        <v>#REF!</v>
      </c>
      <c r="W9" s="34" t="e">
        <f>#REF!</f>
        <v>#REF!</v>
      </c>
      <c r="X9" s="31" t="e">
        <f>#REF!</f>
        <v>#REF!</v>
      </c>
      <c r="Y9" s="31">
        <f t="shared" si="1"/>
        <v>66.039999999999992</v>
      </c>
      <c r="Z9" s="31">
        <f t="shared" si="1"/>
        <v>0</v>
      </c>
      <c r="AA9" s="34">
        <f t="shared" si="1"/>
        <v>3380.0000000000005</v>
      </c>
      <c r="AB9" s="31" t="e">
        <f>#REF!</f>
        <v>#REF!</v>
      </c>
      <c r="AC9" s="31">
        <f t="shared" si="2"/>
        <v>0</v>
      </c>
      <c r="AD9" s="31">
        <f t="shared" si="2"/>
        <v>0</v>
      </c>
      <c r="AE9" s="34">
        <f t="shared" si="2"/>
        <v>0</v>
      </c>
      <c r="AF9" s="31" t="e">
        <f>#REF!</f>
        <v>#REF!</v>
      </c>
      <c r="AG9" s="31">
        <f t="shared" si="3"/>
        <v>8.9999999999999802E-2</v>
      </c>
      <c r="AH9" s="31">
        <f t="shared" si="3"/>
        <v>0</v>
      </c>
      <c r="AI9" s="34">
        <f t="shared" si="3"/>
        <v>27.692431821849247</v>
      </c>
      <c r="AJ9" s="31" t="e">
        <f>#REF!</f>
        <v>#REF!</v>
      </c>
      <c r="AK9" s="31">
        <f>D15</f>
        <v>97.922147110926488</v>
      </c>
      <c r="AL9" s="31">
        <f>D19</f>
        <v>0</v>
      </c>
      <c r="AM9" s="31">
        <f>E23</f>
        <v>0</v>
      </c>
      <c r="AO9" s="31"/>
    </row>
    <row r="10" spans="2:41" ht="20.100000000000001" customHeight="1">
      <c r="B10" s="679"/>
      <c r="C10" s="20" t="s">
        <v>89</v>
      </c>
      <c r="D10" s="23">
        <f>IF(ISERROR((D7*F7+D8*F8+D9*F9)/F10),"0.00",(D7*F7+D8*F8+D9*F9)/F10)</f>
        <v>0</v>
      </c>
      <c r="E10" s="23">
        <f>E7+E8+E9</f>
        <v>16</v>
      </c>
      <c r="F10" s="23">
        <f>F7+F8+F9</f>
        <v>248.32</v>
      </c>
      <c r="G10" s="23">
        <f>IF(ISERROR(J10/F10*100),"0.00",J10/F10*100)</f>
        <v>3.91</v>
      </c>
      <c r="H10" s="23">
        <v>0.88694437136896698</v>
      </c>
      <c r="I10" s="27">
        <f>IF(ISERROR(L10/F10*1000),"0.00",L10/F10*1000)</f>
        <v>195.5</v>
      </c>
      <c r="J10" s="28">
        <f>J7+J8+J9</f>
        <v>9.7093120000000006</v>
      </c>
      <c r="K10" s="28"/>
      <c r="L10" s="32">
        <f>L7+L8+L9</f>
        <v>48.546559999999999</v>
      </c>
      <c r="N10" s="31">
        <f>D10</f>
        <v>0</v>
      </c>
      <c r="O10" s="31">
        <f>F10/E10</f>
        <v>15.52</v>
      </c>
      <c r="P10" s="31" t="e">
        <f>#REF!</f>
        <v>#REF!</v>
      </c>
      <c r="Q10" s="31">
        <f t="shared" si="0"/>
        <v>3.91</v>
      </c>
      <c r="R10" s="31">
        <f t="shared" si="0"/>
        <v>0.88694437136896698</v>
      </c>
      <c r="S10" s="31">
        <f t="shared" si="0"/>
        <v>195.5</v>
      </c>
      <c r="T10" s="31" t="e">
        <f>#REF!</f>
        <v>#REF!</v>
      </c>
      <c r="U10" s="31" t="e">
        <f>#REF!</f>
        <v>#REF!</v>
      </c>
      <c r="V10" s="31" t="e">
        <f>#REF!</f>
        <v>#REF!</v>
      </c>
      <c r="W10" s="34" t="e">
        <f>#REF!</f>
        <v>#REF!</v>
      </c>
      <c r="X10" s="31" t="e">
        <f>#REF!</f>
        <v>#REF!</v>
      </c>
      <c r="Y10" s="31">
        <f t="shared" si="1"/>
        <v>65.670862584895232</v>
      </c>
      <c r="Z10" s="31">
        <f t="shared" si="1"/>
        <v>0</v>
      </c>
      <c r="AA10" s="34">
        <f t="shared" si="1"/>
        <v>3366.5768212689172</v>
      </c>
      <c r="AB10" s="31" t="e">
        <f>#REF!</f>
        <v>#REF!</v>
      </c>
      <c r="AC10" s="31">
        <f t="shared" si="2"/>
        <v>0</v>
      </c>
      <c r="AD10" s="31">
        <f t="shared" si="2"/>
        <v>0</v>
      </c>
      <c r="AE10" s="34">
        <f t="shared" si="2"/>
        <v>0</v>
      </c>
      <c r="AF10" s="31" t="e">
        <f>#REF!</f>
        <v>#REF!</v>
      </c>
      <c r="AG10" s="31">
        <f t="shared" si="3"/>
        <v>0.11005069996678257</v>
      </c>
      <c r="AH10" s="31">
        <f t="shared" si="3"/>
        <v>0</v>
      </c>
      <c r="AI10" s="34">
        <f t="shared" si="3"/>
        <v>0.39373621087637162</v>
      </c>
      <c r="AJ10" s="31" t="e">
        <f>#REF!</f>
        <v>#REF!</v>
      </c>
      <c r="AK10" s="31">
        <f>D16</f>
        <v>97.348539988275135</v>
      </c>
      <c r="AL10" s="31">
        <f>D20</f>
        <v>0</v>
      </c>
      <c r="AM10" s="31">
        <f>E24</f>
        <v>0</v>
      </c>
    </row>
    <row r="11" spans="2:41" ht="20.100000000000001" customHeight="1">
      <c r="B11" s="679" t="s">
        <v>42</v>
      </c>
      <c r="C11" s="679" t="s">
        <v>43</v>
      </c>
      <c r="D11" s="680" t="s">
        <v>59</v>
      </c>
      <c r="E11" s="680"/>
      <c r="F11" s="680" t="s">
        <v>50</v>
      </c>
      <c r="G11" s="680" t="s">
        <v>80</v>
      </c>
      <c r="H11" s="680"/>
      <c r="I11" s="680"/>
      <c r="J11" s="680" t="s">
        <v>76</v>
      </c>
      <c r="K11" s="680"/>
      <c r="L11" s="680"/>
      <c r="N11" s="31"/>
      <c r="O11" s="31"/>
      <c r="P11" s="31"/>
      <c r="Q11" s="31"/>
      <c r="R11" s="31"/>
      <c r="S11" s="31"/>
      <c r="T11" s="31"/>
      <c r="U11" s="31"/>
      <c r="V11" s="31"/>
      <c r="W11" s="34"/>
      <c r="X11" s="31"/>
      <c r="Y11" s="31"/>
      <c r="Z11" s="31"/>
      <c r="AA11" s="34"/>
      <c r="AB11" s="31"/>
      <c r="AC11" s="31"/>
      <c r="AD11" s="31"/>
      <c r="AE11" s="34"/>
      <c r="AF11" s="31"/>
      <c r="AG11" s="31"/>
      <c r="AH11" s="31"/>
      <c r="AI11" s="34"/>
    </row>
    <row r="12" spans="2:41" ht="20.100000000000001" customHeight="1">
      <c r="B12" s="679"/>
      <c r="C12" s="679"/>
      <c r="D12" s="20" t="s">
        <v>63</v>
      </c>
      <c r="E12" s="20" t="s">
        <v>14</v>
      </c>
      <c r="F12" s="680"/>
      <c r="G12" s="20" t="s">
        <v>6</v>
      </c>
      <c r="H12" s="20" t="s">
        <v>7</v>
      </c>
      <c r="I12" s="20" t="s">
        <v>51</v>
      </c>
      <c r="J12" s="20" t="s">
        <v>53</v>
      </c>
      <c r="K12" s="20" t="s">
        <v>54</v>
      </c>
      <c r="L12" s="20" t="s">
        <v>55</v>
      </c>
      <c r="W12" s="34"/>
      <c r="AA12" s="34"/>
      <c r="AE12" s="34"/>
      <c r="AI12" s="34"/>
    </row>
    <row r="13" spans="2:41" ht="20.100000000000001" customHeight="1">
      <c r="B13" s="679" t="s">
        <v>23</v>
      </c>
      <c r="C13" s="21" t="s">
        <v>86</v>
      </c>
      <c r="D13" s="23" t="str">
        <f>IF(ISERROR(J13/J7*100),"0.00",J13/J7*100)</f>
        <v>0.00</v>
      </c>
      <c r="E13" s="23" t="str">
        <f>IF(ISERROR(L13/L7*100),"0.00",L13/L7*100)</f>
        <v>0.00</v>
      </c>
      <c r="F13" s="23">
        <f>F35+'1车间表1'!D14</f>
        <v>0</v>
      </c>
      <c r="G13" s="23" t="str">
        <f t="shared" ref="G13:G24" si="4">IF(ISERROR(J13/F13*100),"0.00",J13/F13*100)</f>
        <v>0.00</v>
      </c>
      <c r="H13" s="23"/>
      <c r="I13" s="27" t="str">
        <f t="shared" ref="I13:I24" si="5">IF(ISERROR(L13/F13*1000),"0.00",L13/F13*1000)</f>
        <v>0.00</v>
      </c>
      <c r="J13" s="28">
        <f>J35+'1车间表1'!I14</f>
        <v>0</v>
      </c>
      <c r="K13" s="28"/>
      <c r="L13" s="32">
        <f>L35+'1车间表1'!K14</f>
        <v>0</v>
      </c>
      <c r="N13" s="31" t="e">
        <f>#REF!/#REF!*100</f>
        <v>#REF!</v>
      </c>
      <c r="O13" s="31" t="e">
        <f t="shared" ref="O13:Q16" si="6">J13/J7*100</f>
        <v>#DIV/0!</v>
      </c>
      <c r="P13" s="31" t="e">
        <f t="shared" si="6"/>
        <v>#DIV/0!</v>
      </c>
      <c r="Q13" s="31" t="e">
        <f t="shared" si="6"/>
        <v>#DIV/0!</v>
      </c>
      <c r="S13" s="31" t="e">
        <f>P13</f>
        <v>#DIV/0!</v>
      </c>
      <c r="T13" s="31" t="e">
        <f>P17</f>
        <v>#DIV/0!</v>
      </c>
      <c r="U13" s="31" t="e">
        <f>#REF!</f>
        <v>#REF!</v>
      </c>
      <c r="V13" s="31" t="e">
        <f>P21</f>
        <v>#DIV/0!</v>
      </c>
      <c r="W13" s="31" t="e">
        <f t="shared" ref="W13:W24" si="7">S13+T13+U13+V13</f>
        <v>#DIV/0!</v>
      </c>
      <c r="X13" s="31"/>
      <c r="Y13" s="31"/>
      <c r="Z13" s="31"/>
      <c r="AA13" s="31"/>
      <c r="AB13" s="31"/>
      <c r="AE13" s="34"/>
      <c r="AI13" s="34"/>
    </row>
    <row r="14" spans="2:41" ht="20.100000000000001" customHeight="1">
      <c r="B14" s="679"/>
      <c r="C14" s="21" t="s">
        <v>87</v>
      </c>
      <c r="D14" s="23">
        <f>IF(ISERROR(J14/J8*100),"0.00",J14/J8*100)</f>
        <v>96.725985057824175</v>
      </c>
      <c r="E14" s="23">
        <f>IF(ISERROR(L14/L8*100),"0.00",L14/L8*100)</f>
        <v>115.70148957715539</v>
      </c>
      <c r="F14" s="23">
        <f>F36+'1车间表1'!D15</f>
        <v>6.8998956094565553</v>
      </c>
      <c r="G14" s="23">
        <f t="shared" si="4"/>
        <v>65.27</v>
      </c>
      <c r="H14" s="23"/>
      <c r="I14" s="27">
        <f t="shared" si="5"/>
        <v>3352</v>
      </c>
      <c r="J14" s="28">
        <f>J36+'1车间表1'!I15</f>
        <v>4.5035618642922932</v>
      </c>
      <c r="K14" s="28"/>
      <c r="L14" s="32">
        <f>L36+'1车间表1'!K15</f>
        <v>23.128450082898372</v>
      </c>
      <c r="N14" s="31" t="e">
        <f>#REF!/#REF!*100</f>
        <v>#REF!</v>
      </c>
      <c r="O14" s="31">
        <f t="shared" si="6"/>
        <v>96.725985057824175</v>
      </c>
      <c r="P14" s="31" t="e">
        <f t="shared" si="6"/>
        <v>#DIV/0!</v>
      </c>
      <c r="Q14" s="31">
        <f t="shared" si="6"/>
        <v>115.70148957715539</v>
      </c>
      <c r="S14" s="31" t="e">
        <f>P14</f>
        <v>#DIV/0!</v>
      </c>
      <c r="T14" s="31" t="e">
        <f>P18</f>
        <v>#DIV/0!</v>
      </c>
      <c r="U14" s="31" t="e">
        <f>#REF!</f>
        <v>#REF!</v>
      </c>
      <c r="V14" s="31" t="e">
        <f>P22</f>
        <v>#DIV/0!</v>
      </c>
      <c r="W14" s="31" t="e">
        <f t="shared" si="7"/>
        <v>#DIV/0!</v>
      </c>
      <c r="AA14" s="34"/>
      <c r="AE14" s="34"/>
      <c r="AI14" s="34"/>
    </row>
    <row r="15" spans="2:41" ht="20.100000000000001" customHeight="1">
      <c r="B15" s="679"/>
      <c r="C15" s="21" t="s">
        <v>88</v>
      </c>
      <c r="D15" s="23">
        <f>IF(ISERROR(J15/J9*100),"0.00",J15/J9*100)</f>
        <v>97.922147110926488</v>
      </c>
      <c r="E15" s="23">
        <f>IF(ISERROR(L15/L9*100),"0.00",L15/L9*100)</f>
        <v>88.686422520354697</v>
      </c>
      <c r="F15" s="23">
        <f>F37+'1车间表1'!D16</f>
        <v>7.4929006823351028</v>
      </c>
      <c r="G15" s="23">
        <f t="shared" si="4"/>
        <v>66.039999999999992</v>
      </c>
      <c r="H15" s="23"/>
      <c r="I15" s="27">
        <f t="shared" si="5"/>
        <v>3380.0000000000005</v>
      </c>
      <c r="J15" s="28">
        <f>J37+'1车间表1'!I16</f>
        <v>4.9483116106141019</v>
      </c>
      <c r="K15" s="28"/>
      <c r="L15" s="32">
        <f>L37+'1车间表1'!K16</f>
        <v>25.326004306292649</v>
      </c>
      <c r="N15" s="31" t="e">
        <f>#REF!/#REF!*100</f>
        <v>#REF!</v>
      </c>
      <c r="O15" s="31">
        <f t="shared" si="6"/>
        <v>97.922147110926488</v>
      </c>
      <c r="P15" s="31" t="e">
        <f t="shared" si="6"/>
        <v>#DIV/0!</v>
      </c>
      <c r="Q15" s="31">
        <f t="shared" si="6"/>
        <v>88.686422520354697</v>
      </c>
      <c r="S15" s="31" t="e">
        <f>P15</f>
        <v>#DIV/0!</v>
      </c>
      <c r="T15" s="31" t="e">
        <f>P19</f>
        <v>#DIV/0!</v>
      </c>
      <c r="U15" s="31" t="e">
        <f>#REF!</f>
        <v>#REF!</v>
      </c>
      <c r="V15" s="31" t="e">
        <f>P23</f>
        <v>#DIV/0!</v>
      </c>
      <c r="W15" s="31" t="e">
        <f t="shared" si="7"/>
        <v>#DIV/0!</v>
      </c>
      <c r="AA15" s="34"/>
      <c r="AE15" s="34"/>
      <c r="AI15" s="34"/>
    </row>
    <row r="16" spans="2:41" ht="20.100000000000001" customHeight="1">
      <c r="B16" s="679"/>
      <c r="C16" s="20" t="s">
        <v>89</v>
      </c>
      <c r="D16" s="23">
        <f>IF(ISERROR(J16/J10*100),"0.00",J16/J10*100)</f>
        <v>97.348539988275135</v>
      </c>
      <c r="E16" s="23">
        <f>IF(ISERROR(L16/L10*100),"0.00",L16/L10*100)</f>
        <v>99.810273661390255</v>
      </c>
      <c r="F16" s="23">
        <f>F13+F14+F15</f>
        <v>14.392796291791658</v>
      </c>
      <c r="G16" s="23">
        <f t="shared" si="4"/>
        <v>65.670862584895232</v>
      </c>
      <c r="H16" s="23"/>
      <c r="I16" s="27">
        <f t="shared" si="5"/>
        <v>3366.5768212689172</v>
      </c>
      <c r="J16" s="28">
        <f>J13+J14+J15</f>
        <v>9.451873474906396</v>
      </c>
      <c r="K16" s="28"/>
      <c r="L16" s="32">
        <f>L13+L14+L15</f>
        <v>48.454454389191021</v>
      </c>
      <c r="N16" s="31" t="e">
        <f>#REF!/#REF!*100</f>
        <v>#REF!</v>
      </c>
      <c r="O16" s="31">
        <f t="shared" si="6"/>
        <v>97.348539988275135</v>
      </c>
      <c r="P16" s="31" t="e">
        <f t="shared" si="6"/>
        <v>#DIV/0!</v>
      </c>
      <c r="Q16" s="31">
        <f t="shared" si="6"/>
        <v>99.810273661390255</v>
      </c>
      <c r="S16" s="31" t="e">
        <f>P16</f>
        <v>#DIV/0!</v>
      </c>
      <c r="T16" s="31" t="e">
        <f>P20</f>
        <v>#DIV/0!</v>
      </c>
      <c r="U16" s="31" t="e">
        <f>#REF!</f>
        <v>#REF!</v>
      </c>
      <c r="V16" s="31" t="e">
        <f>P24</f>
        <v>#DIV/0!</v>
      </c>
      <c r="W16" s="31" t="e">
        <f t="shared" si="7"/>
        <v>#DIV/0!</v>
      </c>
      <c r="AA16" s="34"/>
      <c r="AE16" s="34"/>
      <c r="AI16" s="34"/>
    </row>
    <row r="17" spans="2:35" ht="20.100000000000001" customHeight="1">
      <c r="B17" s="679" t="s">
        <v>25</v>
      </c>
      <c r="C17" s="21" t="s">
        <v>86</v>
      </c>
      <c r="D17" s="23"/>
      <c r="E17" s="23"/>
      <c r="F17" s="23"/>
      <c r="G17" s="23"/>
      <c r="H17" s="23"/>
      <c r="I17" s="27"/>
      <c r="J17" s="28"/>
      <c r="K17" s="28"/>
      <c r="L17" s="32"/>
      <c r="N17" s="31" t="e">
        <f>#REF!/#REF!*100</f>
        <v>#REF!</v>
      </c>
      <c r="O17" s="31" t="e">
        <f t="shared" ref="O17:Q20" si="8">J17/J7*100</f>
        <v>#DIV/0!</v>
      </c>
      <c r="P17" s="31" t="e">
        <f t="shared" si="8"/>
        <v>#DIV/0!</v>
      </c>
      <c r="Q17" s="31" t="e">
        <f t="shared" si="8"/>
        <v>#DIV/0!</v>
      </c>
      <c r="S17" s="31" t="e">
        <f>N13</f>
        <v>#REF!</v>
      </c>
      <c r="T17" s="31" t="e">
        <f>N17</f>
        <v>#REF!</v>
      </c>
      <c r="U17" s="31" t="e">
        <f>#REF!</f>
        <v>#REF!</v>
      </c>
      <c r="V17" s="31" t="e">
        <f>N21</f>
        <v>#REF!</v>
      </c>
      <c r="W17" s="31" t="e">
        <f t="shared" si="7"/>
        <v>#REF!</v>
      </c>
      <c r="AA17" s="34"/>
      <c r="AE17" s="34"/>
      <c r="AI17" s="34"/>
    </row>
    <row r="18" spans="2:35" ht="20.100000000000001" customHeight="1">
      <c r="B18" s="679"/>
      <c r="C18" s="21" t="s">
        <v>87</v>
      </c>
      <c r="D18" s="23"/>
      <c r="E18" s="23"/>
      <c r="F18" s="23"/>
      <c r="G18" s="23"/>
      <c r="H18" s="23"/>
      <c r="I18" s="27"/>
      <c r="J18" s="28"/>
      <c r="K18" s="28"/>
      <c r="L18" s="32"/>
      <c r="N18" s="31" t="e">
        <f>#REF!/#REF!*100</f>
        <v>#REF!</v>
      </c>
      <c r="O18" s="31">
        <f t="shared" si="8"/>
        <v>0</v>
      </c>
      <c r="P18" s="31" t="e">
        <f t="shared" si="8"/>
        <v>#DIV/0!</v>
      </c>
      <c r="Q18" s="31">
        <f t="shared" si="8"/>
        <v>0</v>
      </c>
      <c r="S18" s="31" t="e">
        <f>N14</f>
        <v>#REF!</v>
      </c>
      <c r="T18" s="31" t="e">
        <f>N18</f>
        <v>#REF!</v>
      </c>
      <c r="U18" s="31" t="e">
        <f>#REF!</f>
        <v>#REF!</v>
      </c>
      <c r="V18" s="31" t="e">
        <f>N22</f>
        <v>#REF!</v>
      </c>
      <c r="W18" s="31" t="e">
        <f t="shared" si="7"/>
        <v>#REF!</v>
      </c>
      <c r="AA18" s="34"/>
      <c r="AE18" s="34"/>
      <c r="AI18" s="34"/>
    </row>
    <row r="19" spans="2:35" ht="20.100000000000001" customHeight="1">
      <c r="B19" s="679"/>
      <c r="C19" s="21" t="s">
        <v>88</v>
      </c>
      <c r="D19" s="23"/>
      <c r="E19" s="23"/>
      <c r="F19" s="23"/>
      <c r="G19" s="23"/>
      <c r="H19" s="23"/>
      <c r="I19" s="27"/>
      <c r="J19" s="28"/>
      <c r="K19" s="28"/>
      <c r="L19" s="32"/>
      <c r="N19" s="31" t="e">
        <f>#REF!/#REF!*100</f>
        <v>#REF!</v>
      </c>
      <c r="O19" s="31">
        <f t="shared" si="8"/>
        <v>0</v>
      </c>
      <c r="P19" s="31" t="e">
        <f t="shared" si="8"/>
        <v>#DIV/0!</v>
      </c>
      <c r="Q19" s="31">
        <f t="shared" si="8"/>
        <v>0</v>
      </c>
      <c r="S19" s="31" t="e">
        <f>N15</f>
        <v>#REF!</v>
      </c>
      <c r="T19" s="31" t="e">
        <f>N19</f>
        <v>#REF!</v>
      </c>
      <c r="U19" s="31" t="e">
        <f>#REF!</f>
        <v>#REF!</v>
      </c>
      <c r="V19" s="31" t="e">
        <f>N23</f>
        <v>#REF!</v>
      </c>
      <c r="W19" s="31" t="e">
        <f t="shared" si="7"/>
        <v>#REF!</v>
      </c>
      <c r="AA19" s="34"/>
      <c r="AE19" s="34"/>
      <c r="AI19" s="34"/>
    </row>
    <row r="20" spans="2:35" ht="20.100000000000001" customHeight="1">
      <c r="B20" s="679"/>
      <c r="C20" s="20" t="s">
        <v>89</v>
      </c>
      <c r="D20" s="23"/>
      <c r="E20" s="23"/>
      <c r="F20" s="23"/>
      <c r="G20" s="23"/>
      <c r="H20" s="23"/>
      <c r="I20" s="27"/>
      <c r="J20" s="28"/>
      <c r="K20" s="28"/>
      <c r="L20" s="32"/>
      <c r="N20" s="31" t="e">
        <f>#REF!/#REF!*100</f>
        <v>#REF!</v>
      </c>
      <c r="O20" s="31">
        <f t="shared" si="8"/>
        <v>0</v>
      </c>
      <c r="P20" s="31" t="e">
        <f t="shared" si="8"/>
        <v>#DIV/0!</v>
      </c>
      <c r="Q20" s="31">
        <f t="shared" si="8"/>
        <v>0</v>
      </c>
      <c r="S20" s="31" t="e">
        <f>N16</f>
        <v>#REF!</v>
      </c>
      <c r="T20" s="31" t="e">
        <f>N20</f>
        <v>#REF!</v>
      </c>
      <c r="U20" s="31" t="e">
        <f>#REF!</f>
        <v>#REF!</v>
      </c>
      <c r="V20" s="31" t="e">
        <f>N24</f>
        <v>#REF!</v>
      </c>
      <c r="W20" s="31" t="e">
        <f t="shared" si="7"/>
        <v>#REF!</v>
      </c>
      <c r="AA20" s="34"/>
      <c r="AE20" s="34"/>
      <c r="AI20" s="34"/>
    </row>
    <row r="21" spans="2:35" ht="20.100000000000001" customHeight="1">
      <c r="B21" s="679" t="s">
        <v>26</v>
      </c>
      <c r="C21" s="21" t="s">
        <v>86</v>
      </c>
      <c r="D21" s="23"/>
      <c r="E21" s="23"/>
      <c r="F21" s="23">
        <f>F41+'1车间表1'!D24</f>
        <v>0</v>
      </c>
      <c r="G21" s="23" t="str">
        <f t="shared" si="4"/>
        <v>0.00</v>
      </c>
      <c r="H21" s="23"/>
      <c r="I21" s="27" t="str">
        <f t="shared" si="5"/>
        <v>0.00</v>
      </c>
      <c r="J21" s="28">
        <f>J41+'1车间表1'!I24</f>
        <v>0</v>
      </c>
      <c r="K21" s="28"/>
      <c r="L21" s="32">
        <f>L41+'1车间表1'!K24</f>
        <v>0</v>
      </c>
      <c r="N21" s="31" t="e">
        <f>#REF!/#REF!*100</f>
        <v>#REF!</v>
      </c>
      <c r="O21" s="31" t="e">
        <f t="shared" ref="O21:Q24" si="9">J21/J7*100</f>
        <v>#DIV/0!</v>
      </c>
      <c r="P21" s="31" t="e">
        <f t="shared" si="9"/>
        <v>#DIV/0!</v>
      </c>
      <c r="Q21" s="31" t="e">
        <f t="shared" si="9"/>
        <v>#DIV/0!</v>
      </c>
      <c r="S21" s="31" t="e">
        <f>Q13</f>
        <v>#DIV/0!</v>
      </c>
      <c r="T21" s="31" t="e">
        <f>Q17</f>
        <v>#DIV/0!</v>
      </c>
      <c r="U21" s="31" t="e">
        <f>#REF!</f>
        <v>#REF!</v>
      </c>
      <c r="V21" s="31" t="e">
        <f>Q21</f>
        <v>#DIV/0!</v>
      </c>
      <c r="W21" s="31" t="e">
        <f t="shared" si="7"/>
        <v>#DIV/0!</v>
      </c>
      <c r="AA21" s="34"/>
      <c r="AE21" s="34"/>
      <c r="AI21" s="34"/>
    </row>
    <row r="22" spans="2:35" ht="20.100000000000001" customHeight="1">
      <c r="B22" s="679"/>
      <c r="C22" s="21" t="s">
        <v>87</v>
      </c>
      <c r="D22" s="23"/>
      <c r="E22" s="23"/>
      <c r="F22" s="23">
        <f>F42+'1车间表1'!D25</f>
        <v>117.26010439054345</v>
      </c>
      <c r="G22" s="23">
        <f t="shared" si="4"/>
        <v>0.13</v>
      </c>
      <c r="H22" s="23"/>
      <c r="I22" s="27">
        <f t="shared" si="5"/>
        <v>-26.766905071521474</v>
      </c>
      <c r="J22" s="28">
        <f>J42+'1车间表1'!I25</f>
        <v>0.15243813570770648</v>
      </c>
      <c r="K22" s="28"/>
      <c r="L22" s="32">
        <f>L42+'1车间表1'!K25</f>
        <v>-3.1386900828983748</v>
      </c>
      <c r="N22" s="31" t="e">
        <f>#REF!/#REF!*100</f>
        <v>#REF!</v>
      </c>
      <c r="O22" s="31">
        <f t="shared" si="9"/>
        <v>3.2740149421758264</v>
      </c>
      <c r="P22" s="31" t="e">
        <f t="shared" si="9"/>
        <v>#DIV/0!</v>
      </c>
      <c r="Q22" s="31">
        <f t="shared" si="9"/>
        <v>-15.701489577155382</v>
      </c>
      <c r="S22" s="31">
        <f>Q14</f>
        <v>115.70148957715539</v>
      </c>
      <c r="T22" s="31">
        <f>Q18</f>
        <v>0</v>
      </c>
      <c r="U22" s="31" t="e">
        <f>#REF!</f>
        <v>#REF!</v>
      </c>
      <c r="V22" s="31">
        <f>Q22</f>
        <v>-15.701489577155382</v>
      </c>
      <c r="W22" s="31" t="e">
        <f t="shared" si="7"/>
        <v>#REF!</v>
      </c>
      <c r="AA22" s="34"/>
      <c r="AE22" s="34"/>
      <c r="AI22" s="34"/>
    </row>
    <row r="23" spans="2:35" ht="20.100000000000001" customHeight="1">
      <c r="B23" s="679"/>
      <c r="C23" s="21" t="s">
        <v>88</v>
      </c>
      <c r="D23" s="23"/>
      <c r="E23" s="23"/>
      <c r="F23" s="23">
        <f>F43+'1车间表1'!D26</f>
        <v>116.66709931766489</v>
      </c>
      <c r="G23" s="23">
        <f t="shared" si="4"/>
        <v>8.9999999999999802E-2</v>
      </c>
      <c r="H23" s="23"/>
      <c r="I23" s="27">
        <f t="shared" si="5"/>
        <v>27.692431821849247</v>
      </c>
      <c r="J23" s="28">
        <f>J43+'1车间表1'!I26</f>
        <v>0.10500038938589817</v>
      </c>
      <c r="K23" s="28"/>
      <c r="L23" s="32">
        <f>L43+'1车间表1'!K26</f>
        <v>3.2307956937073499</v>
      </c>
      <c r="N23" s="31" t="e">
        <f>#REF!/#REF!*100</f>
        <v>#REF!</v>
      </c>
      <c r="O23" s="31">
        <f t="shared" si="9"/>
        <v>2.077852889073506</v>
      </c>
      <c r="P23" s="31" t="e">
        <f t="shared" si="9"/>
        <v>#DIV/0!</v>
      </c>
      <c r="Q23" s="31">
        <f t="shared" si="9"/>
        <v>11.313577479645303</v>
      </c>
      <c r="S23" s="31">
        <f>Q15</f>
        <v>88.686422520354697</v>
      </c>
      <c r="T23" s="31">
        <f>Q19</f>
        <v>0</v>
      </c>
      <c r="U23" s="31" t="e">
        <f>#REF!</f>
        <v>#REF!</v>
      </c>
      <c r="V23" s="31">
        <f>Q23</f>
        <v>11.313577479645303</v>
      </c>
      <c r="W23" s="31" t="e">
        <f t="shared" si="7"/>
        <v>#REF!</v>
      </c>
      <c r="AA23" s="34"/>
      <c r="AE23" s="34"/>
      <c r="AI23" s="34"/>
    </row>
    <row r="24" spans="2:35" ht="20.100000000000001" customHeight="1">
      <c r="B24" s="679"/>
      <c r="C24" s="20" t="s">
        <v>89</v>
      </c>
      <c r="D24" s="23"/>
      <c r="E24" s="23"/>
      <c r="F24" s="23">
        <f>F21+F22+F23</f>
        <v>233.92720370820834</v>
      </c>
      <c r="G24" s="23">
        <f t="shared" si="4"/>
        <v>0.11005069996678257</v>
      </c>
      <c r="H24" s="23"/>
      <c r="I24" s="27">
        <f t="shared" si="5"/>
        <v>0.39373621087637162</v>
      </c>
      <c r="J24" s="28">
        <f>J21+J22+J23</f>
        <v>0.25743852509360465</v>
      </c>
      <c r="K24" s="28"/>
      <c r="L24" s="32">
        <f>L21+L22+L23</f>
        <v>9.2105610808975058E-2</v>
      </c>
      <c r="N24" s="31" t="e">
        <f>#REF!/#REF!*100</f>
        <v>#REF!</v>
      </c>
      <c r="O24" s="31">
        <f t="shared" si="9"/>
        <v>2.6514600117248746</v>
      </c>
      <c r="P24" s="31" t="e">
        <f t="shared" si="9"/>
        <v>#DIV/0!</v>
      </c>
      <c r="Q24" s="31">
        <f t="shared" si="9"/>
        <v>0.1897263386097286</v>
      </c>
      <c r="S24" s="31">
        <f>Q16</f>
        <v>99.810273661390255</v>
      </c>
      <c r="T24" s="31">
        <f>Q20</f>
        <v>0</v>
      </c>
      <c r="U24" s="31" t="e">
        <f>#REF!</f>
        <v>#REF!</v>
      </c>
      <c r="V24" s="31">
        <f>Q24</f>
        <v>0.1897263386097286</v>
      </c>
      <c r="W24" s="31" t="e">
        <f t="shared" si="7"/>
        <v>#REF!</v>
      </c>
      <c r="AA24" s="34"/>
      <c r="AE24" s="34"/>
      <c r="AI24" s="34"/>
    </row>
    <row r="25" spans="2:35">
      <c r="B25" s="19"/>
      <c r="C25" s="694" t="s">
        <v>66</v>
      </c>
      <c r="D25" s="694"/>
      <c r="E25" s="694"/>
      <c r="F25" s="19"/>
      <c r="G25" s="19"/>
      <c r="H25" s="19"/>
      <c r="I25" s="19"/>
      <c r="J25" s="694"/>
      <c r="K25" s="694"/>
      <c r="L25" s="19"/>
    </row>
    <row r="26" spans="2:3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9" spans="2:35">
      <c r="D29" s="18" t="s">
        <v>90</v>
      </c>
    </row>
    <row r="30" spans="2:35">
      <c r="B30" s="679" t="s">
        <v>42</v>
      </c>
      <c r="C30" s="679" t="s">
        <v>43</v>
      </c>
      <c r="D30" s="679" t="s">
        <v>44</v>
      </c>
      <c r="E30" s="679" t="s">
        <v>45</v>
      </c>
      <c r="F30" s="680" t="s">
        <v>50</v>
      </c>
      <c r="G30" s="680"/>
      <c r="H30" s="680"/>
      <c r="I30" s="680"/>
      <c r="J30" s="680"/>
      <c r="K30" s="680"/>
      <c r="L30" s="680"/>
    </row>
    <row r="31" spans="2:35">
      <c r="B31" s="679"/>
      <c r="C31" s="679"/>
      <c r="D31" s="679"/>
      <c r="E31" s="679"/>
      <c r="F31" s="680"/>
      <c r="G31" s="20" t="s">
        <v>6</v>
      </c>
      <c r="H31" s="20" t="s">
        <v>7</v>
      </c>
      <c r="I31" s="20" t="s">
        <v>51</v>
      </c>
      <c r="J31" s="20" t="s">
        <v>53</v>
      </c>
      <c r="K31" s="20" t="s">
        <v>54</v>
      </c>
      <c r="L31" s="20" t="s">
        <v>55</v>
      </c>
    </row>
    <row r="32" spans="2:35">
      <c r="B32" s="679" t="s">
        <v>10</v>
      </c>
      <c r="C32" s="21" t="s">
        <v>91</v>
      </c>
      <c r="D32" s="573"/>
      <c r="E32" s="573"/>
      <c r="F32" s="573"/>
      <c r="G32" s="574"/>
      <c r="H32" s="574"/>
      <c r="I32" s="574"/>
      <c r="J32" s="576"/>
      <c r="K32" s="576"/>
      <c r="L32" s="577"/>
      <c r="O32" s="578"/>
      <c r="P32" s="578"/>
      <c r="Q32" s="578"/>
      <c r="R32" s="578"/>
      <c r="S32" s="579"/>
      <c r="T32" s="579"/>
      <c r="U32" s="579"/>
      <c r="V32" s="579"/>
    </row>
    <row r="33" spans="2:22">
      <c r="B33" s="679"/>
      <c r="C33" s="21" t="s">
        <v>92</v>
      </c>
      <c r="D33" s="573"/>
      <c r="E33" s="573"/>
      <c r="F33" s="573"/>
      <c r="G33" s="574"/>
      <c r="H33" s="574"/>
      <c r="I33" s="574"/>
      <c r="J33" s="576"/>
      <c r="K33" s="576"/>
      <c r="L33" s="577"/>
      <c r="O33" s="578"/>
      <c r="P33" s="578"/>
      <c r="Q33" s="578"/>
      <c r="R33" s="578"/>
      <c r="S33" s="579"/>
      <c r="T33" s="579"/>
      <c r="U33" s="579"/>
      <c r="V33" s="579"/>
    </row>
    <row r="34" spans="2:22">
      <c r="B34" s="679"/>
      <c r="C34" s="21" t="s">
        <v>93</v>
      </c>
      <c r="D34" s="573"/>
      <c r="E34" s="573"/>
      <c r="F34" s="573"/>
      <c r="G34" s="574"/>
      <c r="H34" s="574"/>
      <c r="I34" s="574"/>
      <c r="J34" s="576"/>
      <c r="K34" s="576"/>
      <c r="L34" s="577"/>
      <c r="O34" s="578"/>
      <c r="P34" s="578"/>
      <c r="Q34" s="578"/>
      <c r="R34" s="578"/>
      <c r="S34" s="579"/>
      <c r="T34" s="579"/>
      <c r="U34" s="579"/>
      <c r="V34" s="579"/>
    </row>
    <row r="35" spans="2:22">
      <c r="B35" s="679" t="s">
        <v>23</v>
      </c>
      <c r="C35" s="21" t="s">
        <v>91</v>
      </c>
      <c r="D35" s="574"/>
      <c r="E35" s="574"/>
      <c r="F35" s="573"/>
      <c r="G35" s="574"/>
      <c r="H35" s="574"/>
      <c r="I35" s="574"/>
      <c r="J35" s="576"/>
      <c r="K35" s="576"/>
      <c r="L35" s="577"/>
      <c r="O35" s="578"/>
      <c r="P35" s="578"/>
      <c r="Q35" s="578"/>
      <c r="R35" s="578"/>
      <c r="S35" s="579"/>
      <c r="T35" s="579"/>
      <c r="U35" s="579"/>
      <c r="V35" s="579"/>
    </row>
    <row r="36" spans="2:22">
      <c r="B36" s="679"/>
      <c r="C36" s="21" t="s">
        <v>92</v>
      </c>
      <c r="D36" s="574"/>
      <c r="E36" s="574"/>
      <c r="F36" s="573"/>
      <c r="G36" s="574"/>
      <c r="H36" s="574"/>
      <c r="I36" s="574"/>
      <c r="J36" s="576"/>
      <c r="K36" s="576"/>
      <c r="L36" s="577"/>
      <c r="O36" s="578"/>
      <c r="P36" s="578"/>
      <c r="Q36" s="578"/>
      <c r="R36" s="578"/>
      <c r="S36" s="579"/>
      <c r="T36" s="579"/>
      <c r="U36" s="579"/>
      <c r="V36" s="579"/>
    </row>
    <row r="37" spans="2:22">
      <c r="B37" s="679"/>
      <c r="C37" s="21" t="s">
        <v>93</v>
      </c>
      <c r="D37" s="574"/>
      <c r="E37" s="574"/>
      <c r="F37" s="573"/>
      <c r="G37" s="574"/>
      <c r="H37" s="574"/>
      <c r="I37" s="574"/>
      <c r="J37" s="576"/>
      <c r="K37" s="576"/>
      <c r="L37" s="577"/>
      <c r="O37" s="578"/>
      <c r="P37" s="578"/>
      <c r="Q37" s="578"/>
      <c r="R37" s="578"/>
      <c r="S37" s="579"/>
      <c r="T37" s="579"/>
      <c r="U37" s="579"/>
      <c r="V37" s="579"/>
    </row>
    <row r="38" spans="2:22">
      <c r="B38" s="679" t="s">
        <v>25</v>
      </c>
      <c r="C38" s="21" t="s">
        <v>91</v>
      </c>
      <c r="D38" s="574"/>
      <c r="E38" s="574"/>
      <c r="F38" s="573"/>
      <c r="G38" s="574"/>
      <c r="H38" s="574"/>
      <c r="I38" s="574"/>
      <c r="J38" s="576"/>
      <c r="K38" s="576"/>
      <c r="L38" s="577"/>
      <c r="O38" s="578"/>
      <c r="P38" s="578"/>
      <c r="Q38" s="578"/>
      <c r="R38" s="578"/>
      <c r="S38" s="579"/>
      <c r="T38" s="579"/>
      <c r="U38" s="579"/>
      <c r="V38" s="579"/>
    </row>
    <row r="39" spans="2:22">
      <c r="B39" s="679"/>
      <c r="C39" s="21" t="s">
        <v>92</v>
      </c>
      <c r="D39" s="574"/>
      <c r="E39" s="574"/>
      <c r="F39" s="573"/>
      <c r="G39" s="574"/>
      <c r="H39" s="574"/>
      <c r="I39" s="574"/>
      <c r="J39" s="576"/>
      <c r="K39" s="576"/>
      <c r="L39" s="577"/>
      <c r="O39" s="578"/>
      <c r="P39" s="578"/>
      <c r="Q39" s="578"/>
      <c r="R39" s="578"/>
      <c r="S39" s="579"/>
      <c r="T39" s="579"/>
      <c r="U39" s="579"/>
      <c r="V39" s="579"/>
    </row>
    <row r="40" spans="2:22">
      <c r="B40" s="679"/>
      <c r="C40" s="21" t="s">
        <v>93</v>
      </c>
      <c r="D40" s="574"/>
      <c r="E40" s="574"/>
      <c r="F40" s="573"/>
      <c r="G40" s="574"/>
      <c r="H40" s="574"/>
      <c r="I40" s="574"/>
      <c r="J40" s="576"/>
      <c r="K40" s="576"/>
      <c r="L40" s="577"/>
      <c r="O40" s="578"/>
      <c r="P40" s="578"/>
      <c r="Q40" s="578"/>
      <c r="R40" s="578"/>
      <c r="S40" s="579"/>
      <c r="T40" s="579"/>
      <c r="U40" s="579"/>
      <c r="V40" s="579"/>
    </row>
    <row r="41" spans="2:22">
      <c r="B41" s="679" t="s">
        <v>26</v>
      </c>
      <c r="C41" s="21" t="s">
        <v>91</v>
      </c>
      <c r="D41" s="574"/>
      <c r="E41" s="574"/>
      <c r="F41" s="573"/>
      <c r="G41" s="574"/>
      <c r="H41" s="574"/>
      <c r="I41" s="574"/>
      <c r="J41" s="576"/>
      <c r="K41" s="576"/>
      <c r="L41" s="577"/>
      <c r="O41" s="578"/>
      <c r="P41" s="578"/>
      <c r="Q41" s="578"/>
      <c r="R41" s="578"/>
      <c r="S41" s="579"/>
      <c r="T41" s="579"/>
      <c r="U41" s="579"/>
      <c r="V41" s="579"/>
    </row>
    <row r="42" spans="2:22">
      <c r="B42" s="679"/>
      <c r="C42" s="21" t="s">
        <v>92</v>
      </c>
      <c r="D42" s="574"/>
      <c r="E42" s="574"/>
      <c r="F42" s="573"/>
      <c r="G42" s="574"/>
      <c r="H42" s="574"/>
      <c r="I42" s="574"/>
      <c r="J42" s="576"/>
      <c r="K42" s="576"/>
      <c r="L42" s="577"/>
      <c r="O42" s="578"/>
      <c r="P42" s="578"/>
      <c r="Q42" s="578"/>
      <c r="R42" s="578"/>
      <c r="S42" s="579"/>
      <c r="T42" s="579"/>
      <c r="U42" s="579"/>
      <c r="V42" s="579"/>
    </row>
    <row r="43" spans="2:22">
      <c r="B43" s="679"/>
      <c r="C43" s="21" t="s">
        <v>93</v>
      </c>
      <c r="D43" s="574"/>
      <c r="E43" s="574"/>
      <c r="F43" s="573"/>
      <c r="G43" s="574"/>
      <c r="H43" s="574"/>
      <c r="I43" s="574"/>
      <c r="J43" s="576"/>
      <c r="K43" s="576"/>
      <c r="L43" s="577"/>
    </row>
    <row r="46" spans="2:22">
      <c r="D46" s="18" t="s">
        <v>94</v>
      </c>
    </row>
    <row r="47" spans="2:22">
      <c r="B47" s="679" t="s">
        <v>42</v>
      </c>
      <c r="C47" s="679" t="s">
        <v>43</v>
      </c>
      <c r="D47" s="679" t="s">
        <v>44</v>
      </c>
      <c r="E47" s="679" t="s">
        <v>45</v>
      </c>
      <c r="F47" s="680" t="s">
        <v>50</v>
      </c>
      <c r="G47" s="680"/>
      <c r="H47" s="680"/>
      <c r="I47" s="680"/>
      <c r="J47" s="680"/>
      <c r="K47" s="680"/>
      <c r="L47" s="680"/>
    </row>
    <row r="48" spans="2:22">
      <c r="B48" s="679"/>
      <c r="C48" s="679"/>
      <c r="D48" s="679"/>
      <c r="E48" s="679"/>
      <c r="F48" s="680"/>
      <c r="G48" s="20" t="s">
        <v>6</v>
      </c>
      <c r="H48" s="20" t="s">
        <v>7</v>
      </c>
      <c r="I48" s="20" t="s">
        <v>51</v>
      </c>
      <c r="J48" s="20" t="s">
        <v>53</v>
      </c>
      <c r="K48" s="20" t="s">
        <v>54</v>
      </c>
      <c r="L48" s="20" t="s">
        <v>55</v>
      </c>
    </row>
    <row r="49" spans="2:12">
      <c r="B49" s="679" t="s">
        <v>10</v>
      </c>
      <c r="C49" s="21" t="s">
        <v>91</v>
      </c>
      <c r="D49" s="23" t="str">
        <f t="shared" ref="D49:F51" si="10">D7</f>
        <v>0.00</v>
      </c>
      <c r="E49" s="23">
        <f t="shared" si="10"/>
        <v>0</v>
      </c>
      <c r="F49" s="23">
        <f t="shared" si="10"/>
        <v>0</v>
      </c>
      <c r="G49" s="575"/>
      <c r="H49" s="575"/>
      <c r="I49" s="575"/>
      <c r="J49" s="28">
        <f t="shared" ref="J49:L51" si="11">J7</f>
        <v>0</v>
      </c>
      <c r="K49" s="28">
        <f t="shared" si="11"/>
        <v>0</v>
      </c>
      <c r="L49" s="32">
        <f t="shared" si="11"/>
        <v>0</v>
      </c>
    </row>
    <row r="50" spans="2:12">
      <c r="B50" s="679"/>
      <c r="C50" s="21" t="s">
        <v>92</v>
      </c>
      <c r="D50" s="23">
        <f t="shared" si="10"/>
        <v>0</v>
      </c>
      <c r="E50" s="23">
        <f t="shared" si="10"/>
        <v>8</v>
      </c>
      <c r="F50" s="23">
        <f t="shared" si="10"/>
        <v>124.16</v>
      </c>
      <c r="G50" s="575"/>
      <c r="H50" s="575"/>
      <c r="I50" s="575"/>
      <c r="J50" s="28">
        <f t="shared" si="11"/>
        <v>4.6559999999999997</v>
      </c>
      <c r="K50" s="28">
        <f t="shared" si="11"/>
        <v>0</v>
      </c>
      <c r="L50" s="32">
        <f t="shared" si="11"/>
        <v>19.989759999999997</v>
      </c>
    </row>
    <row r="51" spans="2:12">
      <c r="B51" s="679"/>
      <c r="C51" s="21" t="s">
        <v>93</v>
      </c>
      <c r="D51" s="23">
        <f t="shared" si="10"/>
        <v>0</v>
      </c>
      <c r="E51" s="23">
        <f t="shared" si="10"/>
        <v>8</v>
      </c>
      <c r="F51" s="23">
        <f t="shared" si="10"/>
        <v>124.16</v>
      </c>
      <c r="G51" s="575"/>
      <c r="H51" s="575"/>
      <c r="I51" s="575"/>
      <c r="J51" s="28">
        <f t="shared" si="11"/>
        <v>5.053312</v>
      </c>
      <c r="K51" s="28">
        <f t="shared" si="11"/>
        <v>0</v>
      </c>
      <c r="L51" s="32">
        <f t="shared" si="11"/>
        <v>28.556799999999999</v>
      </c>
    </row>
    <row r="52" spans="2:12">
      <c r="B52" s="679" t="s">
        <v>23</v>
      </c>
      <c r="C52" s="21" t="s">
        <v>91</v>
      </c>
      <c r="D52" s="575"/>
      <c r="E52" s="575"/>
      <c r="F52" s="23">
        <f>F13</f>
        <v>0</v>
      </c>
      <c r="G52" s="575"/>
      <c r="H52" s="575"/>
      <c r="I52" s="575"/>
      <c r="J52" s="28">
        <f t="shared" ref="J52:L54" si="12">J13</f>
        <v>0</v>
      </c>
      <c r="K52" s="28">
        <f t="shared" si="12"/>
        <v>0</v>
      </c>
      <c r="L52" s="32">
        <f t="shared" si="12"/>
        <v>0</v>
      </c>
    </row>
    <row r="53" spans="2:12">
      <c r="B53" s="679"/>
      <c r="C53" s="21" t="s">
        <v>92</v>
      </c>
      <c r="D53" s="575"/>
      <c r="E53" s="575"/>
      <c r="F53" s="23">
        <f>F14</f>
        <v>6.8998956094565553</v>
      </c>
      <c r="G53" s="575"/>
      <c r="H53" s="575"/>
      <c r="I53" s="575"/>
      <c r="J53" s="28">
        <f t="shared" si="12"/>
        <v>4.5035618642922932</v>
      </c>
      <c r="K53" s="28">
        <f t="shared" si="12"/>
        <v>0</v>
      </c>
      <c r="L53" s="32">
        <f t="shared" si="12"/>
        <v>23.128450082898372</v>
      </c>
    </row>
    <row r="54" spans="2:12">
      <c r="B54" s="679"/>
      <c r="C54" s="21" t="s">
        <v>93</v>
      </c>
      <c r="D54" s="575"/>
      <c r="E54" s="575"/>
      <c r="F54" s="23">
        <f>F15</f>
        <v>7.4929006823351028</v>
      </c>
      <c r="G54" s="575"/>
      <c r="H54" s="575"/>
      <c r="I54" s="575"/>
      <c r="J54" s="28">
        <f t="shared" si="12"/>
        <v>4.9483116106141019</v>
      </c>
      <c r="K54" s="28">
        <f t="shared" si="12"/>
        <v>0</v>
      </c>
      <c r="L54" s="32">
        <f t="shared" si="12"/>
        <v>25.326004306292649</v>
      </c>
    </row>
    <row r="55" spans="2:12">
      <c r="B55" s="679" t="s">
        <v>25</v>
      </c>
      <c r="C55" s="21" t="s">
        <v>91</v>
      </c>
      <c r="D55" s="575"/>
      <c r="E55" s="575"/>
      <c r="F55" s="23">
        <f>F17</f>
        <v>0</v>
      </c>
      <c r="G55" s="575"/>
      <c r="H55" s="575"/>
      <c r="I55" s="575"/>
      <c r="J55" s="28">
        <f t="shared" ref="J55:L57" si="13">J17</f>
        <v>0</v>
      </c>
      <c r="K55" s="28">
        <f t="shared" si="13"/>
        <v>0</v>
      </c>
      <c r="L55" s="32">
        <f t="shared" si="13"/>
        <v>0</v>
      </c>
    </row>
    <row r="56" spans="2:12">
      <c r="B56" s="679"/>
      <c r="C56" s="21" t="s">
        <v>92</v>
      </c>
      <c r="D56" s="575"/>
      <c r="E56" s="575"/>
      <c r="F56" s="23">
        <f>F18</f>
        <v>0</v>
      </c>
      <c r="G56" s="575"/>
      <c r="H56" s="575"/>
      <c r="I56" s="575"/>
      <c r="J56" s="28">
        <f t="shared" si="13"/>
        <v>0</v>
      </c>
      <c r="K56" s="28">
        <f t="shared" si="13"/>
        <v>0</v>
      </c>
      <c r="L56" s="32">
        <f t="shared" si="13"/>
        <v>0</v>
      </c>
    </row>
    <row r="57" spans="2:12">
      <c r="B57" s="679"/>
      <c r="C57" s="21" t="s">
        <v>93</v>
      </c>
      <c r="D57" s="575"/>
      <c r="E57" s="575"/>
      <c r="F57" s="23">
        <f>F19</f>
        <v>0</v>
      </c>
      <c r="G57" s="575"/>
      <c r="H57" s="575"/>
      <c r="I57" s="575"/>
      <c r="J57" s="28">
        <f t="shared" si="13"/>
        <v>0</v>
      </c>
      <c r="K57" s="28">
        <f t="shared" si="13"/>
        <v>0</v>
      </c>
      <c r="L57" s="32">
        <f t="shared" si="13"/>
        <v>0</v>
      </c>
    </row>
    <row r="58" spans="2:12">
      <c r="B58" s="679" t="s">
        <v>26</v>
      </c>
      <c r="C58" s="21" t="s">
        <v>91</v>
      </c>
      <c r="D58" s="575"/>
      <c r="E58" s="575"/>
      <c r="F58" s="23">
        <f>F21</f>
        <v>0</v>
      </c>
      <c r="G58" s="575"/>
      <c r="H58" s="575"/>
      <c r="I58" s="575"/>
      <c r="J58" s="28">
        <f t="shared" ref="J58:L60" si="14">J21</f>
        <v>0</v>
      </c>
      <c r="K58" s="28">
        <f t="shared" si="14"/>
        <v>0</v>
      </c>
      <c r="L58" s="32">
        <f t="shared" si="14"/>
        <v>0</v>
      </c>
    </row>
    <row r="59" spans="2:12">
      <c r="B59" s="679"/>
      <c r="C59" s="21" t="s">
        <v>92</v>
      </c>
      <c r="D59" s="575"/>
      <c r="E59" s="575"/>
      <c r="F59" s="23">
        <f>F22</f>
        <v>117.26010439054345</v>
      </c>
      <c r="G59" s="575"/>
      <c r="H59" s="575"/>
      <c r="I59" s="575"/>
      <c r="J59" s="28">
        <f t="shared" si="14"/>
        <v>0.15243813570770648</v>
      </c>
      <c r="K59" s="28">
        <f t="shared" si="14"/>
        <v>0</v>
      </c>
      <c r="L59" s="32">
        <f t="shared" si="14"/>
        <v>-3.1386900828983748</v>
      </c>
    </row>
    <row r="60" spans="2:12">
      <c r="B60" s="679"/>
      <c r="C60" s="21" t="s">
        <v>93</v>
      </c>
      <c r="D60" s="575"/>
      <c r="E60" s="575"/>
      <c r="F60" s="23">
        <f>F23</f>
        <v>116.66709931766489</v>
      </c>
      <c r="G60" s="575"/>
      <c r="H60" s="575"/>
      <c r="I60" s="575"/>
      <c r="J60" s="28">
        <f t="shared" si="14"/>
        <v>0.10500038938589817</v>
      </c>
      <c r="K60" s="28">
        <f t="shared" si="14"/>
        <v>0</v>
      </c>
      <c r="L60" s="32">
        <f t="shared" si="14"/>
        <v>3.2307956937073499</v>
      </c>
    </row>
  </sheetData>
  <sheetProtection sheet="1" objects="1"/>
  <mergeCells count="48">
    <mergeCell ref="M5:M6"/>
    <mergeCell ref="N5:N6"/>
    <mergeCell ref="B2:L3"/>
    <mergeCell ref="D30:D31"/>
    <mergeCell ref="D47:D48"/>
    <mergeCell ref="E5:E6"/>
    <mergeCell ref="E30:E31"/>
    <mergeCell ref="E47:E48"/>
    <mergeCell ref="G30:I30"/>
    <mergeCell ref="J30:L30"/>
    <mergeCell ref="G47:I47"/>
    <mergeCell ref="J47:L47"/>
    <mergeCell ref="B35:B37"/>
    <mergeCell ref="B38:B40"/>
    <mergeCell ref="B41:B43"/>
    <mergeCell ref="B47:B48"/>
    <mergeCell ref="B52:B54"/>
    <mergeCell ref="B55:B57"/>
    <mergeCell ref="B58:B60"/>
    <mergeCell ref="C5:C6"/>
    <mergeCell ref="C11:C12"/>
    <mergeCell ref="C30:C31"/>
    <mergeCell ref="C47:C48"/>
    <mergeCell ref="B5:B6"/>
    <mergeCell ref="B7:B10"/>
    <mergeCell ref="B11:B12"/>
    <mergeCell ref="B13:B16"/>
    <mergeCell ref="B17:B20"/>
    <mergeCell ref="B21:B24"/>
    <mergeCell ref="B30:B31"/>
    <mergeCell ref="B32:B34"/>
    <mergeCell ref="J11:L11"/>
    <mergeCell ref="C25:E25"/>
    <mergeCell ref="J25:K25"/>
    <mergeCell ref="F11:F12"/>
    <mergeCell ref="B49:B51"/>
    <mergeCell ref="F30:F31"/>
    <mergeCell ref="F47:F48"/>
    <mergeCell ref="C4:D4"/>
    <mergeCell ref="E4:F4"/>
    <mergeCell ref="G4:I4"/>
    <mergeCell ref="D11:E11"/>
    <mergeCell ref="G11:I11"/>
    <mergeCell ref="J4:K4"/>
    <mergeCell ref="G5:I5"/>
    <mergeCell ref="J5:L5"/>
    <mergeCell ref="D5:D6"/>
    <mergeCell ref="F5:F6"/>
  </mergeCells>
  <phoneticPr fontId="54" type="noConversion"/>
  <printOptions horizontalCentered="1" verticalCentered="1"/>
  <pageMargins left="0" right="0" top="0" bottom="0" header="0" footer="0"/>
  <pageSetup paperSize="9" orientation="landscape" horizontalDpi="180" verticalDpi="18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indexed="12"/>
  </sheetPr>
  <dimension ref="B2:AN60"/>
  <sheetViews>
    <sheetView topLeftCell="A29" workbookViewId="0">
      <selection activeCell="D32" sqref="D32:L43"/>
    </sheetView>
  </sheetViews>
  <sheetFormatPr defaultColWidth="9" defaultRowHeight="15.6"/>
  <cols>
    <col min="1" max="1" width="4.6640625" style="18" customWidth="1"/>
    <col min="2" max="2" width="6.33203125" style="18" customWidth="1"/>
    <col min="3" max="3" width="7" style="18" customWidth="1"/>
    <col min="4" max="4" width="10.21875" style="18" customWidth="1"/>
    <col min="5" max="5" width="9.88671875" style="18" customWidth="1"/>
    <col min="6" max="6" width="11.6640625" style="18" customWidth="1"/>
    <col min="7" max="8" width="9" style="18"/>
    <col min="9" max="9" width="9.33203125" style="18" customWidth="1"/>
    <col min="10" max="10" width="11.6640625" style="18" customWidth="1"/>
    <col min="11" max="11" width="10.44140625" style="18" customWidth="1"/>
    <col min="12" max="12" width="12.21875" style="18" customWidth="1"/>
    <col min="13" max="13" width="9" style="18"/>
    <col min="14" max="16" width="9" style="18" hidden="1" customWidth="1"/>
    <col min="17" max="17" width="9.77734375" style="18" hidden="1" customWidth="1"/>
    <col min="18" max="18" width="9" style="18" hidden="1" customWidth="1"/>
    <col min="19" max="19" width="9.109375" style="18" hidden="1" customWidth="1"/>
    <col min="20" max="20" width="9.44140625" style="18" hidden="1" customWidth="1"/>
    <col min="21" max="21" width="10.77734375" style="18" hidden="1" customWidth="1"/>
    <col min="22" max="22" width="10.21875" style="18" hidden="1" customWidth="1"/>
    <col min="23" max="40" width="9" style="18" hidden="1" customWidth="1"/>
    <col min="41" max="254" width="9" style="18"/>
    <col min="255" max="255" width="4.6640625" style="18" customWidth="1"/>
    <col min="256" max="256" width="6.33203125" style="18" customWidth="1"/>
    <col min="257" max="257" width="7" style="18" customWidth="1"/>
    <col min="258" max="258" width="10.21875" style="18" customWidth="1"/>
    <col min="259" max="259" width="9.88671875" style="18" customWidth="1"/>
    <col min="260" max="260" width="11.6640625" style="18" customWidth="1"/>
    <col min="261" max="263" width="9" style="18"/>
    <col min="264" max="264" width="9.33203125" style="18" customWidth="1"/>
    <col min="265" max="265" width="11.21875" style="18" customWidth="1"/>
    <col min="266" max="267" width="9" style="18"/>
    <col min="268" max="268" width="10.109375" style="18" customWidth="1"/>
    <col min="269" max="272" width="9" style="18"/>
    <col min="273" max="273" width="9.77734375" style="18" customWidth="1"/>
    <col min="274" max="274" width="9" style="18"/>
    <col min="275" max="275" width="9.109375" style="18" customWidth="1"/>
    <col min="276" max="276" width="9.44140625" style="18" customWidth="1"/>
    <col min="277" max="277" width="10.77734375" style="18" customWidth="1"/>
    <col min="278" max="278" width="10.21875" style="18" customWidth="1"/>
    <col min="279" max="510" width="9" style="18"/>
    <col min="511" max="511" width="4.6640625" style="18" customWidth="1"/>
    <col min="512" max="512" width="6.33203125" style="18" customWidth="1"/>
    <col min="513" max="513" width="7" style="18" customWidth="1"/>
    <col min="514" max="514" width="10.21875" style="18" customWidth="1"/>
    <col min="515" max="515" width="9.88671875" style="18" customWidth="1"/>
    <col min="516" max="516" width="11.6640625" style="18" customWidth="1"/>
    <col min="517" max="519" width="9" style="18"/>
    <col min="520" max="520" width="9.33203125" style="18" customWidth="1"/>
    <col min="521" max="521" width="11.21875" style="18" customWidth="1"/>
    <col min="522" max="523" width="9" style="18"/>
    <col min="524" max="524" width="10.109375" style="18" customWidth="1"/>
    <col min="525" max="528" width="9" style="18"/>
    <col min="529" max="529" width="9.77734375" style="18" customWidth="1"/>
    <col min="530" max="530" width="9" style="18"/>
    <col min="531" max="531" width="9.109375" style="18" customWidth="1"/>
    <col min="532" max="532" width="9.44140625" style="18" customWidth="1"/>
    <col min="533" max="533" width="10.77734375" style="18" customWidth="1"/>
    <col min="534" max="534" width="10.21875" style="18" customWidth="1"/>
    <col min="535" max="766" width="9" style="18"/>
    <col min="767" max="767" width="4.6640625" style="18" customWidth="1"/>
    <col min="768" max="768" width="6.33203125" style="18" customWidth="1"/>
    <col min="769" max="769" width="7" style="18" customWidth="1"/>
    <col min="770" max="770" width="10.21875" style="18" customWidth="1"/>
    <col min="771" max="771" width="9.88671875" style="18" customWidth="1"/>
    <col min="772" max="772" width="11.6640625" style="18" customWidth="1"/>
    <col min="773" max="775" width="9" style="18"/>
    <col min="776" max="776" width="9.33203125" style="18" customWidth="1"/>
    <col min="777" max="777" width="11.21875" style="18" customWidth="1"/>
    <col min="778" max="779" width="9" style="18"/>
    <col min="780" max="780" width="10.109375" style="18" customWidth="1"/>
    <col min="781" max="784" width="9" style="18"/>
    <col min="785" max="785" width="9.77734375" style="18" customWidth="1"/>
    <col min="786" max="786" width="9" style="18"/>
    <col min="787" max="787" width="9.109375" style="18" customWidth="1"/>
    <col min="788" max="788" width="9.44140625" style="18" customWidth="1"/>
    <col min="789" max="789" width="10.77734375" style="18" customWidth="1"/>
    <col min="790" max="790" width="10.21875" style="18" customWidth="1"/>
    <col min="791" max="1022" width="9" style="18"/>
    <col min="1023" max="1023" width="4.6640625" style="18" customWidth="1"/>
    <col min="1024" max="1024" width="6.33203125" style="18" customWidth="1"/>
    <col min="1025" max="1025" width="7" style="18" customWidth="1"/>
    <col min="1026" max="1026" width="10.21875" style="18" customWidth="1"/>
    <col min="1027" max="1027" width="9.88671875" style="18" customWidth="1"/>
    <col min="1028" max="1028" width="11.6640625" style="18" customWidth="1"/>
    <col min="1029" max="1031" width="9" style="18"/>
    <col min="1032" max="1032" width="9.33203125" style="18" customWidth="1"/>
    <col min="1033" max="1033" width="11.21875" style="18" customWidth="1"/>
    <col min="1034" max="1035" width="9" style="18"/>
    <col min="1036" max="1036" width="10.109375" style="18" customWidth="1"/>
    <col min="1037" max="1040" width="9" style="18"/>
    <col min="1041" max="1041" width="9.77734375" style="18" customWidth="1"/>
    <col min="1042" max="1042" width="9" style="18"/>
    <col min="1043" max="1043" width="9.109375" style="18" customWidth="1"/>
    <col min="1044" max="1044" width="9.44140625" style="18" customWidth="1"/>
    <col min="1045" max="1045" width="10.77734375" style="18" customWidth="1"/>
    <col min="1046" max="1046" width="10.21875" style="18" customWidth="1"/>
    <col min="1047" max="1278" width="9" style="18"/>
    <col min="1279" max="1279" width="4.6640625" style="18" customWidth="1"/>
    <col min="1280" max="1280" width="6.33203125" style="18" customWidth="1"/>
    <col min="1281" max="1281" width="7" style="18" customWidth="1"/>
    <col min="1282" max="1282" width="10.21875" style="18" customWidth="1"/>
    <col min="1283" max="1283" width="9.88671875" style="18" customWidth="1"/>
    <col min="1284" max="1284" width="11.6640625" style="18" customWidth="1"/>
    <col min="1285" max="1287" width="9" style="18"/>
    <col min="1288" max="1288" width="9.33203125" style="18" customWidth="1"/>
    <col min="1289" max="1289" width="11.21875" style="18" customWidth="1"/>
    <col min="1290" max="1291" width="9" style="18"/>
    <col min="1292" max="1292" width="10.109375" style="18" customWidth="1"/>
    <col min="1293" max="1296" width="9" style="18"/>
    <col min="1297" max="1297" width="9.77734375" style="18" customWidth="1"/>
    <col min="1298" max="1298" width="9" style="18"/>
    <col min="1299" max="1299" width="9.109375" style="18" customWidth="1"/>
    <col min="1300" max="1300" width="9.44140625" style="18" customWidth="1"/>
    <col min="1301" max="1301" width="10.77734375" style="18" customWidth="1"/>
    <col min="1302" max="1302" width="10.21875" style="18" customWidth="1"/>
    <col min="1303" max="1534" width="9" style="18"/>
    <col min="1535" max="1535" width="4.6640625" style="18" customWidth="1"/>
    <col min="1536" max="1536" width="6.33203125" style="18" customWidth="1"/>
    <col min="1537" max="1537" width="7" style="18" customWidth="1"/>
    <col min="1538" max="1538" width="10.21875" style="18" customWidth="1"/>
    <col min="1539" max="1539" width="9.88671875" style="18" customWidth="1"/>
    <col min="1540" max="1540" width="11.6640625" style="18" customWidth="1"/>
    <col min="1541" max="1543" width="9" style="18"/>
    <col min="1544" max="1544" width="9.33203125" style="18" customWidth="1"/>
    <col min="1545" max="1545" width="11.21875" style="18" customWidth="1"/>
    <col min="1546" max="1547" width="9" style="18"/>
    <col min="1548" max="1548" width="10.109375" style="18" customWidth="1"/>
    <col min="1549" max="1552" width="9" style="18"/>
    <col min="1553" max="1553" width="9.77734375" style="18" customWidth="1"/>
    <col min="1554" max="1554" width="9" style="18"/>
    <col min="1555" max="1555" width="9.109375" style="18" customWidth="1"/>
    <col min="1556" max="1556" width="9.44140625" style="18" customWidth="1"/>
    <col min="1557" max="1557" width="10.77734375" style="18" customWidth="1"/>
    <col min="1558" max="1558" width="10.21875" style="18" customWidth="1"/>
    <col min="1559" max="1790" width="9" style="18"/>
    <col min="1791" max="1791" width="4.6640625" style="18" customWidth="1"/>
    <col min="1792" max="1792" width="6.33203125" style="18" customWidth="1"/>
    <col min="1793" max="1793" width="7" style="18" customWidth="1"/>
    <col min="1794" max="1794" width="10.21875" style="18" customWidth="1"/>
    <col min="1795" max="1795" width="9.88671875" style="18" customWidth="1"/>
    <col min="1796" max="1796" width="11.6640625" style="18" customWidth="1"/>
    <col min="1797" max="1799" width="9" style="18"/>
    <col min="1800" max="1800" width="9.33203125" style="18" customWidth="1"/>
    <col min="1801" max="1801" width="11.21875" style="18" customWidth="1"/>
    <col min="1802" max="1803" width="9" style="18"/>
    <col min="1804" max="1804" width="10.109375" style="18" customWidth="1"/>
    <col min="1805" max="1808" width="9" style="18"/>
    <col min="1809" max="1809" width="9.77734375" style="18" customWidth="1"/>
    <col min="1810" max="1810" width="9" style="18"/>
    <col min="1811" max="1811" width="9.109375" style="18" customWidth="1"/>
    <col min="1812" max="1812" width="9.44140625" style="18" customWidth="1"/>
    <col min="1813" max="1813" width="10.77734375" style="18" customWidth="1"/>
    <col min="1814" max="1814" width="10.21875" style="18" customWidth="1"/>
    <col min="1815" max="2046" width="9" style="18"/>
    <col min="2047" max="2047" width="4.6640625" style="18" customWidth="1"/>
    <col min="2048" max="2048" width="6.33203125" style="18" customWidth="1"/>
    <col min="2049" max="2049" width="7" style="18" customWidth="1"/>
    <col min="2050" max="2050" width="10.21875" style="18" customWidth="1"/>
    <col min="2051" max="2051" width="9.88671875" style="18" customWidth="1"/>
    <col min="2052" max="2052" width="11.6640625" style="18" customWidth="1"/>
    <col min="2053" max="2055" width="9" style="18"/>
    <col min="2056" max="2056" width="9.33203125" style="18" customWidth="1"/>
    <col min="2057" max="2057" width="11.21875" style="18" customWidth="1"/>
    <col min="2058" max="2059" width="9" style="18"/>
    <col min="2060" max="2060" width="10.109375" style="18" customWidth="1"/>
    <col min="2061" max="2064" width="9" style="18"/>
    <col min="2065" max="2065" width="9.77734375" style="18" customWidth="1"/>
    <col min="2066" max="2066" width="9" style="18"/>
    <col min="2067" max="2067" width="9.109375" style="18" customWidth="1"/>
    <col min="2068" max="2068" width="9.44140625" style="18" customWidth="1"/>
    <col min="2069" max="2069" width="10.77734375" style="18" customWidth="1"/>
    <col min="2070" max="2070" width="10.21875" style="18" customWidth="1"/>
    <col min="2071" max="2302" width="9" style="18"/>
    <col min="2303" max="2303" width="4.6640625" style="18" customWidth="1"/>
    <col min="2304" max="2304" width="6.33203125" style="18" customWidth="1"/>
    <col min="2305" max="2305" width="7" style="18" customWidth="1"/>
    <col min="2306" max="2306" width="10.21875" style="18" customWidth="1"/>
    <col min="2307" max="2307" width="9.88671875" style="18" customWidth="1"/>
    <col min="2308" max="2308" width="11.6640625" style="18" customWidth="1"/>
    <col min="2309" max="2311" width="9" style="18"/>
    <col min="2312" max="2312" width="9.33203125" style="18" customWidth="1"/>
    <col min="2313" max="2313" width="11.21875" style="18" customWidth="1"/>
    <col min="2314" max="2315" width="9" style="18"/>
    <col min="2316" max="2316" width="10.109375" style="18" customWidth="1"/>
    <col min="2317" max="2320" width="9" style="18"/>
    <col min="2321" max="2321" width="9.77734375" style="18" customWidth="1"/>
    <col min="2322" max="2322" width="9" style="18"/>
    <col min="2323" max="2323" width="9.109375" style="18" customWidth="1"/>
    <col min="2324" max="2324" width="9.44140625" style="18" customWidth="1"/>
    <col min="2325" max="2325" width="10.77734375" style="18" customWidth="1"/>
    <col min="2326" max="2326" width="10.21875" style="18" customWidth="1"/>
    <col min="2327" max="2558" width="9" style="18"/>
    <col min="2559" max="2559" width="4.6640625" style="18" customWidth="1"/>
    <col min="2560" max="2560" width="6.33203125" style="18" customWidth="1"/>
    <col min="2561" max="2561" width="7" style="18" customWidth="1"/>
    <col min="2562" max="2562" width="10.21875" style="18" customWidth="1"/>
    <col min="2563" max="2563" width="9.88671875" style="18" customWidth="1"/>
    <col min="2564" max="2564" width="11.6640625" style="18" customWidth="1"/>
    <col min="2565" max="2567" width="9" style="18"/>
    <col min="2568" max="2568" width="9.33203125" style="18" customWidth="1"/>
    <col min="2569" max="2569" width="11.21875" style="18" customWidth="1"/>
    <col min="2570" max="2571" width="9" style="18"/>
    <col min="2572" max="2572" width="10.109375" style="18" customWidth="1"/>
    <col min="2573" max="2576" width="9" style="18"/>
    <col min="2577" max="2577" width="9.77734375" style="18" customWidth="1"/>
    <col min="2578" max="2578" width="9" style="18"/>
    <col min="2579" max="2579" width="9.109375" style="18" customWidth="1"/>
    <col min="2580" max="2580" width="9.44140625" style="18" customWidth="1"/>
    <col min="2581" max="2581" width="10.77734375" style="18" customWidth="1"/>
    <col min="2582" max="2582" width="10.21875" style="18" customWidth="1"/>
    <col min="2583" max="2814" width="9" style="18"/>
    <col min="2815" max="2815" width="4.6640625" style="18" customWidth="1"/>
    <col min="2816" max="2816" width="6.33203125" style="18" customWidth="1"/>
    <col min="2817" max="2817" width="7" style="18" customWidth="1"/>
    <col min="2818" max="2818" width="10.21875" style="18" customWidth="1"/>
    <col min="2819" max="2819" width="9.88671875" style="18" customWidth="1"/>
    <col min="2820" max="2820" width="11.6640625" style="18" customWidth="1"/>
    <col min="2821" max="2823" width="9" style="18"/>
    <col min="2824" max="2824" width="9.33203125" style="18" customWidth="1"/>
    <col min="2825" max="2825" width="11.21875" style="18" customWidth="1"/>
    <col min="2826" max="2827" width="9" style="18"/>
    <col min="2828" max="2828" width="10.109375" style="18" customWidth="1"/>
    <col min="2829" max="2832" width="9" style="18"/>
    <col min="2833" max="2833" width="9.77734375" style="18" customWidth="1"/>
    <col min="2834" max="2834" width="9" style="18"/>
    <col min="2835" max="2835" width="9.109375" style="18" customWidth="1"/>
    <col min="2836" max="2836" width="9.44140625" style="18" customWidth="1"/>
    <col min="2837" max="2837" width="10.77734375" style="18" customWidth="1"/>
    <col min="2838" max="2838" width="10.21875" style="18" customWidth="1"/>
    <col min="2839" max="3070" width="9" style="18"/>
    <col min="3071" max="3071" width="4.6640625" style="18" customWidth="1"/>
    <col min="3072" max="3072" width="6.33203125" style="18" customWidth="1"/>
    <col min="3073" max="3073" width="7" style="18" customWidth="1"/>
    <col min="3074" max="3074" width="10.21875" style="18" customWidth="1"/>
    <col min="3075" max="3075" width="9.88671875" style="18" customWidth="1"/>
    <col min="3076" max="3076" width="11.6640625" style="18" customWidth="1"/>
    <col min="3077" max="3079" width="9" style="18"/>
    <col min="3080" max="3080" width="9.33203125" style="18" customWidth="1"/>
    <col min="3081" max="3081" width="11.21875" style="18" customWidth="1"/>
    <col min="3082" max="3083" width="9" style="18"/>
    <col min="3084" max="3084" width="10.109375" style="18" customWidth="1"/>
    <col min="3085" max="3088" width="9" style="18"/>
    <col min="3089" max="3089" width="9.77734375" style="18" customWidth="1"/>
    <col min="3090" max="3090" width="9" style="18"/>
    <col min="3091" max="3091" width="9.109375" style="18" customWidth="1"/>
    <col min="3092" max="3092" width="9.44140625" style="18" customWidth="1"/>
    <col min="3093" max="3093" width="10.77734375" style="18" customWidth="1"/>
    <col min="3094" max="3094" width="10.21875" style="18" customWidth="1"/>
    <col min="3095" max="3326" width="9" style="18"/>
    <col min="3327" max="3327" width="4.6640625" style="18" customWidth="1"/>
    <col min="3328" max="3328" width="6.33203125" style="18" customWidth="1"/>
    <col min="3329" max="3329" width="7" style="18" customWidth="1"/>
    <col min="3330" max="3330" width="10.21875" style="18" customWidth="1"/>
    <col min="3331" max="3331" width="9.88671875" style="18" customWidth="1"/>
    <col min="3332" max="3332" width="11.6640625" style="18" customWidth="1"/>
    <col min="3333" max="3335" width="9" style="18"/>
    <col min="3336" max="3336" width="9.33203125" style="18" customWidth="1"/>
    <col min="3337" max="3337" width="11.21875" style="18" customWidth="1"/>
    <col min="3338" max="3339" width="9" style="18"/>
    <col min="3340" max="3340" width="10.109375" style="18" customWidth="1"/>
    <col min="3341" max="3344" width="9" style="18"/>
    <col min="3345" max="3345" width="9.77734375" style="18" customWidth="1"/>
    <col min="3346" max="3346" width="9" style="18"/>
    <col min="3347" max="3347" width="9.109375" style="18" customWidth="1"/>
    <col min="3348" max="3348" width="9.44140625" style="18" customWidth="1"/>
    <col min="3349" max="3349" width="10.77734375" style="18" customWidth="1"/>
    <col min="3350" max="3350" width="10.21875" style="18" customWidth="1"/>
    <col min="3351" max="3582" width="9" style="18"/>
    <col min="3583" max="3583" width="4.6640625" style="18" customWidth="1"/>
    <col min="3584" max="3584" width="6.33203125" style="18" customWidth="1"/>
    <col min="3585" max="3585" width="7" style="18" customWidth="1"/>
    <col min="3586" max="3586" width="10.21875" style="18" customWidth="1"/>
    <col min="3587" max="3587" width="9.88671875" style="18" customWidth="1"/>
    <col min="3588" max="3588" width="11.6640625" style="18" customWidth="1"/>
    <col min="3589" max="3591" width="9" style="18"/>
    <col min="3592" max="3592" width="9.33203125" style="18" customWidth="1"/>
    <col min="3593" max="3593" width="11.21875" style="18" customWidth="1"/>
    <col min="3594" max="3595" width="9" style="18"/>
    <col min="3596" max="3596" width="10.109375" style="18" customWidth="1"/>
    <col min="3597" max="3600" width="9" style="18"/>
    <col min="3601" max="3601" width="9.77734375" style="18" customWidth="1"/>
    <col min="3602" max="3602" width="9" style="18"/>
    <col min="3603" max="3603" width="9.109375" style="18" customWidth="1"/>
    <col min="3604" max="3604" width="9.44140625" style="18" customWidth="1"/>
    <col min="3605" max="3605" width="10.77734375" style="18" customWidth="1"/>
    <col min="3606" max="3606" width="10.21875" style="18" customWidth="1"/>
    <col min="3607" max="3838" width="9" style="18"/>
    <col min="3839" max="3839" width="4.6640625" style="18" customWidth="1"/>
    <col min="3840" max="3840" width="6.33203125" style="18" customWidth="1"/>
    <col min="3841" max="3841" width="7" style="18" customWidth="1"/>
    <col min="3842" max="3842" width="10.21875" style="18" customWidth="1"/>
    <col min="3843" max="3843" width="9.88671875" style="18" customWidth="1"/>
    <col min="3844" max="3844" width="11.6640625" style="18" customWidth="1"/>
    <col min="3845" max="3847" width="9" style="18"/>
    <col min="3848" max="3848" width="9.33203125" style="18" customWidth="1"/>
    <col min="3849" max="3849" width="11.21875" style="18" customWidth="1"/>
    <col min="3850" max="3851" width="9" style="18"/>
    <col min="3852" max="3852" width="10.109375" style="18" customWidth="1"/>
    <col min="3853" max="3856" width="9" style="18"/>
    <col min="3857" max="3857" width="9.77734375" style="18" customWidth="1"/>
    <col min="3858" max="3858" width="9" style="18"/>
    <col min="3859" max="3859" width="9.109375" style="18" customWidth="1"/>
    <col min="3860" max="3860" width="9.44140625" style="18" customWidth="1"/>
    <col min="3861" max="3861" width="10.77734375" style="18" customWidth="1"/>
    <col min="3862" max="3862" width="10.21875" style="18" customWidth="1"/>
    <col min="3863" max="4094" width="9" style="18"/>
    <col min="4095" max="4095" width="4.6640625" style="18" customWidth="1"/>
    <col min="4096" max="4096" width="6.33203125" style="18" customWidth="1"/>
    <col min="4097" max="4097" width="7" style="18" customWidth="1"/>
    <col min="4098" max="4098" width="10.21875" style="18" customWidth="1"/>
    <col min="4099" max="4099" width="9.88671875" style="18" customWidth="1"/>
    <col min="4100" max="4100" width="11.6640625" style="18" customWidth="1"/>
    <col min="4101" max="4103" width="9" style="18"/>
    <col min="4104" max="4104" width="9.33203125" style="18" customWidth="1"/>
    <col min="4105" max="4105" width="11.21875" style="18" customWidth="1"/>
    <col min="4106" max="4107" width="9" style="18"/>
    <col min="4108" max="4108" width="10.109375" style="18" customWidth="1"/>
    <col min="4109" max="4112" width="9" style="18"/>
    <col min="4113" max="4113" width="9.77734375" style="18" customWidth="1"/>
    <col min="4114" max="4114" width="9" style="18"/>
    <col min="4115" max="4115" width="9.109375" style="18" customWidth="1"/>
    <col min="4116" max="4116" width="9.44140625" style="18" customWidth="1"/>
    <col min="4117" max="4117" width="10.77734375" style="18" customWidth="1"/>
    <col min="4118" max="4118" width="10.21875" style="18" customWidth="1"/>
    <col min="4119" max="4350" width="9" style="18"/>
    <col min="4351" max="4351" width="4.6640625" style="18" customWidth="1"/>
    <col min="4352" max="4352" width="6.33203125" style="18" customWidth="1"/>
    <col min="4353" max="4353" width="7" style="18" customWidth="1"/>
    <col min="4354" max="4354" width="10.21875" style="18" customWidth="1"/>
    <col min="4355" max="4355" width="9.88671875" style="18" customWidth="1"/>
    <col min="4356" max="4356" width="11.6640625" style="18" customWidth="1"/>
    <col min="4357" max="4359" width="9" style="18"/>
    <col min="4360" max="4360" width="9.33203125" style="18" customWidth="1"/>
    <col min="4361" max="4361" width="11.21875" style="18" customWidth="1"/>
    <col min="4362" max="4363" width="9" style="18"/>
    <col min="4364" max="4364" width="10.109375" style="18" customWidth="1"/>
    <col min="4365" max="4368" width="9" style="18"/>
    <col min="4369" max="4369" width="9.77734375" style="18" customWidth="1"/>
    <col min="4370" max="4370" width="9" style="18"/>
    <col min="4371" max="4371" width="9.109375" style="18" customWidth="1"/>
    <col min="4372" max="4372" width="9.44140625" style="18" customWidth="1"/>
    <col min="4373" max="4373" width="10.77734375" style="18" customWidth="1"/>
    <col min="4374" max="4374" width="10.21875" style="18" customWidth="1"/>
    <col min="4375" max="4606" width="9" style="18"/>
    <col min="4607" max="4607" width="4.6640625" style="18" customWidth="1"/>
    <col min="4608" max="4608" width="6.33203125" style="18" customWidth="1"/>
    <col min="4609" max="4609" width="7" style="18" customWidth="1"/>
    <col min="4610" max="4610" width="10.21875" style="18" customWidth="1"/>
    <col min="4611" max="4611" width="9.88671875" style="18" customWidth="1"/>
    <col min="4612" max="4612" width="11.6640625" style="18" customWidth="1"/>
    <col min="4613" max="4615" width="9" style="18"/>
    <col min="4616" max="4616" width="9.33203125" style="18" customWidth="1"/>
    <col min="4617" max="4617" width="11.21875" style="18" customWidth="1"/>
    <col min="4618" max="4619" width="9" style="18"/>
    <col min="4620" max="4620" width="10.109375" style="18" customWidth="1"/>
    <col min="4621" max="4624" width="9" style="18"/>
    <col min="4625" max="4625" width="9.77734375" style="18" customWidth="1"/>
    <col min="4626" max="4626" width="9" style="18"/>
    <col min="4627" max="4627" width="9.109375" style="18" customWidth="1"/>
    <col min="4628" max="4628" width="9.44140625" style="18" customWidth="1"/>
    <col min="4629" max="4629" width="10.77734375" style="18" customWidth="1"/>
    <col min="4630" max="4630" width="10.21875" style="18" customWidth="1"/>
    <col min="4631" max="4862" width="9" style="18"/>
    <col min="4863" max="4863" width="4.6640625" style="18" customWidth="1"/>
    <col min="4864" max="4864" width="6.33203125" style="18" customWidth="1"/>
    <col min="4865" max="4865" width="7" style="18" customWidth="1"/>
    <col min="4866" max="4866" width="10.21875" style="18" customWidth="1"/>
    <col min="4867" max="4867" width="9.88671875" style="18" customWidth="1"/>
    <col min="4868" max="4868" width="11.6640625" style="18" customWidth="1"/>
    <col min="4869" max="4871" width="9" style="18"/>
    <col min="4872" max="4872" width="9.33203125" style="18" customWidth="1"/>
    <col min="4873" max="4873" width="11.21875" style="18" customWidth="1"/>
    <col min="4874" max="4875" width="9" style="18"/>
    <col min="4876" max="4876" width="10.109375" style="18" customWidth="1"/>
    <col min="4877" max="4880" width="9" style="18"/>
    <col min="4881" max="4881" width="9.77734375" style="18" customWidth="1"/>
    <col min="4882" max="4882" width="9" style="18"/>
    <col min="4883" max="4883" width="9.109375" style="18" customWidth="1"/>
    <col min="4884" max="4884" width="9.44140625" style="18" customWidth="1"/>
    <col min="4885" max="4885" width="10.77734375" style="18" customWidth="1"/>
    <col min="4886" max="4886" width="10.21875" style="18" customWidth="1"/>
    <col min="4887" max="5118" width="9" style="18"/>
    <col min="5119" max="5119" width="4.6640625" style="18" customWidth="1"/>
    <col min="5120" max="5120" width="6.33203125" style="18" customWidth="1"/>
    <col min="5121" max="5121" width="7" style="18" customWidth="1"/>
    <col min="5122" max="5122" width="10.21875" style="18" customWidth="1"/>
    <col min="5123" max="5123" width="9.88671875" style="18" customWidth="1"/>
    <col min="5124" max="5124" width="11.6640625" style="18" customWidth="1"/>
    <col min="5125" max="5127" width="9" style="18"/>
    <col min="5128" max="5128" width="9.33203125" style="18" customWidth="1"/>
    <col min="5129" max="5129" width="11.21875" style="18" customWidth="1"/>
    <col min="5130" max="5131" width="9" style="18"/>
    <col min="5132" max="5132" width="10.109375" style="18" customWidth="1"/>
    <col min="5133" max="5136" width="9" style="18"/>
    <col min="5137" max="5137" width="9.77734375" style="18" customWidth="1"/>
    <col min="5138" max="5138" width="9" style="18"/>
    <col min="5139" max="5139" width="9.109375" style="18" customWidth="1"/>
    <col min="5140" max="5140" width="9.44140625" style="18" customWidth="1"/>
    <col min="5141" max="5141" width="10.77734375" style="18" customWidth="1"/>
    <col min="5142" max="5142" width="10.21875" style="18" customWidth="1"/>
    <col min="5143" max="5374" width="9" style="18"/>
    <col min="5375" max="5375" width="4.6640625" style="18" customWidth="1"/>
    <col min="5376" max="5376" width="6.33203125" style="18" customWidth="1"/>
    <col min="5377" max="5377" width="7" style="18" customWidth="1"/>
    <col min="5378" max="5378" width="10.21875" style="18" customWidth="1"/>
    <col min="5379" max="5379" width="9.88671875" style="18" customWidth="1"/>
    <col min="5380" max="5380" width="11.6640625" style="18" customWidth="1"/>
    <col min="5381" max="5383" width="9" style="18"/>
    <col min="5384" max="5384" width="9.33203125" style="18" customWidth="1"/>
    <col min="5385" max="5385" width="11.21875" style="18" customWidth="1"/>
    <col min="5386" max="5387" width="9" style="18"/>
    <col min="5388" max="5388" width="10.109375" style="18" customWidth="1"/>
    <col min="5389" max="5392" width="9" style="18"/>
    <col min="5393" max="5393" width="9.77734375" style="18" customWidth="1"/>
    <col min="5394" max="5394" width="9" style="18"/>
    <col min="5395" max="5395" width="9.109375" style="18" customWidth="1"/>
    <col min="5396" max="5396" width="9.44140625" style="18" customWidth="1"/>
    <col min="5397" max="5397" width="10.77734375" style="18" customWidth="1"/>
    <col min="5398" max="5398" width="10.21875" style="18" customWidth="1"/>
    <col min="5399" max="5630" width="9" style="18"/>
    <col min="5631" max="5631" width="4.6640625" style="18" customWidth="1"/>
    <col min="5632" max="5632" width="6.33203125" style="18" customWidth="1"/>
    <col min="5633" max="5633" width="7" style="18" customWidth="1"/>
    <col min="5634" max="5634" width="10.21875" style="18" customWidth="1"/>
    <col min="5635" max="5635" width="9.88671875" style="18" customWidth="1"/>
    <col min="5636" max="5636" width="11.6640625" style="18" customWidth="1"/>
    <col min="5637" max="5639" width="9" style="18"/>
    <col min="5640" max="5640" width="9.33203125" style="18" customWidth="1"/>
    <col min="5641" max="5641" width="11.21875" style="18" customWidth="1"/>
    <col min="5642" max="5643" width="9" style="18"/>
    <col min="5644" max="5644" width="10.109375" style="18" customWidth="1"/>
    <col min="5645" max="5648" width="9" style="18"/>
    <col min="5649" max="5649" width="9.77734375" style="18" customWidth="1"/>
    <col min="5650" max="5650" width="9" style="18"/>
    <col min="5651" max="5651" width="9.109375" style="18" customWidth="1"/>
    <col min="5652" max="5652" width="9.44140625" style="18" customWidth="1"/>
    <col min="5653" max="5653" width="10.77734375" style="18" customWidth="1"/>
    <col min="5654" max="5654" width="10.21875" style="18" customWidth="1"/>
    <col min="5655" max="5886" width="9" style="18"/>
    <col min="5887" max="5887" width="4.6640625" style="18" customWidth="1"/>
    <col min="5888" max="5888" width="6.33203125" style="18" customWidth="1"/>
    <col min="5889" max="5889" width="7" style="18" customWidth="1"/>
    <col min="5890" max="5890" width="10.21875" style="18" customWidth="1"/>
    <col min="5891" max="5891" width="9.88671875" style="18" customWidth="1"/>
    <col min="5892" max="5892" width="11.6640625" style="18" customWidth="1"/>
    <col min="5893" max="5895" width="9" style="18"/>
    <col min="5896" max="5896" width="9.33203125" style="18" customWidth="1"/>
    <col min="5897" max="5897" width="11.21875" style="18" customWidth="1"/>
    <col min="5898" max="5899" width="9" style="18"/>
    <col min="5900" max="5900" width="10.109375" style="18" customWidth="1"/>
    <col min="5901" max="5904" width="9" style="18"/>
    <col min="5905" max="5905" width="9.77734375" style="18" customWidth="1"/>
    <col min="5906" max="5906" width="9" style="18"/>
    <col min="5907" max="5907" width="9.109375" style="18" customWidth="1"/>
    <col min="5908" max="5908" width="9.44140625" style="18" customWidth="1"/>
    <col min="5909" max="5909" width="10.77734375" style="18" customWidth="1"/>
    <col min="5910" max="5910" width="10.21875" style="18" customWidth="1"/>
    <col min="5911" max="6142" width="9" style="18"/>
    <col min="6143" max="6143" width="4.6640625" style="18" customWidth="1"/>
    <col min="6144" max="6144" width="6.33203125" style="18" customWidth="1"/>
    <col min="6145" max="6145" width="7" style="18" customWidth="1"/>
    <col min="6146" max="6146" width="10.21875" style="18" customWidth="1"/>
    <col min="6147" max="6147" width="9.88671875" style="18" customWidth="1"/>
    <col min="6148" max="6148" width="11.6640625" style="18" customWidth="1"/>
    <col min="6149" max="6151" width="9" style="18"/>
    <col min="6152" max="6152" width="9.33203125" style="18" customWidth="1"/>
    <col min="6153" max="6153" width="11.21875" style="18" customWidth="1"/>
    <col min="6154" max="6155" width="9" style="18"/>
    <col min="6156" max="6156" width="10.109375" style="18" customWidth="1"/>
    <col min="6157" max="6160" width="9" style="18"/>
    <col min="6161" max="6161" width="9.77734375" style="18" customWidth="1"/>
    <col min="6162" max="6162" width="9" style="18"/>
    <col min="6163" max="6163" width="9.109375" style="18" customWidth="1"/>
    <col min="6164" max="6164" width="9.44140625" style="18" customWidth="1"/>
    <col min="6165" max="6165" width="10.77734375" style="18" customWidth="1"/>
    <col min="6166" max="6166" width="10.21875" style="18" customWidth="1"/>
    <col min="6167" max="6398" width="9" style="18"/>
    <col min="6399" max="6399" width="4.6640625" style="18" customWidth="1"/>
    <col min="6400" max="6400" width="6.33203125" style="18" customWidth="1"/>
    <col min="6401" max="6401" width="7" style="18" customWidth="1"/>
    <col min="6402" max="6402" width="10.21875" style="18" customWidth="1"/>
    <col min="6403" max="6403" width="9.88671875" style="18" customWidth="1"/>
    <col min="6404" max="6404" width="11.6640625" style="18" customWidth="1"/>
    <col min="6405" max="6407" width="9" style="18"/>
    <col min="6408" max="6408" width="9.33203125" style="18" customWidth="1"/>
    <col min="6409" max="6409" width="11.21875" style="18" customWidth="1"/>
    <col min="6410" max="6411" width="9" style="18"/>
    <col min="6412" max="6412" width="10.109375" style="18" customWidth="1"/>
    <col min="6413" max="6416" width="9" style="18"/>
    <col min="6417" max="6417" width="9.77734375" style="18" customWidth="1"/>
    <col min="6418" max="6418" width="9" style="18"/>
    <col min="6419" max="6419" width="9.109375" style="18" customWidth="1"/>
    <col min="6420" max="6420" width="9.44140625" style="18" customWidth="1"/>
    <col min="6421" max="6421" width="10.77734375" style="18" customWidth="1"/>
    <col min="6422" max="6422" width="10.21875" style="18" customWidth="1"/>
    <col min="6423" max="6654" width="9" style="18"/>
    <col min="6655" max="6655" width="4.6640625" style="18" customWidth="1"/>
    <col min="6656" max="6656" width="6.33203125" style="18" customWidth="1"/>
    <col min="6657" max="6657" width="7" style="18" customWidth="1"/>
    <col min="6658" max="6658" width="10.21875" style="18" customWidth="1"/>
    <col min="6659" max="6659" width="9.88671875" style="18" customWidth="1"/>
    <col min="6660" max="6660" width="11.6640625" style="18" customWidth="1"/>
    <col min="6661" max="6663" width="9" style="18"/>
    <col min="6664" max="6664" width="9.33203125" style="18" customWidth="1"/>
    <col min="6665" max="6665" width="11.21875" style="18" customWidth="1"/>
    <col min="6666" max="6667" width="9" style="18"/>
    <col min="6668" max="6668" width="10.109375" style="18" customWidth="1"/>
    <col min="6669" max="6672" width="9" style="18"/>
    <col min="6673" max="6673" width="9.77734375" style="18" customWidth="1"/>
    <col min="6674" max="6674" width="9" style="18"/>
    <col min="6675" max="6675" width="9.109375" style="18" customWidth="1"/>
    <col min="6676" max="6676" width="9.44140625" style="18" customWidth="1"/>
    <col min="6677" max="6677" width="10.77734375" style="18" customWidth="1"/>
    <col min="6678" max="6678" width="10.21875" style="18" customWidth="1"/>
    <col min="6679" max="6910" width="9" style="18"/>
    <col min="6911" max="6911" width="4.6640625" style="18" customWidth="1"/>
    <col min="6912" max="6912" width="6.33203125" style="18" customWidth="1"/>
    <col min="6913" max="6913" width="7" style="18" customWidth="1"/>
    <col min="6914" max="6914" width="10.21875" style="18" customWidth="1"/>
    <col min="6915" max="6915" width="9.88671875" style="18" customWidth="1"/>
    <col min="6916" max="6916" width="11.6640625" style="18" customWidth="1"/>
    <col min="6917" max="6919" width="9" style="18"/>
    <col min="6920" max="6920" width="9.33203125" style="18" customWidth="1"/>
    <col min="6921" max="6921" width="11.21875" style="18" customWidth="1"/>
    <col min="6922" max="6923" width="9" style="18"/>
    <col min="6924" max="6924" width="10.109375" style="18" customWidth="1"/>
    <col min="6925" max="6928" width="9" style="18"/>
    <col min="6929" max="6929" width="9.77734375" style="18" customWidth="1"/>
    <col min="6930" max="6930" width="9" style="18"/>
    <col min="6931" max="6931" width="9.109375" style="18" customWidth="1"/>
    <col min="6932" max="6932" width="9.44140625" style="18" customWidth="1"/>
    <col min="6933" max="6933" width="10.77734375" style="18" customWidth="1"/>
    <col min="6934" max="6934" width="10.21875" style="18" customWidth="1"/>
    <col min="6935" max="7166" width="9" style="18"/>
    <col min="7167" max="7167" width="4.6640625" style="18" customWidth="1"/>
    <col min="7168" max="7168" width="6.33203125" style="18" customWidth="1"/>
    <col min="7169" max="7169" width="7" style="18" customWidth="1"/>
    <col min="7170" max="7170" width="10.21875" style="18" customWidth="1"/>
    <col min="7171" max="7171" width="9.88671875" style="18" customWidth="1"/>
    <col min="7172" max="7172" width="11.6640625" style="18" customWidth="1"/>
    <col min="7173" max="7175" width="9" style="18"/>
    <col min="7176" max="7176" width="9.33203125" style="18" customWidth="1"/>
    <col min="7177" max="7177" width="11.21875" style="18" customWidth="1"/>
    <col min="7178" max="7179" width="9" style="18"/>
    <col min="7180" max="7180" width="10.109375" style="18" customWidth="1"/>
    <col min="7181" max="7184" width="9" style="18"/>
    <col min="7185" max="7185" width="9.77734375" style="18" customWidth="1"/>
    <col min="7186" max="7186" width="9" style="18"/>
    <col min="7187" max="7187" width="9.109375" style="18" customWidth="1"/>
    <col min="7188" max="7188" width="9.44140625" style="18" customWidth="1"/>
    <col min="7189" max="7189" width="10.77734375" style="18" customWidth="1"/>
    <col min="7190" max="7190" width="10.21875" style="18" customWidth="1"/>
    <col min="7191" max="7422" width="9" style="18"/>
    <col min="7423" max="7423" width="4.6640625" style="18" customWidth="1"/>
    <col min="7424" max="7424" width="6.33203125" style="18" customWidth="1"/>
    <col min="7425" max="7425" width="7" style="18" customWidth="1"/>
    <col min="7426" max="7426" width="10.21875" style="18" customWidth="1"/>
    <col min="7427" max="7427" width="9.88671875" style="18" customWidth="1"/>
    <col min="7428" max="7428" width="11.6640625" style="18" customWidth="1"/>
    <col min="7429" max="7431" width="9" style="18"/>
    <col min="7432" max="7432" width="9.33203125" style="18" customWidth="1"/>
    <col min="7433" max="7433" width="11.21875" style="18" customWidth="1"/>
    <col min="7434" max="7435" width="9" style="18"/>
    <col min="7436" max="7436" width="10.109375" style="18" customWidth="1"/>
    <col min="7437" max="7440" width="9" style="18"/>
    <col min="7441" max="7441" width="9.77734375" style="18" customWidth="1"/>
    <col min="7442" max="7442" width="9" style="18"/>
    <col min="7443" max="7443" width="9.109375" style="18" customWidth="1"/>
    <col min="7444" max="7444" width="9.44140625" style="18" customWidth="1"/>
    <col min="7445" max="7445" width="10.77734375" style="18" customWidth="1"/>
    <col min="7446" max="7446" width="10.21875" style="18" customWidth="1"/>
    <col min="7447" max="7678" width="9" style="18"/>
    <col min="7679" max="7679" width="4.6640625" style="18" customWidth="1"/>
    <col min="7680" max="7680" width="6.33203125" style="18" customWidth="1"/>
    <col min="7681" max="7681" width="7" style="18" customWidth="1"/>
    <col min="7682" max="7682" width="10.21875" style="18" customWidth="1"/>
    <col min="7683" max="7683" width="9.88671875" style="18" customWidth="1"/>
    <col min="7684" max="7684" width="11.6640625" style="18" customWidth="1"/>
    <col min="7685" max="7687" width="9" style="18"/>
    <col min="7688" max="7688" width="9.33203125" style="18" customWidth="1"/>
    <col min="7689" max="7689" width="11.21875" style="18" customWidth="1"/>
    <col min="7690" max="7691" width="9" style="18"/>
    <col min="7692" max="7692" width="10.109375" style="18" customWidth="1"/>
    <col min="7693" max="7696" width="9" style="18"/>
    <col min="7697" max="7697" width="9.77734375" style="18" customWidth="1"/>
    <col min="7698" max="7698" width="9" style="18"/>
    <col min="7699" max="7699" width="9.109375" style="18" customWidth="1"/>
    <col min="7700" max="7700" width="9.44140625" style="18" customWidth="1"/>
    <col min="7701" max="7701" width="10.77734375" style="18" customWidth="1"/>
    <col min="7702" max="7702" width="10.21875" style="18" customWidth="1"/>
    <col min="7703" max="7934" width="9" style="18"/>
    <col min="7935" max="7935" width="4.6640625" style="18" customWidth="1"/>
    <col min="7936" max="7936" width="6.33203125" style="18" customWidth="1"/>
    <col min="7937" max="7937" width="7" style="18" customWidth="1"/>
    <col min="7938" max="7938" width="10.21875" style="18" customWidth="1"/>
    <col min="7939" max="7939" width="9.88671875" style="18" customWidth="1"/>
    <col min="7940" max="7940" width="11.6640625" style="18" customWidth="1"/>
    <col min="7941" max="7943" width="9" style="18"/>
    <col min="7944" max="7944" width="9.33203125" style="18" customWidth="1"/>
    <col min="7945" max="7945" width="11.21875" style="18" customWidth="1"/>
    <col min="7946" max="7947" width="9" style="18"/>
    <col min="7948" max="7948" width="10.109375" style="18" customWidth="1"/>
    <col min="7949" max="7952" width="9" style="18"/>
    <col min="7953" max="7953" width="9.77734375" style="18" customWidth="1"/>
    <col min="7954" max="7954" width="9" style="18"/>
    <col min="7955" max="7955" width="9.109375" style="18" customWidth="1"/>
    <col min="7956" max="7956" width="9.44140625" style="18" customWidth="1"/>
    <col min="7957" max="7957" width="10.77734375" style="18" customWidth="1"/>
    <col min="7958" max="7958" width="10.21875" style="18" customWidth="1"/>
    <col min="7959" max="8190" width="9" style="18"/>
    <col min="8191" max="8191" width="4.6640625" style="18" customWidth="1"/>
    <col min="8192" max="8192" width="6.33203125" style="18" customWidth="1"/>
    <col min="8193" max="8193" width="7" style="18" customWidth="1"/>
    <col min="8194" max="8194" width="10.21875" style="18" customWidth="1"/>
    <col min="8195" max="8195" width="9.88671875" style="18" customWidth="1"/>
    <col min="8196" max="8196" width="11.6640625" style="18" customWidth="1"/>
    <col min="8197" max="8199" width="9" style="18"/>
    <col min="8200" max="8200" width="9.33203125" style="18" customWidth="1"/>
    <col min="8201" max="8201" width="11.21875" style="18" customWidth="1"/>
    <col min="8202" max="8203" width="9" style="18"/>
    <col min="8204" max="8204" width="10.109375" style="18" customWidth="1"/>
    <col min="8205" max="8208" width="9" style="18"/>
    <col min="8209" max="8209" width="9.77734375" style="18" customWidth="1"/>
    <col min="8210" max="8210" width="9" style="18"/>
    <col min="8211" max="8211" width="9.109375" style="18" customWidth="1"/>
    <col min="8212" max="8212" width="9.44140625" style="18" customWidth="1"/>
    <col min="8213" max="8213" width="10.77734375" style="18" customWidth="1"/>
    <col min="8214" max="8214" width="10.21875" style="18" customWidth="1"/>
    <col min="8215" max="8446" width="9" style="18"/>
    <col min="8447" max="8447" width="4.6640625" style="18" customWidth="1"/>
    <col min="8448" max="8448" width="6.33203125" style="18" customWidth="1"/>
    <col min="8449" max="8449" width="7" style="18" customWidth="1"/>
    <col min="8450" max="8450" width="10.21875" style="18" customWidth="1"/>
    <col min="8451" max="8451" width="9.88671875" style="18" customWidth="1"/>
    <col min="8452" max="8452" width="11.6640625" style="18" customWidth="1"/>
    <col min="8453" max="8455" width="9" style="18"/>
    <col min="8456" max="8456" width="9.33203125" style="18" customWidth="1"/>
    <col min="8457" max="8457" width="11.21875" style="18" customWidth="1"/>
    <col min="8458" max="8459" width="9" style="18"/>
    <col min="8460" max="8460" width="10.109375" style="18" customWidth="1"/>
    <col min="8461" max="8464" width="9" style="18"/>
    <col min="8465" max="8465" width="9.77734375" style="18" customWidth="1"/>
    <col min="8466" max="8466" width="9" style="18"/>
    <col min="8467" max="8467" width="9.109375" style="18" customWidth="1"/>
    <col min="8468" max="8468" width="9.44140625" style="18" customWidth="1"/>
    <col min="8469" max="8469" width="10.77734375" style="18" customWidth="1"/>
    <col min="8470" max="8470" width="10.21875" style="18" customWidth="1"/>
    <col min="8471" max="8702" width="9" style="18"/>
    <col min="8703" max="8703" width="4.6640625" style="18" customWidth="1"/>
    <col min="8704" max="8704" width="6.33203125" style="18" customWidth="1"/>
    <col min="8705" max="8705" width="7" style="18" customWidth="1"/>
    <col min="8706" max="8706" width="10.21875" style="18" customWidth="1"/>
    <col min="8707" max="8707" width="9.88671875" style="18" customWidth="1"/>
    <col min="8708" max="8708" width="11.6640625" style="18" customWidth="1"/>
    <col min="8709" max="8711" width="9" style="18"/>
    <col min="8712" max="8712" width="9.33203125" style="18" customWidth="1"/>
    <col min="8713" max="8713" width="11.21875" style="18" customWidth="1"/>
    <col min="8714" max="8715" width="9" style="18"/>
    <col min="8716" max="8716" width="10.109375" style="18" customWidth="1"/>
    <col min="8717" max="8720" width="9" style="18"/>
    <col min="8721" max="8721" width="9.77734375" style="18" customWidth="1"/>
    <col min="8722" max="8722" width="9" style="18"/>
    <col min="8723" max="8723" width="9.109375" style="18" customWidth="1"/>
    <col min="8724" max="8724" width="9.44140625" style="18" customWidth="1"/>
    <col min="8725" max="8725" width="10.77734375" style="18" customWidth="1"/>
    <col min="8726" max="8726" width="10.21875" style="18" customWidth="1"/>
    <col min="8727" max="8958" width="9" style="18"/>
    <col min="8959" max="8959" width="4.6640625" style="18" customWidth="1"/>
    <col min="8960" max="8960" width="6.33203125" style="18" customWidth="1"/>
    <col min="8961" max="8961" width="7" style="18" customWidth="1"/>
    <col min="8962" max="8962" width="10.21875" style="18" customWidth="1"/>
    <col min="8963" max="8963" width="9.88671875" style="18" customWidth="1"/>
    <col min="8964" max="8964" width="11.6640625" style="18" customWidth="1"/>
    <col min="8965" max="8967" width="9" style="18"/>
    <col min="8968" max="8968" width="9.33203125" style="18" customWidth="1"/>
    <col min="8969" max="8969" width="11.21875" style="18" customWidth="1"/>
    <col min="8970" max="8971" width="9" style="18"/>
    <col min="8972" max="8972" width="10.109375" style="18" customWidth="1"/>
    <col min="8973" max="8976" width="9" style="18"/>
    <col min="8977" max="8977" width="9.77734375" style="18" customWidth="1"/>
    <col min="8978" max="8978" width="9" style="18"/>
    <col min="8979" max="8979" width="9.109375" style="18" customWidth="1"/>
    <col min="8980" max="8980" width="9.44140625" style="18" customWidth="1"/>
    <col min="8981" max="8981" width="10.77734375" style="18" customWidth="1"/>
    <col min="8982" max="8982" width="10.21875" style="18" customWidth="1"/>
    <col min="8983" max="9214" width="9" style="18"/>
    <col min="9215" max="9215" width="4.6640625" style="18" customWidth="1"/>
    <col min="9216" max="9216" width="6.33203125" style="18" customWidth="1"/>
    <col min="9217" max="9217" width="7" style="18" customWidth="1"/>
    <col min="9218" max="9218" width="10.21875" style="18" customWidth="1"/>
    <col min="9219" max="9219" width="9.88671875" style="18" customWidth="1"/>
    <col min="9220" max="9220" width="11.6640625" style="18" customWidth="1"/>
    <col min="9221" max="9223" width="9" style="18"/>
    <col min="9224" max="9224" width="9.33203125" style="18" customWidth="1"/>
    <col min="9225" max="9225" width="11.21875" style="18" customWidth="1"/>
    <col min="9226" max="9227" width="9" style="18"/>
    <col min="9228" max="9228" width="10.109375" style="18" customWidth="1"/>
    <col min="9229" max="9232" width="9" style="18"/>
    <col min="9233" max="9233" width="9.77734375" style="18" customWidth="1"/>
    <col min="9234" max="9234" width="9" style="18"/>
    <col min="9235" max="9235" width="9.109375" style="18" customWidth="1"/>
    <col min="9236" max="9236" width="9.44140625" style="18" customWidth="1"/>
    <col min="9237" max="9237" width="10.77734375" style="18" customWidth="1"/>
    <col min="9238" max="9238" width="10.21875" style="18" customWidth="1"/>
    <col min="9239" max="9470" width="9" style="18"/>
    <col min="9471" max="9471" width="4.6640625" style="18" customWidth="1"/>
    <col min="9472" max="9472" width="6.33203125" style="18" customWidth="1"/>
    <col min="9473" max="9473" width="7" style="18" customWidth="1"/>
    <col min="9474" max="9474" width="10.21875" style="18" customWidth="1"/>
    <col min="9475" max="9475" width="9.88671875" style="18" customWidth="1"/>
    <col min="9476" max="9476" width="11.6640625" style="18" customWidth="1"/>
    <col min="9477" max="9479" width="9" style="18"/>
    <col min="9480" max="9480" width="9.33203125" style="18" customWidth="1"/>
    <col min="9481" max="9481" width="11.21875" style="18" customWidth="1"/>
    <col min="9482" max="9483" width="9" style="18"/>
    <col min="9484" max="9484" width="10.109375" style="18" customWidth="1"/>
    <col min="9485" max="9488" width="9" style="18"/>
    <col min="9489" max="9489" width="9.77734375" style="18" customWidth="1"/>
    <col min="9490" max="9490" width="9" style="18"/>
    <col min="9491" max="9491" width="9.109375" style="18" customWidth="1"/>
    <col min="9492" max="9492" width="9.44140625" style="18" customWidth="1"/>
    <col min="9493" max="9493" width="10.77734375" style="18" customWidth="1"/>
    <col min="9494" max="9494" width="10.21875" style="18" customWidth="1"/>
    <col min="9495" max="9726" width="9" style="18"/>
    <col min="9727" max="9727" width="4.6640625" style="18" customWidth="1"/>
    <col min="9728" max="9728" width="6.33203125" style="18" customWidth="1"/>
    <col min="9729" max="9729" width="7" style="18" customWidth="1"/>
    <col min="9730" max="9730" width="10.21875" style="18" customWidth="1"/>
    <col min="9731" max="9731" width="9.88671875" style="18" customWidth="1"/>
    <col min="9732" max="9732" width="11.6640625" style="18" customWidth="1"/>
    <col min="9733" max="9735" width="9" style="18"/>
    <col min="9736" max="9736" width="9.33203125" style="18" customWidth="1"/>
    <col min="9737" max="9737" width="11.21875" style="18" customWidth="1"/>
    <col min="9738" max="9739" width="9" style="18"/>
    <col min="9740" max="9740" width="10.109375" style="18" customWidth="1"/>
    <col min="9741" max="9744" width="9" style="18"/>
    <col min="9745" max="9745" width="9.77734375" style="18" customWidth="1"/>
    <col min="9746" max="9746" width="9" style="18"/>
    <col min="9747" max="9747" width="9.109375" style="18" customWidth="1"/>
    <col min="9748" max="9748" width="9.44140625" style="18" customWidth="1"/>
    <col min="9749" max="9749" width="10.77734375" style="18" customWidth="1"/>
    <col min="9750" max="9750" width="10.21875" style="18" customWidth="1"/>
    <col min="9751" max="9982" width="9" style="18"/>
    <col min="9983" max="9983" width="4.6640625" style="18" customWidth="1"/>
    <col min="9984" max="9984" width="6.33203125" style="18" customWidth="1"/>
    <col min="9985" max="9985" width="7" style="18" customWidth="1"/>
    <col min="9986" max="9986" width="10.21875" style="18" customWidth="1"/>
    <col min="9987" max="9987" width="9.88671875" style="18" customWidth="1"/>
    <col min="9988" max="9988" width="11.6640625" style="18" customWidth="1"/>
    <col min="9989" max="9991" width="9" style="18"/>
    <col min="9992" max="9992" width="9.33203125" style="18" customWidth="1"/>
    <col min="9993" max="9993" width="11.21875" style="18" customWidth="1"/>
    <col min="9994" max="9995" width="9" style="18"/>
    <col min="9996" max="9996" width="10.109375" style="18" customWidth="1"/>
    <col min="9997" max="10000" width="9" style="18"/>
    <col min="10001" max="10001" width="9.77734375" style="18" customWidth="1"/>
    <col min="10002" max="10002" width="9" style="18"/>
    <col min="10003" max="10003" width="9.109375" style="18" customWidth="1"/>
    <col min="10004" max="10004" width="9.44140625" style="18" customWidth="1"/>
    <col min="10005" max="10005" width="10.77734375" style="18" customWidth="1"/>
    <col min="10006" max="10006" width="10.21875" style="18" customWidth="1"/>
    <col min="10007" max="10238" width="9" style="18"/>
    <col min="10239" max="10239" width="4.6640625" style="18" customWidth="1"/>
    <col min="10240" max="10240" width="6.33203125" style="18" customWidth="1"/>
    <col min="10241" max="10241" width="7" style="18" customWidth="1"/>
    <col min="10242" max="10242" width="10.21875" style="18" customWidth="1"/>
    <col min="10243" max="10243" width="9.88671875" style="18" customWidth="1"/>
    <col min="10244" max="10244" width="11.6640625" style="18" customWidth="1"/>
    <col min="10245" max="10247" width="9" style="18"/>
    <col min="10248" max="10248" width="9.33203125" style="18" customWidth="1"/>
    <col min="10249" max="10249" width="11.21875" style="18" customWidth="1"/>
    <col min="10250" max="10251" width="9" style="18"/>
    <col min="10252" max="10252" width="10.109375" style="18" customWidth="1"/>
    <col min="10253" max="10256" width="9" style="18"/>
    <col min="10257" max="10257" width="9.77734375" style="18" customWidth="1"/>
    <col min="10258" max="10258" width="9" style="18"/>
    <col min="10259" max="10259" width="9.109375" style="18" customWidth="1"/>
    <col min="10260" max="10260" width="9.44140625" style="18" customWidth="1"/>
    <col min="10261" max="10261" width="10.77734375" style="18" customWidth="1"/>
    <col min="10262" max="10262" width="10.21875" style="18" customWidth="1"/>
    <col min="10263" max="10494" width="9" style="18"/>
    <col min="10495" max="10495" width="4.6640625" style="18" customWidth="1"/>
    <col min="10496" max="10496" width="6.33203125" style="18" customWidth="1"/>
    <col min="10497" max="10497" width="7" style="18" customWidth="1"/>
    <col min="10498" max="10498" width="10.21875" style="18" customWidth="1"/>
    <col min="10499" max="10499" width="9.88671875" style="18" customWidth="1"/>
    <col min="10500" max="10500" width="11.6640625" style="18" customWidth="1"/>
    <col min="10501" max="10503" width="9" style="18"/>
    <col min="10504" max="10504" width="9.33203125" style="18" customWidth="1"/>
    <col min="10505" max="10505" width="11.21875" style="18" customWidth="1"/>
    <col min="10506" max="10507" width="9" style="18"/>
    <col min="10508" max="10508" width="10.109375" style="18" customWidth="1"/>
    <col min="10509" max="10512" width="9" style="18"/>
    <col min="10513" max="10513" width="9.77734375" style="18" customWidth="1"/>
    <col min="10514" max="10514" width="9" style="18"/>
    <col min="10515" max="10515" width="9.109375" style="18" customWidth="1"/>
    <col min="10516" max="10516" width="9.44140625" style="18" customWidth="1"/>
    <col min="10517" max="10517" width="10.77734375" style="18" customWidth="1"/>
    <col min="10518" max="10518" width="10.21875" style="18" customWidth="1"/>
    <col min="10519" max="10750" width="9" style="18"/>
    <col min="10751" max="10751" width="4.6640625" style="18" customWidth="1"/>
    <col min="10752" max="10752" width="6.33203125" style="18" customWidth="1"/>
    <col min="10753" max="10753" width="7" style="18" customWidth="1"/>
    <col min="10754" max="10754" width="10.21875" style="18" customWidth="1"/>
    <col min="10755" max="10755" width="9.88671875" style="18" customWidth="1"/>
    <col min="10756" max="10756" width="11.6640625" style="18" customWidth="1"/>
    <col min="10757" max="10759" width="9" style="18"/>
    <col min="10760" max="10760" width="9.33203125" style="18" customWidth="1"/>
    <col min="10761" max="10761" width="11.21875" style="18" customWidth="1"/>
    <col min="10762" max="10763" width="9" style="18"/>
    <col min="10764" max="10764" width="10.109375" style="18" customWidth="1"/>
    <col min="10765" max="10768" width="9" style="18"/>
    <col min="10769" max="10769" width="9.77734375" style="18" customWidth="1"/>
    <col min="10770" max="10770" width="9" style="18"/>
    <col min="10771" max="10771" width="9.109375" style="18" customWidth="1"/>
    <col min="10772" max="10772" width="9.44140625" style="18" customWidth="1"/>
    <col min="10773" max="10773" width="10.77734375" style="18" customWidth="1"/>
    <col min="10774" max="10774" width="10.21875" style="18" customWidth="1"/>
    <col min="10775" max="11006" width="9" style="18"/>
    <col min="11007" max="11007" width="4.6640625" style="18" customWidth="1"/>
    <col min="11008" max="11008" width="6.33203125" style="18" customWidth="1"/>
    <col min="11009" max="11009" width="7" style="18" customWidth="1"/>
    <col min="11010" max="11010" width="10.21875" style="18" customWidth="1"/>
    <col min="11011" max="11011" width="9.88671875" style="18" customWidth="1"/>
    <col min="11012" max="11012" width="11.6640625" style="18" customWidth="1"/>
    <col min="11013" max="11015" width="9" style="18"/>
    <col min="11016" max="11016" width="9.33203125" style="18" customWidth="1"/>
    <col min="11017" max="11017" width="11.21875" style="18" customWidth="1"/>
    <col min="11018" max="11019" width="9" style="18"/>
    <col min="11020" max="11020" width="10.109375" style="18" customWidth="1"/>
    <col min="11021" max="11024" width="9" style="18"/>
    <col min="11025" max="11025" width="9.77734375" style="18" customWidth="1"/>
    <col min="11026" max="11026" width="9" style="18"/>
    <col min="11027" max="11027" width="9.109375" style="18" customWidth="1"/>
    <col min="11028" max="11028" width="9.44140625" style="18" customWidth="1"/>
    <col min="11029" max="11029" width="10.77734375" style="18" customWidth="1"/>
    <col min="11030" max="11030" width="10.21875" style="18" customWidth="1"/>
    <col min="11031" max="11262" width="9" style="18"/>
    <col min="11263" max="11263" width="4.6640625" style="18" customWidth="1"/>
    <col min="11264" max="11264" width="6.33203125" style="18" customWidth="1"/>
    <col min="11265" max="11265" width="7" style="18" customWidth="1"/>
    <col min="11266" max="11266" width="10.21875" style="18" customWidth="1"/>
    <col min="11267" max="11267" width="9.88671875" style="18" customWidth="1"/>
    <col min="11268" max="11268" width="11.6640625" style="18" customWidth="1"/>
    <col min="11269" max="11271" width="9" style="18"/>
    <col min="11272" max="11272" width="9.33203125" style="18" customWidth="1"/>
    <col min="11273" max="11273" width="11.21875" style="18" customWidth="1"/>
    <col min="11274" max="11275" width="9" style="18"/>
    <col min="11276" max="11276" width="10.109375" style="18" customWidth="1"/>
    <col min="11277" max="11280" width="9" style="18"/>
    <col min="11281" max="11281" width="9.77734375" style="18" customWidth="1"/>
    <col min="11282" max="11282" width="9" style="18"/>
    <col min="11283" max="11283" width="9.109375" style="18" customWidth="1"/>
    <col min="11284" max="11284" width="9.44140625" style="18" customWidth="1"/>
    <col min="11285" max="11285" width="10.77734375" style="18" customWidth="1"/>
    <col min="11286" max="11286" width="10.21875" style="18" customWidth="1"/>
    <col min="11287" max="11518" width="9" style="18"/>
    <col min="11519" max="11519" width="4.6640625" style="18" customWidth="1"/>
    <col min="11520" max="11520" width="6.33203125" style="18" customWidth="1"/>
    <col min="11521" max="11521" width="7" style="18" customWidth="1"/>
    <col min="11522" max="11522" width="10.21875" style="18" customWidth="1"/>
    <col min="11523" max="11523" width="9.88671875" style="18" customWidth="1"/>
    <col min="11524" max="11524" width="11.6640625" style="18" customWidth="1"/>
    <col min="11525" max="11527" width="9" style="18"/>
    <col min="11528" max="11528" width="9.33203125" style="18" customWidth="1"/>
    <col min="11529" max="11529" width="11.21875" style="18" customWidth="1"/>
    <col min="11530" max="11531" width="9" style="18"/>
    <col min="11532" max="11532" width="10.109375" style="18" customWidth="1"/>
    <col min="11533" max="11536" width="9" style="18"/>
    <col min="11537" max="11537" width="9.77734375" style="18" customWidth="1"/>
    <col min="11538" max="11538" width="9" style="18"/>
    <col min="11539" max="11539" width="9.109375" style="18" customWidth="1"/>
    <col min="11540" max="11540" width="9.44140625" style="18" customWidth="1"/>
    <col min="11541" max="11541" width="10.77734375" style="18" customWidth="1"/>
    <col min="11542" max="11542" width="10.21875" style="18" customWidth="1"/>
    <col min="11543" max="11774" width="9" style="18"/>
    <col min="11775" max="11775" width="4.6640625" style="18" customWidth="1"/>
    <col min="11776" max="11776" width="6.33203125" style="18" customWidth="1"/>
    <col min="11777" max="11777" width="7" style="18" customWidth="1"/>
    <col min="11778" max="11778" width="10.21875" style="18" customWidth="1"/>
    <col min="11779" max="11779" width="9.88671875" style="18" customWidth="1"/>
    <col min="11780" max="11780" width="11.6640625" style="18" customWidth="1"/>
    <col min="11781" max="11783" width="9" style="18"/>
    <col min="11784" max="11784" width="9.33203125" style="18" customWidth="1"/>
    <col min="11785" max="11785" width="11.21875" style="18" customWidth="1"/>
    <col min="11786" max="11787" width="9" style="18"/>
    <col min="11788" max="11788" width="10.109375" style="18" customWidth="1"/>
    <col min="11789" max="11792" width="9" style="18"/>
    <col min="11793" max="11793" width="9.77734375" style="18" customWidth="1"/>
    <col min="11794" max="11794" width="9" style="18"/>
    <col min="11795" max="11795" width="9.109375" style="18" customWidth="1"/>
    <col min="11796" max="11796" width="9.44140625" style="18" customWidth="1"/>
    <col min="11797" max="11797" width="10.77734375" style="18" customWidth="1"/>
    <col min="11798" max="11798" width="10.21875" style="18" customWidth="1"/>
    <col min="11799" max="12030" width="9" style="18"/>
    <col min="12031" max="12031" width="4.6640625" style="18" customWidth="1"/>
    <col min="12032" max="12032" width="6.33203125" style="18" customWidth="1"/>
    <col min="12033" max="12033" width="7" style="18" customWidth="1"/>
    <col min="12034" max="12034" width="10.21875" style="18" customWidth="1"/>
    <col min="12035" max="12035" width="9.88671875" style="18" customWidth="1"/>
    <col min="12036" max="12036" width="11.6640625" style="18" customWidth="1"/>
    <col min="12037" max="12039" width="9" style="18"/>
    <col min="12040" max="12040" width="9.33203125" style="18" customWidth="1"/>
    <col min="12041" max="12041" width="11.21875" style="18" customWidth="1"/>
    <col min="12042" max="12043" width="9" style="18"/>
    <col min="12044" max="12044" width="10.109375" style="18" customWidth="1"/>
    <col min="12045" max="12048" width="9" style="18"/>
    <col min="12049" max="12049" width="9.77734375" style="18" customWidth="1"/>
    <col min="12050" max="12050" width="9" style="18"/>
    <col min="12051" max="12051" width="9.109375" style="18" customWidth="1"/>
    <col min="12052" max="12052" width="9.44140625" style="18" customWidth="1"/>
    <col min="12053" max="12053" width="10.77734375" style="18" customWidth="1"/>
    <col min="12054" max="12054" width="10.21875" style="18" customWidth="1"/>
    <col min="12055" max="12286" width="9" style="18"/>
    <col min="12287" max="12287" width="4.6640625" style="18" customWidth="1"/>
    <col min="12288" max="12288" width="6.33203125" style="18" customWidth="1"/>
    <col min="12289" max="12289" width="7" style="18" customWidth="1"/>
    <col min="12290" max="12290" width="10.21875" style="18" customWidth="1"/>
    <col min="12291" max="12291" width="9.88671875" style="18" customWidth="1"/>
    <col min="12292" max="12292" width="11.6640625" style="18" customWidth="1"/>
    <col min="12293" max="12295" width="9" style="18"/>
    <col min="12296" max="12296" width="9.33203125" style="18" customWidth="1"/>
    <col min="12297" max="12297" width="11.21875" style="18" customWidth="1"/>
    <col min="12298" max="12299" width="9" style="18"/>
    <col min="12300" max="12300" width="10.109375" style="18" customWidth="1"/>
    <col min="12301" max="12304" width="9" style="18"/>
    <col min="12305" max="12305" width="9.77734375" style="18" customWidth="1"/>
    <col min="12306" max="12306" width="9" style="18"/>
    <col min="12307" max="12307" width="9.109375" style="18" customWidth="1"/>
    <col min="12308" max="12308" width="9.44140625" style="18" customWidth="1"/>
    <col min="12309" max="12309" width="10.77734375" style="18" customWidth="1"/>
    <col min="12310" max="12310" width="10.21875" style="18" customWidth="1"/>
    <col min="12311" max="12542" width="9" style="18"/>
    <col min="12543" max="12543" width="4.6640625" style="18" customWidth="1"/>
    <col min="12544" max="12544" width="6.33203125" style="18" customWidth="1"/>
    <col min="12545" max="12545" width="7" style="18" customWidth="1"/>
    <col min="12546" max="12546" width="10.21875" style="18" customWidth="1"/>
    <col min="12547" max="12547" width="9.88671875" style="18" customWidth="1"/>
    <col min="12548" max="12548" width="11.6640625" style="18" customWidth="1"/>
    <col min="12549" max="12551" width="9" style="18"/>
    <col min="12552" max="12552" width="9.33203125" style="18" customWidth="1"/>
    <col min="12553" max="12553" width="11.21875" style="18" customWidth="1"/>
    <col min="12554" max="12555" width="9" style="18"/>
    <col min="12556" max="12556" width="10.109375" style="18" customWidth="1"/>
    <col min="12557" max="12560" width="9" style="18"/>
    <col min="12561" max="12561" width="9.77734375" style="18" customWidth="1"/>
    <col min="12562" max="12562" width="9" style="18"/>
    <col min="12563" max="12563" width="9.109375" style="18" customWidth="1"/>
    <col min="12564" max="12564" width="9.44140625" style="18" customWidth="1"/>
    <col min="12565" max="12565" width="10.77734375" style="18" customWidth="1"/>
    <col min="12566" max="12566" width="10.21875" style="18" customWidth="1"/>
    <col min="12567" max="12798" width="9" style="18"/>
    <col min="12799" max="12799" width="4.6640625" style="18" customWidth="1"/>
    <col min="12800" max="12800" width="6.33203125" style="18" customWidth="1"/>
    <col min="12801" max="12801" width="7" style="18" customWidth="1"/>
    <col min="12802" max="12802" width="10.21875" style="18" customWidth="1"/>
    <col min="12803" max="12803" width="9.88671875" style="18" customWidth="1"/>
    <col min="12804" max="12804" width="11.6640625" style="18" customWidth="1"/>
    <col min="12805" max="12807" width="9" style="18"/>
    <col min="12808" max="12808" width="9.33203125" style="18" customWidth="1"/>
    <col min="12809" max="12809" width="11.21875" style="18" customWidth="1"/>
    <col min="12810" max="12811" width="9" style="18"/>
    <col min="12812" max="12812" width="10.109375" style="18" customWidth="1"/>
    <col min="12813" max="12816" width="9" style="18"/>
    <col min="12817" max="12817" width="9.77734375" style="18" customWidth="1"/>
    <col min="12818" max="12818" width="9" style="18"/>
    <col min="12819" max="12819" width="9.109375" style="18" customWidth="1"/>
    <col min="12820" max="12820" width="9.44140625" style="18" customWidth="1"/>
    <col min="12821" max="12821" width="10.77734375" style="18" customWidth="1"/>
    <col min="12822" max="12822" width="10.21875" style="18" customWidth="1"/>
    <col min="12823" max="13054" width="9" style="18"/>
    <col min="13055" max="13055" width="4.6640625" style="18" customWidth="1"/>
    <col min="13056" max="13056" width="6.33203125" style="18" customWidth="1"/>
    <col min="13057" max="13057" width="7" style="18" customWidth="1"/>
    <col min="13058" max="13058" width="10.21875" style="18" customWidth="1"/>
    <col min="13059" max="13059" width="9.88671875" style="18" customWidth="1"/>
    <col min="13060" max="13060" width="11.6640625" style="18" customWidth="1"/>
    <col min="13061" max="13063" width="9" style="18"/>
    <col min="13064" max="13064" width="9.33203125" style="18" customWidth="1"/>
    <col min="13065" max="13065" width="11.21875" style="18" customWidth="1"/>
    <col min="13066" max="13067" width="9" style="18"/>
    <col min="13068" max="13068" width="10.109375" style="18" customWidth="1"/>
    <col min="13069" max="13072" width="9" style="18"/>
    <col min="13073" max="13073" width="9.77734375" style="18" customWidth="1"/>
    <col min="13074" max="13074" width="9" style="18"/>
    <col min="13075" max="13075" width="9.109375" style="18" customWidth="1"/>
    <col min="13076" max="13076" width="9.44140625" style="18" customWidth="1"/>
    <col min="13077" max="13077" width="10.77734375" style="18" customWidth="1"/>
    <col min="13078" max="13078" width="10.21875" style="18" customWidth="1"/>
    <col min="13079" max="13310" width="9" style="18"/>
    <col min="13311" max="13311" width="4.6640625" style="18" customWidth="1"/>
    <col min="13312" max="13312" width="6.33203125" style="18" customWidth="1"/>
    <col min="13313" max="13313" width="7" style="18" customWidth="1"/>
    <col min="13314" max="13314" width="10.21875" style="18" customWidth="1"/>
    <col min="13315" max="13315" width="9.88671875" style="18" customWidth="1"/>
    <col min="13316" max="13316" width="11.6640625" style="18" customWidth="1"/>
    <col min="13317" max="13319" width="9" style="18"/>
    <col min="13320" max="13320" width="9.33203125" style="18" customWidth="1"/>
    <col min="13321" max="13321" width="11.21875" style="18" customWidth="1"/>
    <col min="13322" max="13323" width="9" style="18"/>
    <col min="13324" max="13324" width="10.109375" style="18" customWidth="1"/>
    <col min="13325" max="13328" width="9" style="18"/>
    <col min="13329" max="13329" width="9.77734375" style="18" customWidth="1"/>
    <col min="13330" max="13330" width="9" style="18"/>
    <col min="13331" max="13331" width="9.109375" style="18" customWidth="1"/>
    <col min="13332" max="13332" width="9.44140625" style="18" customWidth="1"/>
    <col min="13333" max="13333" width="10.77734375" style="18" customWidth="1"/>
    <col min="13334" max="13334" width="10.21875" style="18" customWidth="1"/>
    <col min="13335" max="13566" width="9" style="18"/>
    <col min="13567" max="13567" width="4.6640625" style="18" customWidth="1"/>
    <col min="13568" max="13568" width="6.33203125" style="18" customWidth="1"/>
    <col min="13569" max="13569" width="7" style="18" customWidth="1"/>
    <col min="13570" max="13570" width="10.21875" style="18" customWidth="1"/>
    <col min="13571" max="13571" width="9.88671875" style="18" customWidth="1"/>
    <col min="13572" max="13572" width="11.6640625" style="18" customWidth="1"/>
    <col min="13573" max="13575" width="9" style="18"/>
    <col min="13576" max="13576" width="9.33203125" style="18" customWidth="1"/>
    <col min="13577" max="13577" width="11.21875" style="18" customWidth="1"/>
    <col min="13578" max="13579" width="9" style="18"/>
    <col min="13580" max="13580" width="10.109375" style="18" customWidth="1"/>
    <col min="13581" max="13584" width="9" style="18"/>
    <col min="13585" max="13585" width="9.77734375" style="18" customWidth="1"/>
    <col min="13586" max="13586" width="9" style="18"/>
    <col min="13587" max="13587" width="9.109375" style="18" customWidth="1"/>
    <col min="13588" max="13588" width="9.44140625" style="18" customWidth="1"/>
    <col min="13589" max="13589" width="10.77734375" style="18" customWidth="1"/>
    <col min="13590" max="13590" width="10.21875" style="18" customWidth="1"/>
    <col min="13591" max="13822" width="9" style="18"/>
    <col min="13823" max="13823" width="4.6640625" style="18" customWidth="1"/>
    <col min="13824" max="13824" width="6.33203125" style="18" customWidth="1"/>
    <col min="13825" max="13825" width="7" style="18" customWidth="1"/>
    <col min="13826" max="13826" width="10.21875" style="18" customWidth="1"/>
    <col min="13827" max="13827" width="9.88671875" style="18" customWidth="1"/>
    <col min="13828" max="13828" width="11.6640625" style="18" customWidth="1"/>
    <col min="13829" max="13831" width="9" style="18"/>
    <col min="13832" max="13832" width="9.33203125" style="18" customWidth="1"/>
    <col min="13833" max="13833" width="11.21875" style="18" customWidth="1"/>
    <col min="13834" max="13835" width="9" style="18"/>
    <col min="13836" max="13836" width="10.109375" style="18" customWidth="1"/>
    <col min="13837" max="13840" width="9" style="18"/>
    <col min="13841" max="13841" width="9.77734375" style="18" customWidth="1"/>
    <col min="13842" max="13842" width="9" style="18"/>
    <col min="13843" max="13843" width="9.109375" style="18" customWidth="1"/>
    <col min="13844" max="13844" width="9.44140625" style="18" customWidth="1"/>
    <col min="13845" max="13845" width="10.77734375" style="18" customWidth="1"/>
    <col min="13846" max="13846" width="10.21875" style="18" customWidth="1"/>
    <col min="13847" max="14078" width="9" style="18"/>
    <col min="14079" max="14079" width="4.6640625" style="18" customWidth="1"/>
    <col min="14080" max="14080" width="6.33203125" style="18" customWidth="1"/>
    <col min="14081" max="14081" width="7" style="18" customWidth="1"/>
    <col min="14082" max="14082" width="10.21875" style="18" customWidth="1"/>
    <col min="14083" max="14083" width="9.88671875" style="18" customWidth="1"/>
    <col min="14084" max="14084" width="11.6640625" style="18" customWidth="1"/>
    <col min="14085" max="14087" width="9" style="18"/>
    <col min="14088" max="14088" width="9.33203125" style="18" customWidth="1"/>
    <col min="14089" max="14089" width="11.21875" style="18" customWidth="1"/>
    <col min="14090" max="14091" width="9" style="18"/>
    <col min="14092" max="14092" width="10.109375" style="18" customWidth="1"/>
    <col min="14093" max="14096" width="9" style="18"/>
    <col min="14097" max="14097" width="9.77734375" style="18" customWidth="1"/>
    <col min="14098" max="14098" width="9" style="18"/>
    <col min="14099" max="14099" width="9.109375" style="18" customWidth="1"/>
    <col min="14100" max="14100" width="9.44140625" style="18" customWidth="1"/>
    <col min="14101" max="14101" width="10.77734375" style="18" customWidth="1"/>
    <col min="14102" max="14102" width="10.21875" style="18" customWidth="1"/>
    <col min="14103" max="14334" width="9" style="18"/>
    <col min="14335" max="14335" width="4.6640625" style="18" customWidth="1"/>
    <col min="14336" max="14336" width="6.33203125" style="18" customWidth="1"/>
    <col min="14337" max="14337" width="7" style="18" customWidth="1"/>
    <col min="14338" max="14338" width="10.21875" style="18" customWidth="1"/>
    <col min="14339" max="14339" width="9.88671875" style="18" customWidth="1"/>
    <col min="14340" max="14340" width="11.6640625" style="18" customWidth="1"/>
    <col min="14341" max="14343" width="9" style="18"/>
    <col min="14344" max="14344" width="9.33203125" style="18" customWidth="1"/>
    <col min="14345" max="14345" width="11.21875" style="18" customWidth="1"/>
    <col min="14346" max="14347" width="9" style="18"/>
    <col min="14348" max="14348" width="10.109375" style="18" customWidth="1"/>
    <col min="14349" max="14352" width="9" style="18"/>
    <col min="14353" max="14353" width="9.77734375" style="18" customWidth="1"/>
    <col min="14354" max="14354" width="9" style="18"/>
    <col min="14355" max="14355" width="9.109375" style="18" customWidth="1"/>
    <col min="14356" max="14356" width="9.44140625" style="18" customWidth="1"/>
    <col min="14357" max="14357" width="10.77734375" style="18" customWidth="1"/>
    <col min="14358" max="14358" width="10.21875" style="18" customWidth="1"/>
    <col min="14359" max="14590" width="9" style="18"/>
    <col min="14591" max="14591" width="4.6640625" style="18" customWidth="1"/>
    <col min="14592" max="14592" width="6.33203125" style="18" customWidth="1"/>
    <col min="14593" max="14593" width="7" style="18" customWidth="1"/>
    <col min="14594" max="14594" width="10.21875" style="18" customWidth="1"/>
    <col min="14595" max="14595" width="9.88671875" style="18" customWidth="1"/>
    <col min="14596" max="14596" width="11.6640625" style="18" customWidth="1"/>
    <col min="14597" max="14599" width="9" style="18"/>
    <col min="14600" max="14600" width="9.33203125" style="18" customWidth="1"/>
    <col min="14601" max="14601" width="11.21875" style="18" customWidth="1"/>
    <col min="14602" max="14603" width="9" style="18"/>
    <col min="14604" max="14604" width="10.109375" style="18" customWidth="1"/>
    <col min="14605" max="14608" width="9" style="18"/>
    <col min="14609" max="14609" width="9.77734375" style="18" customWidth="1"/>
    <col min="14610" max="14610" width="9" style="18"/>
    <col min="14611" max="14611" width="9.109375" style="18" customWidth="1"/>
    <col min="14612" max="14612" width="9.44140625" style="18" customWidth="1"/>
    <col min="14613" max="14613" width="10.77734375" style="18" customWidth="1"/>
    <col min="14614" max="14614" width="10.21875" style="18" customWidth="1"/>
    <col min="14615" max="14846" width="9" style="18"/>
    <col min="14847" max="14847" width="4.6640625" style="18" customWidth="1"/>
    <col min="14848" max="14848" width="6.33203125" style="18" customWidth="1"/>
    <col min="14849" max="14849" width="7" style="18" customWidth="1"/>
    <col min="14850" max="14850" width="10.21875" style="18" customWidth="1"/>
    <col min="14851" max="14851" width="9.88671875" style="18" customWidth="1"/>
    <col min="14852" max="14852" width="11.6640625" style="18" customWidth="1"/>
    <col min="14853" max="14855" width="9" style="18"/>
    <col min="14856" max="14856" width="9.33203125" style="18" customWidth="1"/>
    <col min="14857" max="14857" width="11.21875" style="18" customWidth="1"/>
    <col min="14858" max="14859" width="9" style="18"/>
    <col min="14860" max="14860" width="10.109375" style="18" customWidth="1"/>
    <col min="14861" max="14864" width="9" style="18"/>
    <col min="14865" max="14865" width="9.77734375" style="18" customWidth="1"/>
    <col min="14866" max="14866" width="9" style="18"/>
    <col min="14867" max="14867" width="9.109375" style="18" customWidth="1"/>
    <col min="14868" max="14868" width="9.44140625" style="18" customWidth="1"/>
    <col min="14869" max="14869" width="10.77734375" style="18" customWidth="1"/>
    <col min="14870" max="14870" width="10.21875" style="18" customWidth="1"/>
    <col min="14871" max="15102" width="9" style="18"/>
    <col min="15103" max="15103" width="4.6640625" style="18" customWidth="1"/>
    <col min="15104" max="15104" width="6.33203125" style="18" customWidth="1"/>
    <col min="15105" max="15105" width="7" style="18" customWidth="1"/>
    <col min="15106" max="15106" width="10.21875" style="18" customWidth="1"/>
    <col min="15107" max="15107" width="9.88671875" style="18" customWidth="1"/>
    <col min="15108" max="15108" width="11.6640625" style="18" customWidth="1"/>
    <col min="15109" max="15111" width="9" style="18"/>
    <col min="15112" max="15112" width="9.33203125" style="18" customWidth="1"/>
    <col min="15113" max="15113" width="11.21875" style="18" customWidth="1"/>
    <col min="15114" max="15115" width="9" style="18"/>
    <col min="15116" max="15116" width="10.109375" style="18" customWidth="1"/>
    <col min="15117" max="15120" width="9" style="18"/>
    <col min="15121" max="15121" width="9.77734375" style="18" customWidth="1"/>
    <col min="15122" max="15122" width="9" style="18"/>
    <col min="15123" max="15123" width="9.109375" style="18" customWidth="1"/>
    <col min="15124" max="15124" width="9.44140625" style="18" customWidth="1"/>
    <col min="15125" max="15125" width="10.77734375" style="18" customWidth="1"/>
    <col min="15126" max="15126" width="10.21875" style="18" customWidth="1"/>
    <col min="15127" max="15358" width="9" style="18"/>
    <col min="15359" max="15359" width="4.6640625" style="18" customWidth="1"/>
    <col min="15360" max="15360" width="6.33203125" style="18" customWidth="1"/>
    <col min="15361" max="15361" width="7" style="18" customWidth="1"/>
    <col min="15362" max="15362" width="10.21875" style="18" customWidth="1"/>
    <col min="15363" max="15363" width="9.88671875" style="18" customWidth="1"/>
    <col min="15364" max="15364" width="11.6640625" style="18" customWidth="1"/>
    <col min="15365" max="15367" width="9" style="18"/>
    <col min="15368" max="15368" width="9.33203125" style="18" customWidth="1"/>
    <col min="15369" max="15369" width="11.21875" style="18" customWidth="1"/>
    <col min="15370" max="15371" width="9" style="18"/>
    <col min="15372" max="15372" width="10.109375" style="18" customWidth="1"/>
    <col min="15373" max="15376" width="9" style="18"/>
    <col min="15377" max="15377" width="9.77734375" style="18" customWidth="1"/>
    <col min="15378" max="15378" width="9" style="18"/>
    <col min="15379" max="15379" width="9.109375" style="18" customWidth="1"/>
    <col min="15380" max="15380" width="9.44140625" style="18" customWidth="1"/>
    <col min="15381" max="15381" width="10.77734375" style="18" customWidth="1"/>
    <col min="15382" max="15382" width="10.21875" style="18" customWidth="1"/>
    <col min="15383" max="15614" width="9" style="18"/>
    <col min="15615" max="15615" width="4.6640625" style="18" customWidth="1"/>
    <col min="15616" max="15616" width="6.33203125" style="18" customWidth="1"/>
    <col min="15617" max="15617" width="7" style="18" customWidth="1"/>
    <col min="15618" max="15618" width="10.21875" style="18" customWidth="1"/>
    <col min="15619" max="15619" width="9.88671875" style="18" customWidth="1"/>
    <col min="15620" max="15620" width="11.6640625" style="18" customWidth="1"/>
    <col min="15621" max="15623" width="9" style="18"/>
    <col min="15624" max="15624" width="9.33203125" style="18" customWidth="1"/>
    <col min="15625" max="15625" width="11.21875" style="18" customWidth="1"/>
    <col min="15626" max="15627" width="9" style="18"/>
    <col min="15628" max="15628" width="10.109375" style="18" customWidth="1"/>
    <col min="15629" max="15632" width="9" style="18"/>
    <col min="15633" max="15633" width="9.77734375" style="18" customWidth="1"/>
    <col min="15634" max="15634" width="9" style="18"/>
    <col min="15635" max="15635" width="9.109375" style="18" customWidth="1"/>
    <col min="15636" max="15636" width="9.44140625" style="18" customWidth="1"/>
    <col min="15637" max="15637" width="10.77734375" style="18" customWidth="1"/>
    <col min="15638" max="15638" width="10.21875" style="18" customWidth="1"/>
    <col min="15639" max="15870" width="9" style="18"/>
    <col min="15871" max="15871" width="4.6640625" style="18" customWidth="1"/>
    <col min="15872" max="15872" width="6.33203125" style="18" customWidth="1"/>
    <col min="15873" max="15873" width="7" style="18" customWidth="1"/>
    <col min="15874" max="15874" width="10.21875" style="18" customWidth="1"/>
    <col min="15875" max="15875" width="9.88671875" style="18" customWidth="1"/>
    <col min="15876" max="15876" width="11.6640625" style="18" customWidth="1"/>
    <col min="15877" max="15879" width="9" style="18"/>
    <col min="15880" max="15880" width="9.33203125" style="18" customWidth="1"/>
    <col min="15881" max="15881" width="11.21875" style="18" customWidth="1"/>
    <col min="15882" max="15883" width="9" style="18"/>
    <col min="15884" max="15884" width="10.109375" style="18" customWidth="1"/>
    <col min="15885" max="15888" width="9" style="18"/>
    <col min="15889" max="15889" width="9.77734375" style="18" customWidth="1"/>
    <col min="15890" max="15890" width="9" style="18"/>
    <col min="15891" max="15891" width="9.109375" style="18" customWidth="1"/>
    <col min="15892" max="15892" width="9.44140625" style="18" customWidth="1"/>
    <col min="15893" max="15893" width="10.77734375" style="18" customWidth="1"/>
    <col min="15894" max="15894" width="10.21875" style="18" customWidth="1"/>
    <col min="15895" max="16126" width="9" style="18"/>
    <col min="16127" max="16127" width="4.6640625" style="18" customWidth="1"/>
    <col min="16128" max="16128" width="6.33203125" style="18" customWidth="1"/>
    <col min="16129" max="16129" width="7" style="18" customWidth="1"/>
    <col min="16130" max="16130" width="10.21875" style="18" customWidth="1"/>
    <col min="16131" max="16131" width="9.88671875" style="18" customWidth="1"/>
    <col min="16132" max="16132" width="11.6640625" style="18" customWidth="1"/>
    <col min="16133" max="16135" width="9" style="18"/>
    <col min="16136" max="16136" width="9.33203125" style="18" customWidth="1"/>
    <col min="16137" max="16137" width="11.21875" style="18" customWidth="1"/>
    <col min="16138" max="16139" width="9" style="18"/>
    <col min="16140" max="16140" width="10.109375" style="18" customWidth="1"/>
    <col min="16141" max="16144" width="9" style="18"/>
    <col min="16145" max="16145" width="9.77734375" style="18" customWidth="1"/>
    <col min="16146" max="16146" width="9" style="18"/>
    <col min="16147" max="16147" width="9.109375" style="18" customWidth="1"/>
    <col min="16148" max="16148" width="9.44140625" style="18" customWidth="1"/>
    <col min="16149" max="16149" width="10.77734375" style="18" customWidth="1"/>
    <col min="16150" max="16150" width="10.21875" style="18" customWidth="1"/>
    <col min="16151" max="16384" width="9" style="18"/>
  </cols>
  <sheetData>
    <row r="2" spans="2:39" ht="14.25" customHeight="1">
      <c r="B2" s="696" t="s">
        <v>95</v>
      </c>
      <c r="C2" s="696"/>
      <c r="D2" s="696"/>
      <c r="E2" s="696"/>
      <c r="F2" s="696"/>
      <c r="G2" s="696"/>
      <c r="H2" s="696"/>
      <c r="I2" s="696"/>
      <c r="J2" s="696"/>
      <c r="K2" s="696"/>
      <c r="L2" s="696"/>
      <c r="O2" s="31">
        <f>(J13+K17)/(J7+K7)*100</f>
        <v>97.308219069760071</v>
      </c>
    </row>
    <row r="3" spans="2:39"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O3" s="31">
        <f>(J14+K18)/(J8+K8)*100</f>
        <v>96.725985057824175</v>
      </c>
    </row>
    <row r="4" spans="2:39">
      <c r="B4" s="19"/>
      <c r="C4" s="693"/>
      <c r="D4" s="693"/>
      <c r="E4" s="694"/>
      <c r="F4" s="694"/>
      <c r="G4" s="694"/>
      <c r="H4" s="694"/>
      <c r="I4" s="694"/>
      <c r="J4" s="675">
        <f>基础数据!A2</f>
        <v>45836</v>
      </c>
      <c r="K4" s="675"/>
      <c r="L4" s="26"/>
      <c r="O4" s="31">
        <f>(J15+K19)/(J9+K9)*100</f>
        <v>97.922147110926488</v>
      </c>
    </row>
    <row r="5" spans="2:39" ht="20.100000000000001" customHeight="1">
      <c r="B5" s="679" t="s">
        <v>42</v>
      </c>
      <c r="C5" s="679" t="s">
        <v>43</v>
      </c>
      <c r="D5" s="679" t="s">
        <v>44</v>
      </c>
      <c r="E5" s="679" t="s">
        <v>45</v>
      </c>
      <c r="F5" s="680" t="s">
        <v>50</v>
      </c>
      <c r="G5" s="680"/>
      <c r="H5" s="680"/>
      <c r="I5" s="680"/>
      <c r="J5" s="680"/>
      <c r="K5" s="680"/>
      <c r="L5" s="680"/>
      <c r="M5" s="695" t="s">
        <v>0</v>
      </c>
      <c r="N5" s="695" t="s">
        <v>0</v>
      </c>
      <c r="O5" s="31">
        <f>(J16+K20)/(J10+K10)*100</f>
        <v>97.312632147323754</v>
      </c>
    </row>
    <row r="6" spans="2:39" ht="20.100000000000001" customHeight="1">
      <c r="B6" s="679"/>
      <c r="C6" s="679"/>
      <c r="D6" s="679"/>
      <c r="E6" s="679"/>
      <c r="F6" s="680"/>
      <c r="G6" s="20" t="s">
        <v>6</v>
      </c>
      <c r="H6" s="20" t="s">
        <v>7</v>
      </c>
      <c r="I6" s="20" t="s">
        <v>51</v>
      </c>
      <c r="J6" s="20" t="s">
        <v>53</v>
      </c>
      <c r="K6" s="20" t="s">
        <v>54</v>
      </c>
      <c r="L6" s="20" t="s">
        <v>55</v>
      </c>
      <c r="M6" s="695"/>
      <c r="N6" s="695"/>
    </row>
    <row r="7" spans="2:39" ht="20.100000000000001" customHeight="1">
      <c r="B7" s="679" t="s">
        <v>10</v>
      </c>
      <c r="C7" s="21" t="s">
        <v>96</v>
      </c>
      <c r="D7" s="23">
        <f>IF(ISERROR((D32*F32+'1车间表1'!D7*'1车间表1'!H7)/'1系统周表'!F7),"0.00",(D32*F32+'1车间表1'!D7*'1车间表1'!H7)/'1系统周表'!F7)</f>
        <v>45.6</v>
      </c>
      <c r="E7" s="23">
        <f>E32+'1车间表1'!E7</f>
        <v>9</v>
      </c>
      <c r="F7" s="23">
        <f>F32+'1车间表1'!H7</f>
        <v>752.39671399999997</v>
      </c>
      <c r="G7" s="23">
        <f>IF(ISERROR(J7/F7*100),"0.00",J7/F7*100)</f>
        <v>10.500000000000002</v>
      </c>
      <c r="H7" s="23"/>
      <c r="I7" s="27">
        <f>IF(ISERROR(L7/F7*1000),"0.00",L7/F7*1000)</f>
        <v>570</v>
      </c>
      <c r="J7" s="28">
        <f>J32+'1车间表1'!M7</f>
        <v>79.001654970000004</v>
      </c>
      <c r="K7" s="28"/>
      <c r="L7" s="32">
        <f>L32+'1车间表1'!O7</f>
        <v>428.86612697999999</v>
      </c>
      <c r="N7" s="31">
        <f>D7</f>
        <v>45.6</v>
      </c>
      <c r="O7" s="31">
        <f>F7/E7</f>
        <v>83.599634888888886</v>
      </c>
      <c r="P7" s="31" t="e">
        <f>#REF!</f>
        <v>#REF!</v>
      </c>
      <c r="Q7" s="31">
        <f t="shared" ref="Q7:S10" si="0">G7</f>
        <v>10.500000000000002</v>
      </c>
      <c r="R7" s="31">
        <f t="shared" si="0"/>
        <v>0</v>
      </c>
      <c r="S7" s="31">
        <f t="shared" si="0"/>
        <v>570</v>
      </c>
      <c r="T7" s="31" t="e">
        <f>#REF!</f>
        <v>#REF!</v>
      </c>
      <c r="U7" s="31" t="e">
        <f>#REF!</f>
        <v>#REF!</v>
      </c>
      <c r="V7" s="31" t="e">
        <f>#REF!</f>
        <v>#REF!</v>
      </c>
      <c r="W7" s="34" t="e">
        <f>#REF!</f>
        <v>#REF!</v>
      </c>
      <c r="X7" s="31" t="e">
        <f>#REF!</f>
        <v>#REF!</v>
      </c>
      <c r="Y7" s="31">
        <f t="shared" ref="Y7:AA10" si="1">G13</f>
        <v>60.559999999999988</v>
      </c>
      <c r="Z7" s="31">
        <f t="shared" si="1"/>
        <v>0</v>
      </c>
      <c r="AA7" s="34">
        <f t="shared" si="1"/>
        <v>3299.0000000000032</v>
      </c>
      <c r="AB7" s="31" t="e">
        <f>#REF!</f>
        <v>#REF!</v>
      </c>
      <c r="AC7" s="31">
        <f t="shared" ref="AC7:AE10" si="2">G17</f>
        <v>0</v>
      </c>
      <c r="AD7" s="31">
        <f t="shared" si="2"/>
        <v>0</v>
      </c>
      <c r="AE7" s="34">
        <f t="shared" si="2"/>
        <v>0</v>
      </c>
      <c r="AF7" s="31" t="e">
        <f>#REF!</f>
        <v>#REF!</v>
      </c>
      <c r="AG7" s="31">
        <f t="shared" ref="AG7:AI10" si="3">G21</f>
        <v>0.34000000000000108</v>
      </c>
      <c r="AH7" s="31">
        <f t="shared" si="3"/>
        <v>0</v>
      </c>
      <c r="AI7" s="34">
        <f t="shared" si="3"/>
        <v>16.131841789852135</v>
      </c>
      <c r="AJ7" s="31" t="e">
        <f>#REF!</f>
        <v>#REF!</v>
      </c>
      <c r="AK7" s="31">
        <f>D13</f>
        <v>97.308219069760071</v>
      </c>
      <c r="AL7" s="31">
        <f>D17</f>
        <v>0</v>
      </c>
      <c r="AM7" s="31">
        <f>E21</f>
        <v>0</v>
      </c>
    </row>
    <row r="8" spans="2:39" ht="20.100000000000001" customHeight="1">
      <c r="B8" s="679"/>
      <c r="C8" s="21" t="s">
        <v>97</v>
      </c>
      <c r="D8" s="23">
        <f>IF(ISERROR((D33*F33+'1车间表1'!D8*'1车间表1'!H8)/'1系统周表'!F8),"0.00",(D33*F33+'1车间表1'!D8*'1车间表1'!H8)/'1系统周表'!F8)</f>
        <v>0</v>
      </c>
      <c r="E8" s="23">
        <f>E33+'1车间表1'!E8</f>
        <v>8</v>
      </c>
      <c r="F8" s="23">
        <f>F33+'1车间表1'!H8</f>
        <v>124.16</v>
      </c>
      <c r="G8" s="23">
        <f>IF(ISERROR(J8/F8*100),"0.00",J8/F8*100)</f>
        <v>3.75</v>
      </c>
      <c r="H8" s="23"/>
      <c r="I8" s="27">
        <f>IF(ISERROR(L8/F8*1000),"0.00",L8/F8*1000)</f>
        <v>160.99999999999997</v>
      </c>
      <c r="J8" s="28">
        <f>J33+'1车间表1'!M8</f>
        <v>4.6559999999999997</v>
      </c>
      <c r="K8" s="28"/>
      <c r="L8" s="32">
        <f>L33+'1车间表1'!O8</f>
        <v>19.989759999999997</v>
      </c>
      <c r="N8" s="31">
        <f>D8</f>
        <v>0</v>
      </c>
      <c r="O8" s="31">
        <f>F8/E8</f>
        <v>15.52</v>
      </c>
      <c r="P8" s="31" t="e">
        <f>#REF!</f>
        <v>#REF!</v>
      </c>
      <c r="Q8" s="31">
        <f t="shared" si="0"/>
        <v>3.75</v>
      </c>
      <c r="R8" s="31">
        <f t="shared" si="0"/>
        <v>0</v>
      </c>
      <c r="S8" s="31">
        <f t="shared" si="0"/>
        <v>160.99999999999997</v>
      </c>
      <c r="T8" s="31" t="e">
        <f>#REF!</f>
        <v>#REF!</v>
      </c>
      <c r="U8" s="31" t="e">
        <f>#REF!</f>
        <v>#REF!</v>
      </c>
      <c r="V8" s="31" t="e">
        <f>#REF!</f>
        <v>#REF!</v>
      </c>
      <c r="W8" s="34" t="e">
        <f>#REF!</f>
        <v>#REF!</v>
      </c>
      <c r="X8" s="31" t="e">
        <f>#REF!</f>
        <v>#REF!</v>
      </c>
      <c r="Y8" s="31">
        <f t="shared" si="1"/>
        <v>65.27</v>
      </c>
      <c r="Z8" s="31">
        <f t="shared" si="1"/>
        <v>0</v>
      </c>
      <c r="AA8" s="34">
        <f t="shared" si="1"/>
        <v>3352</v>
      </c>
      <c r="AB8" s="31" t="e">
        <f>#REF!</f>
        <v>#REF!</v>
      </c>
      <c r="AC8" s="31">
        <f t="shared" si="2"/>
        <v>0</v>
      </c>
      <c r="AD8" s="31">
        <f t="shared" si="2"/>
        <v>0</v>
      </c>
      <c r="AE8" s="34">
        <f t="shared" si="2"/>
        <v>0</v>
      </c>
      <c r="AF8" s="31" t="e">
        <f>#REF!</f>
        <v>#REF!</v>
      </c>
      <c r="AG8" s="31">
        <f t="shared" si="3"/>
        <v>0.13</v>
      </c>
      <c r="AH8" s="31">
        <f t="shared" si="3"/>
        <v>0</v>
      </c>
      <c r="AI8" s="34">
        <f t="shared" si="3"/>
        <v>-26.766905071521474</v>
      </c>
      <c r="AJ8" s="31" t="e">
        <f>#REF!</f>
        <v>#REF!</v>
      </c>
      <c r="AK8" s="31">
        <f>D14</f>
        <v>96.725985057824175</v>
      </c>
      <c r="AL8" s="31">
        <f>D18</f>
        <v>0</v>
      </c>
      <c r="AM8" s="31">
        <f>E22</f>
        <v>0</v>
      </c>
    </row>
    <row r="9" spans="2:39" ht="20.100000000000001" customHeight="1">
      <c r="B9" s="679"/>
      <c r="C9" s="21" t="s">
        <v>98</v>
      </c>
      <c r="D9" s="23">
        <f>IF(ISERROR((D34*F34+'1车间表1'!D9*'1车间表1'!H9)/'1系统周表'!F9),"0.00",(D34*F34+'1车间表1'!D9*'1车间表1'!H9)/'1系统周表'!F9)</f>
        <v>0</v>
      </c>
      <c r="E9" s="23">
        <f>E34+'1车间表1'!E9</f>
        <v>8</v>
      </c>
      <c r="F9" s="23">
        <f>F34+'1车间表1'!H9</f>
        <v>124.16</v>
      </c>
      <c r="G9" s="23">
        <f>IF(ISERROR(J9/F9*100),"0.00",J9/F9*100)</f>
        <v>4.07</v>
      </c>
      <c r="H9" s="23"/>
      <c r="I9" s="27">
        <f>IF(ISERROR(L9/F9*1000),"0.00",L9/F9*1000)</f>
        <v>230</v>
      </c>
      <c r="J9" s="28">
        <f>J34+'1车间表1'!M9</f>
        <v>5.053312</v>
      </c>
      <c r="K9" s="28"/>
      <c r="L9" s="32">
        <f>L34+'1车间表1'!O9</f>
        <v>28.556799999999999</v>
      </c>
      <c r="N9" s="31">
        <f>D9</f>
        <v>0</v>
      </c>
      <c r="O9" s="31">
        <f>F9/E9</f>
        <v>15.52</v>
      </c>
      <c r="P9" s="31" t="e">
        <f>#REF!</f>
        <v>#REF!</v>
      </c>
      <c r="Q9" s="31">
        <f t="shared" si="0"/>
        <v>4.07</v>
      </c>
      <c r="R9" s="31">
        <f t="shared" si="0"/>
        <v>0</v>
      </c>
      <c r="S9" s="31">
        <f t="shared" si="0"/>
        <v>230</v>
      </c>
      <c r="T9" s="31" t="e">
        <f>#REF!</f>
        <v>#REF!</v>
      </c>
      <c r="U9" s="31" t="e">
        <f>#REF!</f>
        <v>#REF!</v>
      </c>
      <c r="V9" s="31" t="e">
        <f>#REF!</f>
        <v>#REF!</v>
      </c>
      <c r="W9" s="34" t="e">
        <f>#REF!</f>
        <v>#REF!</v>
      </c>
      <c r="X9" s="31" t="e">
        <f>#REF!</f>
        <v>#REF!</v>
      </c>
      <c r="Y9" s="31">
        <f t="shared" si="1"/>
        <v>66.039999999999992</v>
      </c>
      <c r="Z9" s="31">
        <f t="shared" si="1"/>
        <v>0</v>
      </c>
      <c r="AA9" s="34">
        <f t="shared" si="1"/>
        <v>3380.0000000000005</v>
      </c>
      <c r="AB9" s="31" t="e">
        <f>#REF!</f>
        <v>#REF!</v>
      </c>
      <c r="AC9" s="31">
        <f t="shared" si="2"/>
        <v>0</v>
      </c>
      <c r="AD9" s="31">
        <f t="shared" si="2"/>
        <v>0</v>
      </c>
      <c r="AE9" s="34">
        <f t="shared" si="2"/>
        <v>0</v>
      </c>
      <c r="AF9" s="31" t="e">
        <f>#REF!</f>
        <v>#REF!</v>
      </c>
      <c r="AG9" s="31">
        <f t="shared" si="3"/>
        <v>8.9999999999999802E-2</v>
      </c>
      <c r="AH9" s="31">
        <f t="shared" si="3"/>
        <v>0</v>
      </c>
      <c r="AI9" s="34">
        <f t="shared" si="3"/>
        <v>27.692431821849247</v>
      </c>
      <c r="AJ9" s="31" t="e">
        <f>#REF!</f>
        <v>#REF!</v>
      </c>
      <c r="AK9" s="31">
        <f>D15</f>
        <v>97.922147110926488</v>
      </c>
      <c r="AL9" s="31">
        <f>D19</f>
        <v>0</v>
      </c>
      <c r="AM9" s="31">
        <f>E23</f>
        <v>0</v>
      </c>
    </row>
    <row r="10" spans="2:39" ht="20.100000000000001" customHeight="1">
      <c r="B10" s="679"/>
      <c r="C10" s="20" t="s">
        <v>99</v>
      </c>
      <c r="D10" s="23">
        <f>IF(ISERROR((D7*F7+D8*F8+D9*F9)/F10),"0.00",(D7*F7+D8*F8+D9*F9)/F10)</f>
        <v>34.284717821151531</v>
      </c>
      <c r="E10" s="23">
        <f>E7+E8+E9</f>
        <v>25</v>
      </c>
      <c r="F10" s="23">
        <f>F7+F8+F9</f>
        <v>1000.7167139999999</v>
      </c>
      <c r="G10" s="23">
        <f>IF(ISERROR(J10/F10*100),"0.00",J10/F10*100)</f>
        <v>8.8647432114339626</v>
      </c>
      <c r="H10" s="23"/>
      <c r="I10" s="27">
        <f>IF(ISERROR(L10/F10*1000),"0.00",L10/F10*1000)</f>
        <v>477.07076368467654</v>
      </c>
      <c r="J10" s="28">
        <f>J7+J8+J9</f>
        <v>88.710966970000015</v>
      </c>
      <c r="K10" s="28"/>
      <c r="L10" s="32">
        <f>L7+L8+L9</f>
        <v>477.41268697999999</v>
      </c>
      <c r="N10" s="31">
        <f>D10</f>
        <v>34.284717821151531</v>
      </c>
      <c r="O10" s="31">
        <f>F10/E10</f>
        <v>40.02866856</v>
      </c>
      <c r="P10" s="31" t="e">
        <f>#REF!</f>
        <v>#REF!</v>
      </c>
      <c r="Q10" s="31">
        <f t="shared" si="0"/>
        <v>8.8647432114339626</v>
      </c>
      <c r="R10" s="31">
        <f t="shared" si="0"/>
        <v>0</v>
      </c>
      <c r="S10" s="31">
        <f t="shared" si="0"/>
        <v>477.07076368467654</v>
      </c>
      <c r="T10" s="31" t="e">
        <f>#REF!</f>
        <v>#REF!</v>
      </c>
      <c r="U10" s="31" t="e">
        <f>#REF!</f>
        <v>#REF!</v>
      </c>
      <c r="V10" s="31" t="e">
        <f>#REF!</f>
        <v>#REF!</v>
      </c>
      <c r="W10" s="34" t="e">
        <f>#REF!</f>
        <v>#REF!</v>
      </c>
      <c r="X10" s="31" t="e">
        <f>#REF!</f>
        <v>#REF!</v>
      </c>
      <c r="Y10" s="31">
        <f t="shared" si="1"/>
        <v>61.080469418054626</v>
      </c>
      <c r="Z10" s="31">
        <f t="shared" si="1"/>
        <v>0</v>
      </c>
      <c r="AA10" s="34">
        <f t="shared" si="1"/>
        <v>3305.8817480915609</v>
      </c>
      <c r="AB10" s="31" t="e">
        <f>#REF!</f>
        <v>#REF!</v>
      </c>
      <c r="AC10" s="31">
        <f t="shared" si="2"/>
        <v>0</v>
      </c>
      <c r="AD10" s="31">
        <f t="shared" si="2"/>
        <v>0</v>
      </c>
      <c r="AE10" s="34">
        <f t="shared" si="2"/>
        <v>0</v>
      </c>
      <c r="AF10" s="31" t="e">
        <f>#REF!</f>
        <v>#REF!</v>
      </c>
      <c r="AG10" s="31">
        <f t="shared" si="3"/>
        <v>0.2774069954118597</v>
      </c>
      <c r="AH10" s="31">
        <f t="shared" si="3"/>
        <v>0</v>
      </c>
      <c r="AI10" s="34">
        <f t="shared" si="3"/>
        <v>11.847874347589096</v>
      </c>
      <c r="AJ10" s="31" t="e">
        <f>#REF!</f>
        <v>#REF!</v>
      </c>
      <c r="AK10" s="31">
        <f>D16</f>
        <v>97.312632147323754</v>
      </c>
      <c r="AL10" s="31">
        <f>D20</f>
        <v>0</v>
      </c>
      <c r="AM10" s="31">
        <f>E24</f>
        <v>0</v>
      </c>
    </row>
    <row r="11" spans="2:39" ht="20.100000000000001" customHeight="1">
      <c r="B11" s="679" t="s">
        <v>42</v>
      </c>
      <c r="C11" s="679" t="s">
        <v>43</v>
      </c>
      <c r="D11" s="680" t="s">
        <v>59</v>
      </c>
      <c r="E11" s="680"/>
      <c r="F11" s="680" t="s">
        <v>50</v>
      </c>
      <c r="G11" s="680"/>
      <c r="H11" s="680"/>
      <c r="I11" s="680"/>
      <c r="J11" s="680"/>
      <c r="K11" s="680"/>
      <c r="L11" s="680"/>
      <c r="N11" s="31"/>
      <c r="O11" s="31"/>
      <c r="P11" s="31"/>
      <c r="Q11" s="31"/>
      <c r="R11" s="31"/>
      <c r="S11" s="31"/>
      <c r="T11" s="31"/>
      <c r="U11" s="31"/>
      <c r="V11" s="31"/>
      <c r="W11" s="34"/>
      <c r="X11" s="31"/>
      <c r="Y11" s="31"/>
      <c r="Z11" s="31"/>
      <c r="AA11" s="34"/>
      <c r="AB11" s="31"/>
      <c r="AC11" s="31"/>
      <c r="AD11" s="31"/>
      <c r="AE11" s="34"/>
      <c r="AF11" s="31"/>
      <c r="AG11" s="31"/>
      <c r="AH11" s="31"/>
      <c r="AI11" s="34"/>
    </row>
    <row r="12" spans="2:39" ht="20.100000000000001" customHeight="1">
      <c r="B12" s="679"/>
      <c r="C12" s="679"/>
      <c r="D12" s="20" t="s">
        <v>63</v>
      </c>
      <c r="E12" s="20" t="s">
        <v>14</v>
      </c>
      <c r="F12" s="680"/>
      <c r="G12" s="20" t="s">
        <v>6</v>
      </c>
      <c r="H12" s="20"/>
      <c r="I12" s="20" t="s">
        <v>51</v>
      </c>
      <c r="J12" s="20" t="s">
        <v>53</v>
      </c>
      <c r="K12" s="20" t="s">
        <v>54</v>
      </c>
      <c r="L12" s="20" t="s">
        <v>55</v>
      </c>
      <c r="W12" s="34"/>
      <c r="AA12" s="34"/>
      <c r="AE12" s="34"/>
      <c r="AI12" s="34"/>
    </row>
    <row r="13" spans="2:39" ht="20.100000000000001" customHeight="1">
      <c r="B13" s="679" t="s">
        <v>23</v>
      </c>
      <c r="C13" s="21" t="s">
        <v>96</v>
      </c>
      <c r="D13" s="23">
        <f>IF(ISERROR(J13/J7*100),"0.00",J13/J7*100)</f>
        <v>97.308219069760071</v>
      </c>
      <c r="E13" s="23">
        <f>IF(ISERROR(L13/L7*100),"0.00",L13/L7*100)</f>
        <v>97.647339870766359</v>
      </c>
      <c r="F13" s="23">
        <f>F35+'1车间表1'!D14</f>
        <v>126.940395454002</v>
      </c>
      <c r="G13" s="23">
        <f t="shared" ref="G13:G24" si="4">IF(ISERROR(J13/F13*100),"0.00",J13/F13*100)</f>
        <v>60.559999999999988</v>
      </c>
      <c r="H13" s="23"/>
      <c r="I13" s="27">
        <f t="shared" ref="I13:I24" si="5">IF(ISERROR(L13/F13*1000),"0.00",L13/F13*1000)</f>
        <v>3299.0000000000032</v>
      </c>
      <c r="J13" s="28">
        <f>J35+'1车间表1'!I14</f>
        <v>76.875103486943601</v>
      </c>
      <c r="K13" s="28"/>
      <c r="L13" s="32">
        <f>L35+'1车间表1'!K14</f>
        <v>418.77636460275301</v>
      </c>
      <c r="N13" s="31" t="e">
        <f>#REF!/#REF!*100</f>
        <v>#REF!</v>
      </c>
      <c r="O13" s="31">
        <f t="shared" ref="O13:Q16" si="6">J13/J7*100</f>
        <v>97.308219069760071</v>
      </c>
      <c r="P13" s="31" t="e">
        <f t="shared" si="6"/>
        <v>#DIV/0!</v>
      </c>
      <c r="Q13" s="31">
        <f t="shared" si="6"/>
        <v>97.647339870766359</v>
      </c>
      <c r="S13" s="31" t="e">
        <f>P13</f>
        <v>#DIV/0!</v>
      </c>
      <c r="T13" s="31" t="e">
        <f>P17</f>
        <v>#DIV/0!</v>
      </c>
      <c r="U13" s="31" t="e">
        <f>#REF!</f>
        <v>#REF!</v>
      </c>
      <c r="V13" s="31" t="e">
        <f>P21</f>
        <v>#DIV/0!</v>
      </c>
      <c r="W13" s="31" t="e">
        <f t="shared" ref="W13:W24" si="7">S13+T13+U13+V13</f>
        <v>#DIV/0!</v>
      </c>
      <c r="X13" s="31"/>
      <c r="Y13" s="31"/>
      <c r="Z13" s="31"/>
      <c r="AA13" s="31"/>
      <c r="AB13" s="31"/>
      <c r="AE13" s="34"/>
      <c r="AI13" s="34"/>
    </row>
    <row r="14" spans="2:39" ht="20.100000000000001" customHeight="1">
      <c r="B14" s="679"/>
      <c r="C14" s="21" t="s">
        <v>97</v>
      </c>
      <c r="D14" s="23">
        <f>IF(ISERROR(J14/J8*100),"0.00",J14/J8*100)</f>
        <v>96.725985057824175</v>
      </c>
      <c r="E14" s="23">
        <f>IF(ISERROR(L14/L8*100),"0.00",L14/L8*100)</f>
        <v>115.70148957715539</v>
      </c>
      <c r="F14" s="23">
        <f>F36+'1车间表1'!D15</f>
        <v>6.8998956094565553</v>
      </c>
      <c r="G14" s="23">
        <f t="shared" si="4"/>
        <v>65.27</v>
      </c>
      <c r="H14" s="23"/>
      <c r="I14" s="27">
        <f t="shared" si="5"/>
        <v>3352</v>
      </c>
      <c r="J14" s="28">
        <f>J36+'1车间表1'!I15</f>
        <v>4.5035618642922932</v>
      </c>
      <c r="K14" s="28"/>
      <c r="L14" s="32">
        <f>L36+'1车间表1'!K15</f>
        <v>23.128450082898372</v>
      </c>
      <c r="N14" s="31" t="e">
        <f>#REF!/#REF!*100</f>
        <v>#REF!</v>
      </c>
      <c r="O14" s="31">
        <f t="shared" si="6"/>
        <v>96.725985057824175</v>
      </c>
      <c r="P14" s="31" t="e">
        <f t="shared" si="6"/>
        <v>#DIV/0!</v>
      </c>
      <c r="Q14" s="31">
        <f t="shared" si="6"/>
        <v>115.70148957715539</v>
      </c>
      <c r="S14" s="31" t="e">
        <f>P14</f>
        <v>#DIV/0!</v>
      </c>
      <c r="T14" s="31" t="e">
        <f>P18</f>
        <v>#DIV/0!</v>
      </c>
      <c r="U14" s="31" t="e">
        <f>#REF!</f>
        <v>#REF!</v>
      </c>
      <c r="V14" s="31" t="e">
        <f>P22</f>
        <v>#DIV/0!</v>
      </c>
      <c r="W14" s="31" t="e">
        <f t="shared" si="7"/>
        <v>#DIV/0!</v>
      </c>
      <c r="AA14" s="34"/>
      <c r="AE14" s="34"/>
      <c r="AI14" s="34"/>
    </row>
    <row r="15" spans="2:39" ht="20.100000000000001" customHeight="1">
      <c r="B15" s="679"/>
      <c r="C15" s="21" t="s">
        <v>98</v>
      </c>
      <c r="D15" s="23">
        <f>IF(ISERROR(J15/J9*100),"0.00",J15/J9*100)</f>
        <v>97.922147110926488</v>
      </c>
      <c r="E15" s="23">
        <f>IF(ISERROR(L15/L9*100),"0.00",L15/L9*100)</f>
        <v>88.686422520354697</v>
      </c>
      <c r="F15" s="23">
        <f>F37+'1车间表1'!D16</f>
        <v>7.4929006823351028</v>
      </c>
      <c r="G15" s="23">
        <f t="shared" si="4"/>
        <v>66.039999999999992</v>
      </c>
      <c r="H15" s="23"/>
      <c r="I15" s="27">
        <f t="shared" si="5"/>
        <v>3380.0000000000005</v>
      </c>
      <c r="J15" s="28">
        <f>J37+'1车间表1'!I16</f>
        <v>4.9483116106141019</v>
      </c>
      <c r="K15" s="28"/>
      <c r="L15" s="32">
        <f>L37+'1车间表1'!K16</f>
        <v>25.326004306292649</v>
      </c>
      <c r="N15" s="31" t="e">
        <f>#REF!/#REF!*100</f>
        <v>#REF!</v>
      </c>
      <c r="O15" s="31">
        <f t="shared" si="6"/>
        <v>97.922147110926488</v>
      </c>
      <c r="P15" s="31" t="e">
        <f t="shared" si="6"/>
        <v>#DIV/0!</v>
      </c>
      <c r="Q15" s="31">
        <f t="shared" si="6"/>
        <v>88.686422520354697</v>
      </c>
      <c r="S15" s="31" t="e">
        <f>P15</f>
        <v>#DIV/0!</v>
      </c>
      <c r="T15" s="31" t="e">
        <f>P19</f>
        <v>#DIV/0!</v>
      </c>
      <c r="U15" s="31" t="e">
        <f>#REF!</f>
        <v>#REF!</v>
      </c>
      <c r="V15" s="31" t="e">
        <f>P23</f>
        <v>#DIV/0!</v>
      </c>
      <c r="W15" s="31" t="e">
        <f t="shared" si="7"/>
        <v>#DIV/0!</v>
      </c>
      <c r="AA15" s="34"/>
      <c r="AE15" s="34"/>
      <c r="AI15" s="34"/>
    </row>
    <row r="16" spans="2:39" ht="20.100000000000001" customHeight="1">
      <c r="B16" s="679"/>
      <c r="C16" s="20" t="s">
        <v>99</v>
      </c>
      <c r="D16" s="23">
        <f>IF(ISERROR(J16/J10*100),"0.00",J16/J10*100)</f>
        <v>97.312632147323754</v>
      </c>
      <c r="E16" s="23">
        <f>IF(ISERROR(L16/L10*100),"0.00",L16/L10*100)</f>
        <v>97.867281648406944</v>
      </c>
      <c r="F16" s="23">
        <f>F13+F14+F15</f>
        <v>141.33319174579364</v>
      </c>
      <c r="G16" s="23">
        <f t="shared" si="4"/>
        <v>61.080469418054626</v>
      </c>
      <c r="H16" s="23"/>
      <c r="I16" s="27">
        <f t="shared" si="5"/>
        <v>3305.8817480915609</v>
      </c>
      <c r="J16" s="28">
        <f>J13+J14+J15</f>
        <v>86.326976961849994</v>
      </c>
      <c r="K16" s="28"/>
      <c r="L16" s="32">
        <f>L13+L14+L15</f>
        <v>467.23081899194403</v>
      </c>
      <c r="N16" s="31" t="e">
        <f>#REF!/#REF!*100</f>
        <v>#REF!</v>
      </c>
      <c r="O16" s="31">
        <f t="shared" si="6"/>
        <v>97.312632147323754</v>
      </c>
      <c r="P16" s="31" t="e">
        <f t="shared" si="6"/>
        <v>#DIV/0!</v>
      </c>
      <c r="Q16" s="31">
        <f t="shared" si="6"/>
        <v>97.867281648406944</v>
      </c>
      <c r="S16" s="31" t="e">
        <f>P16</f>
        <v>#DIV/0!</v>
      </c>
      <c r="T16" s="31" t="e">
        <f>P20</f>
        <v>#DIV/0!</v>
      </c>
      <c r="U16" s="31" t="e">
        <f>#REF!</f>
        <v>#REF!</v>
      </c>
      <c r="V16" s="31" t="e">
        <f>P24</f>
        <v>#DIV/0!</v>
      </c>
      <c r="W16" s="31" t="e">
        <f t="shared" si="7"/>
        <v>#DIV/0!</v>
      </c>
      <c r="AA16" s="34"/>
      <c r="AE16" s="34"/>
      <c r="AI16" s="34"/>
    </row>
    <row r="17" spans="2:35" ht="20.100000000000001" customHeight="1">
      <c r="B17" s="679" t="s">
        <v>25</v>
      </c>
      <c r="C17" s="21" t="s">
        <v>96</v>
      </c>
      <c r="D17" s="23"/>
      <c r="E17" s="23"/>
      <c r="F17" s="23"/>
      <c r="G17" s="23"/>
      <c r="H17" s="23"/>
      <c r="I17" s="27"/>
      <c r="J17" s="28"/>
      <c r="K17" s="28"/>
      <c r="L17" s="32"/>
      <c r="N17" s="31" t="e">
        <f>#REF!/#REF!*100</f>
        <v>#REF!</v>
      </c>
      <c r="O17" s="31">
        <f t="shared" ref="O17:Q20" si="8">J17/J7*100</f>
        <v>0</v>
      </c>
      <c r="P17" s="31" t="e">
        <f t="shared" si="8"/>
        <v>#DIV/0!</v>
      </c>
      <c r="Q17" s="31">
        <f t="shared" si="8"/>
        <v>0</v>
      </c>
      <c r="S17" s="31" t="e">
        <f>N13</f>
        <v>#REF!</v>
      </c>
      <c r="T17" s="31" t="e">
        <f>N17</f>
        <v>#REF!</v>
      </c>
      <c r="U17" s="31" t="e">
        <f>#REF!</f>
        <v>#REF!</v>
      </c>
      <c r="V17" s="31" t="e">
        <f>N21</f>
        <v>#REF!</v>
      </c>
      <c r="W17" s="31" t="e">
        <f t="shared" si="7"/>
        <v>#REF!</v>
      </c>
      <c r="AA17" s="34"/>
      <c r="AE17" s="34"/>
      <c r="AI17" s="34"/>
    </row>
    <row r="18" spans="2:35" ht="20.100000000000001" customHeight="1">
      <c r="B18" s="679"/>
      <c r="C18" s="21" t="s">
        <v>97</v>
      </c>
      <c r="D18" s="23"/>
      <c r="E18" s="23"/>
      <c r="F18" s="23"/>
      <c r="G18" s="23"/>
      <c r="H18" s="23"/>
      <c r="I18" s="27"/>
      <c r="J18" s="28"/>
      <c r="K18" s="28"/>
      <c r="L18" s="32"/>
      <c r="N18" s="31" t="e">
        <f>#REF!/#REF!*100</f>
        <v>#REF!</v>
      </c>
      <c r="O18" s="31">
        <f t="shared" si="8"/>
        <v>0</v>
      </c>
      <c r="P18" s="31" t="e">
        <f t="shared" si="8"/>
        <v>#DIV/0!</v>
      </c>
      <c r="Q18" s="31">
        <f t="shared" si="8"/>
        <v>0</v>
      </c>
      <c r="S18" s="31" t="e">
        <f>N14</f>
        <v>#REF!</v>
      </c>
      <c r="T18" s="31" t="e">
        <f>N18</f>
        <v>#REF!</v>
      </c>
      <c r="U18" s="31" t="e">
        <f>#REF!</f>
        <v>#REF!</v>
      </c>
      <c r="V18" s="31" t="e">
        <f>N22</f>
        <v>#REF!</v>
      </c>
      <c r="W18" s="31" t="e">
        <f t="shared" si="7"/>
        <v>#REF!</v>
      </c>
      <c r="AA18" s="34"/>
      <c r="AE18" s="34"/>
      <c r="AI18" s="34"/>
    </row>
    <row r="19" spans="2:35" ht="20.100000000000001" customHeight="1">
      <c r="B19" s="679"/>
      <c r="C19" s="21" t="s">
        <v>98</v>
      </c>
      <c r="D19" s="23"/>
      <c r="E19" s="23"/>
      <c r="F19" s="23"/>
      <c r="G19" s="23"/>
      <c r="H19" s="23"/>
      <c r="I19" s="27"/>
      <c r="J19" s="28"/>
      <c r="K19" s="28"/>
      <c r="L19" s="32"/>
      <c r="N19" s="31" t="e">
        <f>#REF!/#REF!*100</f>
        <v>#REF!</v>
      </c>
      <c r="O19" s="31">
        <f t="shared" si="8"/>
        <v>0</v>
      </c>
      <c r="P19" s="31" t="e">
        <f t="shared" si="8"/>
        <v>#DIV/0!</v>
      </c>
      <c r="Q19" s="31">
        <f t="shared" si="8"/>
        <v>0</v>
      </c>
      <c r="S19" s="31" t="e">
        <f>N15</f>
        <v>#REF!</v>
      </c>
      <c r="T19" s="31" t="e">
        <f>N19</f>
        <v>#REF!</v>
      </c>
      <c r="U19" s="31" t="e">
        <f>#REF!</f>
        <v>#REF!</v>
      </c>
      <c r="V19" s="31" t="e">
        <f>N23</f>
        <v>#REF!</v>
      </c>
      <c r="W19" s="31" t="e">
        <f t="shared" si="7"/>
        <v>#REF!</v>
      </c>
      <c r="AA19" s="34"/>
      <c r="AE19" s="34"/>
      <c r="AI19" s="34"/>
    </row>
    <row r="20" spans="2:35" ht="20.100000000000001" customHeight="1">
      <c r="B20" s="679"/>
      <c r="C20" s="20" t="s">
        <v>99</v>
      </c>
      <c r="D20" s="23"/>
      <c r="E20" s="23"/>
      <c r="F20" s="23"/>
      <c r="G20" s="23"/>
      <c r="H20" s="23"/>
      <c r="I20" s="27"/>
      <c r="J20" s="28"/>
      <c r="K20" s="28"/>
      <c r="L20" s="32"/>
      <c r="N20" s="31" t="e">
        <f>#REF!/#REF!*100</f>
        <v>#REF!</v>
      </c>
      <c r="O20" s="31">
        <f t="shared" si="8"/>
        <v>0</v>
      </c>
      <c r="P20" s="31" t="e">
        <f t="shared" si="8"/>
        <v>#DIV/0!</v>
      </c>
      <c r="Q20" s="31">
        <f t="shared" si="8"/>
        <v>0</v>
      </c>
      <c r="S20" s="31" t="e">
        <f>N16</f>
        <v>#REF!</v>
      </c>
      <c r="T20" s="31" t="e">
        <f>N20</f>
        <v>#REF!</v>
      </c>
      <c r="U20" s="31" t="e">
        <f>#REF!</f>
        <v>#REF!</v>
      </c>
      <c r="V20" s="31" t="e">
        <f>N24</f>
        <v>#REF!</v>
      </c>
      <c r="W20" s="31" t="e">
        <f t="shared" si="7"/>
        <v>#REF!</v>
      </c>
      <c r="AA20" s="34"/>
      <c r="AE20" s="34"/>
      <c r="AI20" s="34"/>
    </row>
    <row r="21" spans="2:35" ht="20.100000000000001" customHeight="1">
      <c r="B21" s="679" t="s">
        <v>26</v>
      </c>
      <c r="C21" s="21" t="s">
        <v>96</v>
      </c>
      <c r="D21" s="23"/>
      <c r="E21" s="23"/>
      <c r="F21" s="23">
        <f>F41+'1车间表1'!D24</f>
        <v>625.45631854599799</v>
      </c>
      <c r="G21" s="23">
        <f t="shared" si="4"/>
        <v>0.34000000000000108</v>
      </c>
      <c r="H21" s="23"/>
      <c r="I21" s="27">
        <f t="shared" si="5"/>
        <v>16.131841789852135</v>
      </c>
      <c r="J21" s="28">
        <f>J41+'1车间表1'!I24</f>
        <v>2.1265514830563998</v>
      </c>
      <c r="K21" s="28"/>
      <c r="L21" s="32">
        <f>L41+'1车间表1'!K24</f>
        <v>10.0897623772474</v>
      </c>
      <c r="N21" s="31" t="e">
        <f>#REF!/#REF!*100</f>
        <v>#REF!</v>
      </c>
      <c r="O21" s="31">
        <f t="shared" ref="O21:Q24" si="9">J21/J7*100</f>
        <v>2.691780930239922</v>
      </c>
      <c r="P21" s="31" t="e">
        <f t="shared" si="9"/>
        <v>#DIV/0!</v>
      </c>
      <c r="Q21" s="31">
        <f t="shared" si="9"/>
        <v>2.352660129233739</v>
      </c>
      <c r="S21" s="31">
        <f>Q13</f>
        <v>97.647339870766359</v>
      </c>
      <c r="T21" s="31">
        <f>Q17</f>
        <v>0</v>
      </c>
      <c r="U21" s="31" t="e">
        <f>#REF!</f>
        <v>#REF!</v>
      </c>
      <c r="V21" s="31">
        <f>Q21</f>
        <v>2.352660129233739</v>
      </c>
      <c r="W21" s="31" t="e">
        <f t="shared" si="7"/>
        <v>#REF!</v>
      </c>
      <c r="AA21" s="34"/>
      <c r="AE21" s="34"/>
      <c r="AI21" s="34"/>
    </row>
    <row r="22" spans="2:35" ht="20.100000000000001" customHeight="1">
      <c r="B22" s="679"/>
      <c r="C22" s="21" t="s">
        <v>97</v>
      </c>
      <c r="D22" s="23"/>
      <c r="E22" s="23"/>
      <c r="F22" s="23">
        <f>F42+'1车间表1'!D25</f>
        <v>117.26010439054345</v>
      </c>
      <c r="G22" s="23">
        <f t="shared" si="4"/>
        <v>0.13</v>
      </c>
      <c r="H22" s="23"/>
      <c r="I22" s="27">
        <f t="shared" si="5"/>
        <v>-26.766905071521474</v>
      </c>
      <c r="J22" s="28">
        <f>J42+'1车间表1'!I25</f>
        <v>0.15243813570770648</v>
      </c>
      <c r="K22" s="28"/>
      <c r="L22" s="32">
        <f>L42+'1车间表1'!K25</f>
        <v>-3.1386900828983748</v>
      </c>
      <c r="N22" s="31" t="e">
        <f>#REF!/#REF!*100</f>
        <v>#REF!</v>
      </c>
      <c r="O22" s="31">
        <f t="shared" si="9"/>
        <v>3.2740149421758264</v>
      </c>
      <c r="P22" s="31" t="e">
        <f t="shared" si="9"/>
        <v>#DIV/0!</v>
      </c>
      <c r="Q22" s="31">
        <f t="shared" si="9"/>
        <v>-15.701489577155382</v>
      </c>
      <c r="S22" s="31">
        <f>Q14</f>
        <v>115.70148957715539</v>
      </c>
      <c r="T22" s="31">
        <f>Q18</f>
        <v>0</v>
      </c>
      <c r="U22" s="31" t="e">
        <f>#REF!</f>
        <v>#REF!</v>
      </c>
      <c r="V22" s="31">
        <f>Q22</f>
        <v>-15.701489577155382</v>
      </c>
      <c r="W22" s="31" t="e">
        <f t="shared" si="7"/>
        <v>#REF!</v>
      </c>
      <c r="AA22" s="34"/>
      <c r="AE22" s="34"/>
      <c r="AI22" s="34"/>
    </row>
    <row r="23" spans="2:35" ht="20.100000000000001" customHeight="1">
      <c r="B23" s="679"/>
      <c r="C23" s="21" t="s">
        <v>98</v>
      </c>
      <c r="D23" s="23"/>
      <c r="E23" s="23"/>
      <c r="F23" s="23">
        <f>F43+'1车间表1'!D26</f>
        <v>116.66709931766489</v>
      </c>
      <c r="G23" s="23">
        <f t="shared" si="4"/>
        <v>8.9999999999999802E-2</v>
      </c>
      <c r="H23" s="23"/>
      <c r="I23" s="27">
        <f t="shared" si="5"/>
        <v>27.692431821849247</v>
      </c>
      <c r="J23" s="28">
        <f>J43+'1车间表1'!I26</f>
        <v>0.10500038938589817</v>
      </c>
      <c r="K23" s="28"/>
      <c r="L23" s="32">
        <f>L43+'1车间表1'!K26</f>
        <v>3.2307956937073499</v>
      </c>
      <c r="N23" s="31" t="e">
        <f>#REF!/#REF!*100</f>
        <v>#REF!</v>
      </c>
      <c r="O23" s="31">
        <f t="shared" si="9"/>
        <v>2.077852889073506</v>
      </c>
      <c r="P23" s="31" t="e">
        <f t="shared" si="9"/>
        <v>#DIV/0!</v>
      </c>
      <c r="Q23" s="31">
        <f t="shared" si="9"/>
        <v>11.313577479645303</v>
      </c>
      <c r="S23" s="31">
        <f>Q15</f>
        <v>88.686422520354697</v>
      </c>
      <c r="T23" s="31">
        <f>Q19</f>
        <v>0</v>
      </c>
      <c r="U23" s="31" t="e">
        <f>#REF!</f>
        <v>#REF!</v>
      </c>
      <c r="V23" s="31">
        <f>Q23</f>
        <v>11.313577479645303</v>
      </c>
      <c r="W23" s="31" t="e">
        <f t="shared" si="7"/>
        <v>#REF!</v>
      </c>
      <c r="AA23" s="34"/>
      <c r="AE23" s="34"/>
      <c r="AI23" s="34"/>
    </row>
    <row r="24" spans="2:35" ht="20.100000000000001" customHeight="1">
      <c r="B24" s="679"/>
      <c r="C24" s="20" t="s">
        <v>99</v>
      </c>
      <c r="D24" s="23"/>
      <c r="E24" s="23"/>
      <c r="F24" s="23">
        <f>F21+F22+F23</f>
        <v>859.38352225420635</v>
      </c>
      <c r="G24" s="23">
        <f t="shared" si="4"/>
        <v>0.2774069954118597</v>
      </c>
      <c r="H24" s="23"/>
      <c r="I24" s="27">
        <f t="shared" si="5"/>
        <v>11.847874347589096</v>
      </c>
      <c r="J24" s="28">
        <f>J21+J22+J23</f>
        <v>2.3839900081500045</v>
      </c>
      <c r="K24" s="28"/>
      <c r="L24" s="32">
        <f>L21+L22+L23</f>
        <v>10.181867988056375</v>
      </c>
      <c r="N24" s="31" t="e">
        <f>#REF!/#REF!*100</f>
        <v>#REF!</v>
      </c>
      <c r="O24" s="31">
        <f t="shared" si="9"/>
        <v>2.6873678526762248</v>
      </c>
      <c r="P24" s="31" t="e">
        <f t="shared" si="9"/>
        <v>#DIV/0!</v>
      </c>
      <c r="Q24" s="31">
        <f t="shared" si="9"/>
        <v>2.1327183515931405</v>
      </c>
      <c r="S24" s="31">
        <f>Q16</f>
        <v>97.867281648406944</v>
      </c>
      <c r="T24" s="31">
        <f>Q20</f>
        <v>0</v>
      </c>
      <c r="U24" s="31" t="e">
        <f>#REF!</f>
        <v>#REF!</v>
      </c>
      <c r="V24" s="31">
        <f>Q24</f>
        <v>2.1327183515931405</v>
      </c>
      <c r="W24" s="31" t="e">
        <f t="shared" si="7"/>
        <v>#REF!</v>
      </c>
      <c r="AA24" s="34"/>
      <c r="AE24" s="34"/>
      <c r="AI24" s="34"/>
    </row>
    <row r="25" spans="2:35">
      <c r="B25" s="19"/>
      <c r="C25" s="694" t="s">
        <v>66</v>
      </c>
      <c r="D25" s="694"/>
      <c r="E25" s="694"/>
      <c r="F25" s="19"/>
      <c r="G25" s="19"/>
      <c r="H25" s="19"/>
      <c r="I25" s="19"/>
      <c r="J25" s="694"/>
      <c r="K25" s="694"/>
      <c r="L25" s="19"/>
    </row>
    <row r="26" spans="2:3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9" spans="2:35">
      <c r="D29" s="18" t="s">
        <v>100</v>
      </c>
    </row>
    <row r="30" spans="2:35">
      <c r="B30" s="679" t="s">
        <v>42</v>
      </c>
      <c r="C30" s="679" t="s">
        <v>43</v>
      </c>
      <c r="D30" s="679" t="s">
        <v>44</v>
      </c>
      <c r="E30" s="679" t="s">
        <v>45</v>
      </c>
      <c r="F30" s="680" t="s">
        <v>50</v>
      </c>
      <c r="G30" s="680"/>
      <c r="H30" s="680"/>
      <c r="I30" s="680"/>
      <c r="J30" s="680"/>
      <c r="K30" s="680"/>
      <c r="L30" s="680"/>
    </row>
    <row r="31" spans="2:35">
      <c r="B31" s="679"/>
      <c r="C31" s="679"/>
      <c r="D31" s="679"/>
      <c r="E31" s="679"/>
      <c r="F31" s="680"/>
      <c r="G31" s="20" t="s">
        <v>6</v>
      </c>
      <c r="H31" s="20" t="s">
        <v>7</v>
      </c>
      <c r="I31" s="20" t="s">
        <v>51</v>
      </c>
      <c r="J31" s="20" t="s">
        <v>53</v>
      </c>
      <c r="K31" s="20" t="s">
        <v>54</v>
      </c>
      <c r="L31" s="20" t="s">
        <v>55</v>
      </c>
    </row>
    <row r="32" spans="2:35">
      <c r="B32" s="679" t="s">
        <v>10</v>
      </c>
      <c r="C32" s="21" t="s">
        <v>91</v>
      </c>
      <c r="D32" s="573">
        <v>45.6</v>
      </c>
      <c r="E32" s="573">
        <v>9</v>
      </c>
      <c r="F32" s="573">
        <v>752.39671399999997</v>
      </c>
      <c r="G32" s="574"/>
      <c r="H32" s="574"/>
      <c r="I32" s="574"/>
      <c r="J32" s="576">
        <v>79.001654970000004</v>
      </c>
      <c r="K32" s="576">
        <v>0</v>
      </c>
      <c r="L32" s="577">
        <v>428.86612697999999</v>
      </c>
      <c r="O32" s="578"/>
      <c r="P32" s="578"/>
      <c r="Q32" s="578"/>
      <c r="R32" s="578"/>
      <c r="S32" s="579"/>
      <c r="T32" s="579"/>
      <c r="U32" s="579"/>
      <c r="V32" s="579"/>
    </row>
    <row r="33" spans="2:22">
      <c r="B33" s="679"/>
      <c r="C33" s="21" t="s">
        <v>92</v>
      </c>
      <c r="D33" s="573" t="s">
        <v>101</v>
      </c>
      <c r="E33" s="573">
        <v>0</v>
      </c>
      <c r="F33" s="573">
        <v>0</v>
      </c>
      <c r="G33" s="574"/>
      <c r="H33" s="574"/>
      <c r="I33" s="574"/>
      <c r="J33" s="576">
        <v>0</v>
      </c>
      <c r="K33" s="576">
        <v>0</v>
      </c>
      <c r="L33" s="577">
        <v>0</v>
      </c>
      <c r="O33" s="578"/>
      <c r="P33" s="578"/>
      <c r="Q33" s="578"/>
      <c r="R33" s="578"/>
      <c r="S33" s="579"/>
      <c r="T33" s="579"/>
      <c r="U33" s="579"/>
      <c r="V33" s="579"/>
    </row>
    <row r="34" spans="2:22">
      <c r="B34" s="679"/>
      <c r="C34" s="21" t="s">
        <v>93</v>
      </c>
      <c r="D34" s="573" t="s">
        <v>101</v>
      </c>
      <c r="E34" s="573">
        <v>0</v>
      </c>
      <c r="F34" s="573">
        <v>0</v>
      </c>
      <c r="G34" s="574"/>
      <c r="H34" s="574"/>
      <c r="I34" s="574"/>
      <c r="J34" s="576">
        <v>0</v>
      </c>
      <c r="K34" s="576">
        <v>0</v>
      </c>
      <c r="L34" s="577">
        <v>0</v>
      </c>
      <c r="O34" s="578"/>
      <c r="P34" s="578"/>
      <c r="Q34" s="578"/>
      <c r="R34" s="578"/>
      <c r="S34" s="579"/>
      <c r="T34" s="579"/>
      <c r="U34" s="579"/>
      <c r="V34" s="579"/>
    </row>
    <row r="35" spans="2:22">
      <c r="B35" s="679" t="s">
        <v>23</v>
      </c>
      <c r="C35" s="21" t="s">
        <v>91</v>
      </c>
      <c r="D35" s="574"/>
      <c r="E35" s="574"/>
      <c r="F35" s="573">
        <v>126.940395454002</v>
      </c>
      <c r="G35" s="574"/>
      <c r="H35" s="574"/>
      <c r="I35" s="574"/>
      <c r="J35" s="576">
        <v>76.875103486943601</v>
      </c>
      <c r="K35" s="576">
        <v>0</v>
      </c>
      <c r="L35" s="577">
        <v>418.77636460275301</v>
      </c>
      <c r="O35" s="578"/>
      <c r="P35" s="578"/>
      <c r="Q35" s="578"/>
      <c r="R35" s="578"/>
      <c r="S35" s="579"/>
      <c r="T35" s="579"/>
      <c r="U35" s="579"/>
      <c r="V35" s="579"/>
    </row>
    <row r="36" spans="2:22">
      <c r="B36" s="679"/>
      <c r="C36" s="21" t="s">
        <v>92</v>
      </c>
      <c r="D36" s="574"/>
      <c r="E36" s="574"/>
      <c r="F36" s="573">
        <v>0</v>
      </c>
      <c r="G36" s="574"/>
      <c r="H36" s="574"/>
      <c r="I36" s="574"/>
      <c r="J36" s="576">
        <v>0</v>
      </c>
      <c r="K36" s="576">
        <v>0</v>
      </c>
      <c r="L36" s="577">
        <v>0</v>
      </c>
      <c r="O36" s="578"/>
      <c r="P36" s="578"/>
      <c r="Q36" s="578"/>
      <c r="R36" s="578"/>
      <c r="S36" s="579"/>
      <c r="T36" s="579"/>
      <c r="U36" s="579"/>
      <c r="V36" s="579"/>
    </row>
    <row r="37" spans="2:22">
      <c r="B37" s="679"/>
      <c r="C37" s="21" t="s">
        <v>93</v>
      </c>
      <c r="D37" s="574"/>
      <c r="E37" s="574"/>
      <c r="F37" s="573">
        <v>0</v>
      </c>
      <c r="G37" s="574"/>
      <c r="H37" s="574"/>
      <c r="I37" s="574"/>
      <c r="J37" s="576">
        <v>0</v>
      </c>
      <c r="K37" s="576">
        <v>0</v>
      </c>
      <c r="L37" s="577">
        <v>0</v>
      </c>
      <c r="O37" s="578"/>
      <c r="P37" s="578"/>
      <c r="Q37" s="578"/>
      <c r="R37" s="578"/>
      <c r="S37" s="579"/>
      <c r="T37" s="579"/>
      <c r="U37" s="579"/>
      <c r="V37" s="579"/>
    </row>
    <row r="38" spans="2:22">
      <c r="B38" s="679" t="s">
        <v>25</v>
      </c>
      <c r="C38" s="21" t="s">
        <v>91</v>
      </c>
      <c r="D38" s="574"/>
      <c r="E38" s="574"/>
      <c r="F38" s="573">
        <v>0</v>
      </c>
      <c r="G38" s="574"/>
      <c r="H38" s="574"/>
      <c r="I38" s="574"/>
      <c r="J38" s="576">
        <v>0</v>
      </c>
      <c r="K38" s="576">
        <v>0</v>
      </c>
      <c r="L38" s="577">
        <v>0</v>
      </c>
      <c r="O38" s="578"/>
      <c r="P38" s="578"/>
      <c r="Q38" s="578"/>
      <c r="R38" s="578"/>
      <c r="S38" s="579"/>
      <c r="T38" s="579"/>
      <c r="U38" s="579"/>
      <c r="V38" s="579"/>
    </row>
    <row r="39" spans="2:22">
      <c r="B39" s="679"/>
      <c r="C39" s="21" t="s">
        <v>92</v>
      </c>
      <c r="D39" s="574"/>
      <c r="E39" s="574"/>
      <c r="F39" s="573">
        <v>0</v>
      </c>
      <c r="G39" s="574"/>
      <c r="H39" s="574"/>
      <c r="I39" s="574"/>
      <c r="J39" s="576">
        <v>0</v>
      </c>
      <c r="K39" s="576">
        <v>0</v>
      </c>
      <c r="L39" s="577">
        <v>0</v>
      </c>
      <c r="O39" s="578"/>
      <c r="P39" s="578"/>
      <c r="Q39" s="578"/>
      <c r="R39" s="578"/>
      <c r="S39" s="579"/>
      <c r="T39" s="579"/>
      <c r="U39" s="579"/>
      <c r="V39" s="579"/>
    </row>
    <row r="40" spans="2:22">
      <c r="B40" s="679"/>
      <c r="C40" s="21" t="s">
        <v>93</v>
      </c>
      <c r="D40" s="574"/>
      <c r="E40" s="574"/>
      <c r="F40" s="573">
        <v>0</v>
      </c>
      <c r="G40" s="574"/>
      <c r="H40" s="574"/>
      <c r="I40" s="574"/>
      <c r="J40" s="576">
        <v>0</v>
      </c>
      <c r="K40" s="576">
        <v>0</v>
      </c>
      <c r="L40" s="577">
        <v>0</v>
      </c>
      <c r="O40" s="578"/>
      <c r="P40" s="578"/>
      <c r="Q40" s="578"/>
      <c r="R40" s="578"/>
      <c r="S40" s="579"/>
      <c r="T40" s="579"/>
      <c r="U40" s="579"/>
      <c r="V40" s="579"/>
    </row>
    <row r="41" spans="2:22">
      <c r="B41" s="679" t="s">
        <v>26</v>
      </c>
      <c r="C41" s="21" t="s">
        <v>91</v>
      </c>
      <c r="D41" s="574"/>
      <c r="E41" s="574"/>
      <c r="F41" s="573">
        <v>625.45631854599799</v>
      </c>
      <c r="G41" s="574"/>
      <c r="H41" s="574"/>
      <c r="I41" s="574"/>
      <c r="J41" s="576">
        <v>2.1265514830563998</v>
      </c>
      <c r="K41" s="576">
        <v>0</v>
      </c>
      <c r="L41" s="577">
        <v>10.0897623772474</v>
      </c>
      <c r="O41" s="578"/>
      <c r="P41" s="578"/>
      <c r="Q41" s="578"/>
      <c r="R41" s="578"/>
      <c r="S41" s="579"/>
      <c r="T41" s="579"/>
      <c r="U41" s="579"/>
      <c r="V41" s="579"/>
    </row>
    <row r="42" spans="2:22">
      <c r="B42" s="679"/>
      <c r="C42" s="21" t="s">
        <v>92</v>
      </c>
      <c r="D42" s="574"/>
      <c r="E42" s="574"/>
      <c r="F42" s="573">
        <v>0</v>
      </c>
      <c r="G42" s="574"/>
      <c r="H42" s="574"/>
      <c r="I42" s="574"/>
      <c r="J42" s="576">
        <v>0</v>
      </c>
      <c r="K42" s="576">
        <v>0</v>
      </c>
      <c r="L42" s="577">
        <v>0</v>
      </c>
      <c r="O42" s="578"/>
      <c r="P42" s="578"/>
      <c r="Q42" s="578"/>
      <c r="R42" s="578"/>
      <c r="S42" s="579"/>
      <c r="T42" s="579"/>
      <c r="U42" s="579"/>
      <c r="V42" s="579"/>
    </row>
    <row r="43" spans="2:22">
      <c r="B43" s="679"/>
      <c r="C43" s="21" t="s">
        <v>93</v>
      </c>
      <c r="D43" s="574"/>
      <c r="E43" s="574"/>
      <c r="F43" s="573">
        <v>0</v>
      </c>
      <c r="G43" s="574"/>
      <c r="H43" s="574"/>
      <c r="I43" s="574"/>
      <c r="J43" s="576">
        <v>0</v>
      </c>
      <c r="K43" s="576">
        <v>0</v>
      </c>
      <c r="L43" s="577">
        <v>0</v>
      </c>
    </row>
    <row r="46" spans="2:22">
      <c r="D46" s="18" t="s">
        <v>102</v>
      </c>
    </row>
    <row r="47" spans="2:22">
      <c r="B47" s="679" t="s">
        <v>42</v>
      </c>
      <c r="C47" s="679" t="s">
        <v>43</v>
      </c>
      <c r="D47" s="679" t="s">
        <v>44</v>
      </c>
      <c r="E47" s="679" t="s">
        <v>45</v>
      </c>
      <c r="F47" s="680" t="s">
        <v>50</v>
      </c>
      <c r="G47" s="680"/>
      <c r="H47" s="680"/>
      <c r="I47" s="680"/>
      <c r="J47" s="680"/>
      <c r="K47" s="680"/>
      <c r="L47" s="680"/>
    </row>
    <row r="48" spans="2:22">
      <c r="B48" s="679"/>
      <c r="C48" s="679"/>
      <c r="D48" s="679"/>
      <c r="E48" s="679"/>
      <c r="F48" s="680"/>
      <c r="G48" s="20" t="s">
        <v>6</v>
      </c>
      <c r="H48" s="20" t="s">
        <v>7</v>
      </c>
      <c r="I48" s="20" t="s">
        <v>51</v>
      </c>
      <c r="J48" s="20" t="s">
        <v>53</v>
      </c>
      <c r="K48" s="20" t="s">
        <v>54</v>
      </c>
      <c r="L48" s="20" t="s">
        <v>55</v>
      </c>
    </row>
    <row r="49" spans="2:12">
      <c r="B49" s="679" t="s">
        <v>10</v>
      </c>
      <c r="C49" s="21" t="s">
        <v>91</v>
      </c>
      <c r="D49" s="23">
        <f t="shared" ref="D49:F51" si="10">D7</f>
        <v>45.6</v>
      </c>
      <c r="E49" s="23">
        <f t="shared" si="10"/>
        <v>9</v>
      </c>
      <c r="F49" s="23">
        <f t="shared" si="10"/>
        <v>752.39671399999997</v>
      </c>
      <c r="G49" s="575"/>
      <c r="H49" s="575"/>
      <c r="I49" s="575"/>
      <c r="J49" s="28">
        <f t="shared" ref="J49:L51" si="11">J7</f>
        <v>79.001654970000004</v>
      </c>
      <c r="K49" s="28">
        <f t="shared" si="11"/>
        <v>0</v>
      </c>
      <c r="L49" s="32">
        <f t="shared" si="11"/>
        <v>428.86612697999999</v>
      </c>
    </row>
    <row r="50" spans="2:12">
      <c r="B50" s="679"/>
      <c r="C50" s="21" t="s">
        <v>92</v>
      </c>
      <c r="D50" s="23">
        <f t="shared" si="10"/>
        <v>0</v>
      </c>
      <c r="E50" s="23">
        <f t="shared" si="10"/>
        <v>8</v>
      </c>
      <c r="F50" s="23">
        <f t="shared" si="10"/>
        <v>124.16</v>
      </c>
      <c r="G50" s="575"/>
      <c r="H50" s="575"/>
      <c r="I50" s="575"/>
      <c r="J50" s="28">
        <f t="shared" si="11"/>
        <v>4.6559999999999997</v>
      </c>
      <c r="K50" s="28">
        <f t="shared" si="11"/>
        <v>0</v>
      </c>
      <c r="L50" s="32">
        <f t="shared" si="11"/>
        <v>19.989759999999997</v>
      </c>
    </row>
    <row r="51" spans="2:12">
      <c r="B51" s="679"/>
      <c r="C51" s="21" t="s">
        <v>93</v>
      </c>
      <c r="D51" s="23">
        <f t="shared" si="10"/>
        <v>0</v>
      </c>
      <c r="E51" s="23">
        <f t="shared" si="10"/>
        <v>8</v>
      </c>
      <c r="F51" s="23">
        <f t="shared" si="10"/>
        <v>124.16</v>
      </c>
      <c r="G51" s="575"/>
      <c r="H51" s="575"/>
      <c r="I51" s="575"/>
      <c r="J51" s="28">
        <f t="shared" si="11"/>
        <v>5.053312</v>
      </c>
      <c r="K51" s="28">
        <f t="shared" si="11"/>
        <v>0</v>
      </c>
      <c r="L51" s="32">
        <f t="shared" si="11"/>
        <v>28.556799999999999</v>
      </c>
    </row>
    <row r="52" spans="2:12">
      <c r="B52" s="679" t="s">
        <v>23</v>
      </c>
      <c r="C52" s="21" t="s">
        <v>91</v>
      </c>
      <c r="D52" s="575"/>
      <c r="E52" s="575"/>
      <c r="F52" s="23">
        <f>F13</f>
        <v>126.940395454002</v>
      </c>
      <c r="G52" s="575"/>
      <c r="H52" s="575"/>
      <c r="I52" s="575"/>
      <c r="J52" s="28">
        <f t="shared" ref="J52:L54" si="12">J13</f>
        <v>76.875103486943601</v>
      </c>
      <c r="K52" s="28">
        <f t="shared" si="12"/>
        <v>0</v>
      </c>
      <c r="L52" s="32">
        <f t="shared" si="12"/>
        <v>418.77636460275301</v>
      </c>
    </row>
    <row r="53" spans="2:12">
      <c r="B53" s="679"/>
      <c r="C53" s="21" t="s">
        <v>92</v>
      </c>
      <c r="D53" s="575"/>
      <c r="E53" s="575"/>
      <c r="F53" s="23">
        <f>F14</f>
        <v>6.8998956094565553</v>
      </c>
      <c r="G53" s="575"/>
      <c r="H53" s="575"/>
      <c r="I53" s="575"/>
      <c r="J53" s="28">
        <f t="shared" si="12"/>
        <v>4.5035618642922932</v>
      </c>
      <c r="K53" s="28">
        <f t="shared" si="12"/>
        <v>0</v>
      </c>
      <c r="L53" s="32">
        <f t="shared" si="12"/>
        <v>23.128450082898372</v>
      </c>
    </row>
    <row r="54" spans="2:12">
      <c r="B54" s="679"/>
      <c r="C54" s="21" t="s">
        <v>93</v>
      </c>
      <c r="D54" s="575"/>
      <c r="E54" s="575"/>
      <c r="F54" s="23">
        <f>F15</f>
        <v>7.4929006823351028</v>
      </c>
      <c r="G54" s="575"/>
      <c r="H54" s="575"/>
      <c r="I54" s="575"/>
      <c r="J54" s="28">
        <f t="shared" si="12"/>
        <v>4.9483116106141019</v>
      </c>
      <c r="K54" s="28">
        <f t="shared" si="12"/>
        <v>0</v>
      </c>
      <c r="L54" s="32">
        <f t="shared" si="12"/>
        <v>25.326004306292649</v>
      </c>
    </row>
    <row r="55" spans="2:12">
      <c r="B55" s="679" t="s">
        <v>25</v>
      </c>
      <c r="C55" s="21" t="s">
        <v>91</v>
      </c>
      <c r="D55" s="575"/>
      <c r="E55" s="575"/>
      <c r="F55" s="23">
        <f>F17</f>
        <v>0</v>
      </c>
      <c r="G55" s="575"/>
      <c r="H55" s="575"/>
      <c r="I55" s="575"/>
      <c r="J55" s="28">
        <f t="shared" ref="J55:L57" si="13">J17</f>
        <v>0</v>
      </c>
      <c r="K55" s="28">
        <f t="shared" si="13"/>
        <v>0</v>
      </c>
      <c r="L55" s="32">
        <f t="shared" si="13"/>
        <v>0</v>
      </c>
    </row>
    <row r="56" spans="2:12">
      <c r="B56" s="679"/>
      <c r="C56" s="21" t="s">
        <v>92</v>
      </c>
      <c r="D56" s="575"/>
      <c r="E56" s="575"/>
      <c r="F56" s="23">
        <f>F18</f>
        <v>0</v>
      </c>
      <c r="G56" s="575"/>
      <c r="H56" s="575"/>
      <c r="I56" s="575"/>
      <c r="J56" s="28">
        <f t="shared" si="13"/>
        <v>0</v>
      </c>
      <c r="K56" s="28">
        <f t="shared" si="13"/>
        <v>0</v>
      </c>
      <c r="L56" s="32">
        <f t="shared" si="13"/>
        <v>0</v>
      </c>
    </row>
    <row r="57" spans="2:12">
      <c r="B57" s="679"/>
      <c r="C57" s="21" t="s">
        <v>93</v>
      </c>
      <c r="D57" s="575"/>
      <c r="E57" s="575"/>
      <c r="F57" s="23">
        <f>F19</f>
        <v>0</v>
      </c>
      <c r="G57" s="575"/>
      <c r="H57" s="575"/>
      <c r="I57" s="575"/>
      <c r="J57" s="28">
        <f t="shared" si="13"/>
        <v>0</v>
      </c>
      <c r="K57" s="28">
        <f t="shared" si="13"/>
        <v>0</v>
      </c>
      <c r="L57" s="32">
        <f t="shared" si="13"/>
        <v>0</v>
      </c>
    </row>
    <row r="58" spans="2:12">
      <c r="B58" s="679" t="s">
        <v>26</v>
      </c>
      <c r="C58" s="21" t="s">
        <v>91</v>
      </c>
      <c r="D58" s="575"/>
      <c r="E58" s="575"/>
      <c r="F58" s="23">
        <f>F21</f>
        <v>625.45631854599799</v>
      </c>
      <c r="G58" s="575"/>
      <c r="H58" s="575"/>
      <c r="I58" s="575"/>
      <c r="J58" s="28">
        <f t="shared" ref="J58:L60" si="14">J21</f>
        <v>2.1265514830563998</v>
      </c>
      <c r="K58" s="28">
        <f t="shared" si="14"/>
        <v>0</v>
      </c>
      <c r="L58" s="32">
        <f t="shared" si="14"/>
        <v>10.0897623772474</v>
      </c>
    </row>
    <row r="59" spans="2:12">
      <c r="B59" s="679"/>
      <c r="C59" s="21" t="s">
        <v>92</v>
      </c>
      <c r="D59" s="575"/>
      <c r="E59" s="575"/>
      <c r="F59" s="23">
        <f>F22</f>
        <v>117.26010439054345</v>
      </c>
      <c r="G59" s="575"/>
      <c r="H59" s="575"/>
      <c r="I59" s="575"/>
      <c r="J59" s="28">
        <f t="shared" si="14"/>
        <v>0.15243813570770648</v>
      </c>
      <c r="K59" s="28">
        <f t="shared" si="14"/>
        <v>0</v>
      </c>
      <c r="L59" s="32">
        <f t="shared" si="14"/>
        <v>-3.1386900828983748</v>
      </c>
    </row>
    <row r="60" spans="2:12">
      <c r="B60" s="679"/>
      <c r="C60" s="21" t="s">
        <v>93</v>
      </c>
      <c r="D60" s="575"/>
      <c r="E60" s="575"/>
      <c r="F60" s="23">
        <f>F23</f>
        <v>116.66709931766489</v>
      </c>
      <c r="G60" s="575"/>
      <c r="H60" s="575"/>
      <c r="I60" s="575"/>
      <c r="J60" s="28">
        <f t="shared" si="14"/>
        <v>0.10500038938589817</v>
      </c>
      <c r="K60" s="28">
        <f t="shared" si="14"/>
        <v>0</v>
      </c>
      <c r="L60" s="32">
        <f t="shared" si="14"/>
        <v>3.2307956937073499</v>
      </c>
    </row>
  </sheetData>
  <sheetProtection sheet="1" objects="1"/>
  <mergeCells count="48">
    <mergeCell ref="M5:M6"/>
    <mergeCell ref="N5:N6"/>
    <mergeCell ref="B2:L3"/>
    <mergeCell ref="D30:D31"/>
    <mergeCell ref="D47:D48"/>
    <mergeCell ref="E5:E6"/>
    <mergeCell ref="E30:E31"/>
    <mergeCell ref="E47:E48"/>
    <mergeCell ref="G30:I30"/>
    <mergeCell ref="J30:L30"/>
    <mergeCell ref="G47:I47"/>
    <mergeCell ref="J47:L47"/>
    <mergeCell ref="B35:B37"/>
    <mergeCell ref="B38:B40"/>
    <mergeCell ref="B41:B43"/>
    <mergeCell ref="B47:B48"/>
    <mergeCell ref="B52:B54"/>
    <mergeCell ref="B55:B57"/>
    <mergeCell ref="B58:B60"/>
    <mergeCell ref="C5:C6"/>
    <mergeCell ref="C11:C12"/>
    <mergeCell ref="C30:C31"/>
    <mergeCell ref="C47:C48"/>
    <mergeCell ref="B5:B6"/>
    <mergeCell ref="B7:B10"/>
    <mergeCell ref="B11:B12"/>
    <mergeCell ref="B13:B16"/>
    <mergeCell ref="B17:B20"/>
    <mergeCell ref="B21:B24"/>
    <mergeCell ref="B30:B31"/>
    <mergeCell ref="B32:B34"/>
    <mergeCell ref="J11:L11"/>
    <mergeCell ref="C25:E25"/>
    <mergeCell ref="J25:K25"/>
    <mergeCell ref="F11:F12"/>
    <mergeCell ref="B49:B51"/>
    <mergeCell ref="F30:F31"/>
    <mergeCell ref="F47:F48"/>
    <mergeCell ref="C4:D4"/>
    <mergeCell ref="E4:F4"/>
    <mergeCell ref="G4:I4"/>
    <mergeCell ref="D11:E11"/>
    <mergeCell ref="G11:I11"/>
    <mergeCell ref="J4:K4"/>
    <mergeCell ref="G5:I5"/>
    <mergeCell ref="J5:L5"/>
    <mergeCell ref="D5:D6"/>
    <mergeCell ref="F5:F6"/>
  </mergeCells>
  <phoneticPr fontId="54" type="noConversion"/>
  <printOptions horizontalCentered="1" verticalCentered="1"/>
  <pageMargins left="0" right="0" top="0" bottom="0" header="0" footer="0"/>
  <pageSetup paperSize="9" orientation="landscape" horizontalDpi="180" verticalDpi="18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indexed="33"/>
  </sheetPr>
  <dimension ref="B1:T48"/>
  <sheetViews>
    <sheetView topLeftCell="A19" workbookViewId="0">
      <selection activeCell="J19" sqref="J1:P1048576"/>
    </sheetView>
  </sheetViews>
  <sheetFormatPr defaultColWidth="9" defaultRowHeight="15.6"/>
  <cols>
    <col min="1" max="2" width="3.6640625" style="18" customWidth="1"/>
    <col min="3" max="3" width="5" style="18" customWidth="1"/>
    <col min="4" max="4" width="10.6640625" style="18" customWidth="1"/>
    <col min="5" max="5" width="8.44140625" style="18" customWidth="1"/>
    <col min="6" max="6" width="10.6640625" style="18" customWidth="1"/>
    <col min="7" max="7" width="7.6640625" style="18" customWidth="1"/>
    <col min="8" max="8" width="10.77734375" style="18" customWidth="1"/>
    <col min="9" max="10" width="9.88671875" style="18" customWidth="1"/>
    <col min="11" max="11" width="11.6640625" style="18" customWidth="1"/>
    <col min="12" max="12" width="9.109375" style="18" customWidth="1"/>
    <col min="13" max="13" width="9.77734375" style="18" customWidth="1"/>
    <col min="14" max="14" width="10.21875" style="18" customWidth="1"/>
    <col min="15" max="15" width="11.109375" style="18" customWidth="1"/>
    <col min="16" max="255" width="9" style="18"/>
    <col min="256" max="257" width="3.6640625" style="18" customWidth="1"/>
    <col min="258" max="258" width="5" style="18" customWidth="1"/>
    <col min="259" max="259" width="10" style="18" customWidth="1"/>
    <col min="260" max="260" width="8.44140625" style="18" customWidth="1"/>
    <col min="261" max="261" width="10" style="18" customWidth="1"/>
    <col min="262" max="262" width="7.6640625" style="18" customWidth="1"/>
    <col min="263" max="263" width="10.77734375" style="18" customWidth="1"/>
    <col min="264" max="264" width="8.109375" style="18" customWidth="1"/>
    <col min="265" max="266" width="9" style="18"/>
    <col min="267" max="267" width="9.77734375" style="18" customWidth="1"/>
    <col min="268" max="268" width="9.109375" style="18" customWidth="1"/>
    <col min="269" max="269" width="9" style="18"/>
    <col min="270" max="270" width="9.21875" style="18" customWidth="1"/>
    <col min="271" max="271" width="11.109375" style="18" customWidth="1"/>
    <col min="272" max="511" width="9" style="18"/>
    <col min="512" max="513" width="3.6640625" style="18" customWidth="1"/>
    <col min="514" max="514" width="5" style="18" customWidth="1"/>
    <col min="515" max="515" width="10" style="18" customWidth="1"/>
    <col min="516" max="516" width="8.44140625" style="18" customWidth="1"/>
    <col min="517" max="517" width="10" style="18" customWidth="1"/>
    <col min="518" max="518" width="7.6640625" style="18" customWidth="1"/>
    <col min="519" max="519" width="10.77734375" style="18" customWidth="1"/>
    <col min="520" max="520" width="8.109375" style="18" customWidth="1"/>
    <col min="521" max="522" width="9" style="18"/>
    <col min="523" max="523" width="9.77734375" style="18" customWidth="1"/>
    <col min="524" max="524" width="9.109375" style="18" customWidth="1"/>
    <col min="525" max="525" width="9" style="18"/>
    <col min="526" max="526" width="9.21875" style="18" customWidth="1"/>
    <col min="527" max="527" width="11.109375" style="18" customWidth="1"/>
    <col min="528" max="767" width="9" style="18"/>
    <col min="768" max="769" width="3.6640625" style="18" customWidth="1"/>
    <col min="770" max="770" width="5" style="18" customWidth="1"/>
    <col min="771" max="771" width="10" style="18" customWidth="1"/>
    <col min="772" max="772" width="8.44140625" style="18" customWidth="1"/>
    <col min="773" max="773" width="10" style="18" customWidth="1"/>
    <col min="774" max="774" width="7.6640625" style="18" customWidth="1"/>
    <col min="775" max="775" width="10.77734375" style="18" customWidth="1"/>
    <col min="776" max="776" width="8.109375" style="18" customWidth="1"/>
    <col min="777" max="778" width="9" style="18"/>
    <col min="779" max="779" width="9.77734375" style="18" customWidth="1"/>
    <col min="780" max="780" width="9.109375" style="18" customWidth="1"/>
    <col min="781" max="781" width="9" style="18"/>
    <col min="782" max="782" width="9.21875" style="18" customWidth="1"/>
    <col min="783" max="783" width="11.109375" style="18" customWidth="1"/>
    <col min="784" max="1023" width="9" style="18"/>
    <col min="1024" max="1025" width="3.6640625" style="18" customWidth="1"/>
    <col min="1026" max="1026" width="5" style="18" customWidth="1"/>
    <col min="1027" max="1027" width="10" style="18" customWidth="1"/>
    <col min="1028" max="1028" width="8.44140625" style="18" customWidth="1"/>
    <col min="1029" max="1029" width="10" style="18" customWidth="1"/>
    <col min="1030" max="1030" width="7.6640625" style="18" customWidth="1"/>
    <col min="1031" max="1031" width="10.77734375" style="18" customWidth="1"/>
    <col min="1032" max="1032" width="8.109375" style="18" customWidth="1"/>
    <col min="1033" max="1034" width="9" style="18"/>
    <col min="1035" max="1035" width="9.77734375" style="18" customWidth="1"/>
    <col min="1036" max="1036" width="9.109375" style="18" customWidth="1"/>
    <col min="1037" max="1037" width="9" style="18"/>
    <col min="1038" max="1038" width="9.21875" style="18" customWidth="1"/>
    <col min="1039" max="1039" width="11.109375" style="18" customWidth="1"/>
    <col min="1040" max="1279" width="9" style="18"/>
    <col min="1280" max="1281" width="3.6640625" style="18" customWidth="1"/>
    <col min="1282" max="1282" width="5" style="18" customWidth="1"/>
    <col min="1283" max="1283" width="10" style="18" customWidth="1"/>
    <col min="1284" max="1284" width="8.44140625" style="18" customWidth="1"/>
    <col min="1285" max="1285" width="10" style="18" customWidth="1"/>
    <col min="1286" max="1286" width="7.6640625" style="18" customWidth="1"/>
    <col min="1287" max="1287" width="10.77734375" style="18" customWidth="1"/>
    <col min="1288" max="1288" width="8.109375" style="18" customWidth="1"/>
    <col min="1289" max="1290" width="9" style="18"/>
    <col min="1291" max="1291" width="9.77734375" style="18" customWidth="1"/>
    <col min="1292" max="1292" width="9.109375" style="18" customWidth="1"/>
    <col min="1293" max="1293" width="9" style="18"/>
    <col min="1294" max="1294" width="9.21875" style="18" customWidth="1"/>
    <col min="1295" max="1295" width="11.109375" style="18" customWidth="1"/>
    <col min="1296" max="1535" width="9" style="18"/>
    <col min="1536" max="1537" width="3.6640625" style="18" customWidth="1"/>
    <col min="1538" max="1538" width="5" style="18" customWidth="1"/>
    <col min="1539" max="1539" width="10" style="18" customWidth="1"/>
    <col min="1540" max="1540" width="8.44140625" style="18" customWidth="1"/>
    <col min="1541" max="1541" width="10" style="18" customWidth="1"/>
    <col min="1542" max="1542" width="7.6640625" style="18" customWidth="1"/>
    <col min="1543" max="1543" width="10.77734375" style="18" customWidth="1"/>
    <col min="1544" max="1544" width="8.109375" style="18" customWidth="1"/>
    <col min="1545" max="1546" width="9" style="18"/>
    <col min="1547" max="1547" width="9.77734375" style="18" customWidth="1"/>
    <col min="1548" max="1548" width="9.109375" style="18" customWidth="1"/>
    <col min="1549" max="1549" width="9" style="18"/>
    <col min="1550" max="1550" width="9.21875" style="18" customWidth="1"/>
    <col min="1551" max="1551" width="11.109375" style="18" customWidth="1"/>
    <col min="1552" max="1791" width="9" style="18"/>
    <col min="1792" max="1793" width="3.6640625" style="18" customWidth="1"/>
    <col min="1794" max="1794" width="5" style="18" customWidth="1"/>
    <col min="1795" max="1795" width="10" style="18" customWidth="1"/>
    <col min="1796" max="1796" width="8.44140625" style="18" customWidth="1"/>
    <col min="1797" max="1797" width="10" style="18" customWidth="1"/>
    <col min="1798" max="1798" width="7.6640625" style="18" customWidth="1"/>
    <col min="1799" max="1799" width="10.77734375" style="18" customWidth="1"/>
    <col min="1800" max="1800" width="8.109375" style="18" customWidth="1"/>
    <col min="1801" max="1802" width="9" style="18"/>
    <col min="1803" max="1803" width="9.77734375" style="18" customWidth="1"/>
    <col min="1804" max="1804" width="9.109375" style="18" customWidth="1"/>
    <col min="1805" max="1805" width="9" style="18"/>
    <col min="1806" max="1806" width="9.21875" style="18" customWidth="1"/>
    <col min="1807" max="1807" width="11.109375" style="18" customWidth="1"/>
    <col min="1808" max="2047" width="9" style="18"/>
    <col min="2048" max="2049" width="3.6640625" style="18" customWidth="1"/>
    <col min="2050" max="2050" width="5" style="18" customWidth="1"/>
    <col min="2051" max="2051" width="10" style="18" customWidth="1"/>
    <col min="2052" max="2052" width="8.44140625" style="18" customWidth="1"/>
    <col min="2053" max="2053" width="10" style="18" customWidth="1"/>
    <col min="2054" max="2054" width="7.6640625" style="18" customWidth="1"/>
    <col min="2055" max="2055" width="10.77734375" style="18" customWidth="1"/>
    <col min="2056" max="2056" width="8.109375" style="18" customWidth="1"/>
    <col min="2057" max="2058" width="9" style="18"/>
    <col min="2059" max="2059" width="9.77734375" style="18" customWidth="1"/>
    <col min="2060" max="2060" width="9.109375" style="18" customWidth="1"/>
    <col min="2061" max="2061" width="9" style="18"/>
    <col min="2062" max="2062" width="9.21875" style="18" customWidth="1"/>
    <col min="2063" max="2063" width="11.109375" style="18" customWidth="1"/>
    <col min="2064" max="2303" width="9" style="18"/>
    <col min="2304" max="2305" width="3.6640625" style="18" customWidth="1"/>
    <col min="2306" max="2306" width="5" style="18" customWidth="1"/>
    <col min="2307" max="2307" width="10" style="18" customWidth="1"/>
    <col min="2308" max="2308" width="8.44140625" style="18" customWidth="1"/>
    <col min="2309" max="2309" width="10" style="18" customWidth="1"/>
    <col min="2310" max="2310" width="7.6640625" style="18" customWidth="1"/>
    <col min="2311" max="2311" width="10.77734375" style="18" customWidth="1"/>
    <col min="2312" max="2312" width="8.109375" style="18" customWidth="1"/>
    <col min="2313" max="2314" width="9" style="18"/>
    <col min="2315" max="2315" width="9.77734375" style="18" customWidth="1"/>
    <col min="2316" max="2316" width="9.109375" style="18" customWidth="1"/>
    <col min="2317" max="2317" width="9" style="18"/>
    <col min="2318" max="2318" width="9.21875" style="18" customWidth="1"/>
    <col min="2319" max="2319" width="11.109375" style="18" customWidth="1"/>
    <col min="2320" max="2559" width="9" style="18"/>
    <col min="2560" max="2561" width="3.6640625" style="18" customWidth="1"/>
    <col min="2562" max="2562" width="5" style="18" customWidth="1"/>
    <col min="2563" max="2563" width="10" style="18" customWidth="1"/>
    <col min="2564" max="2564" width="8.44140625" style="18" customWidth="1"/>
    <col min="2565" max="2565" width="10" style="18" customWidth="1"/>
    <col min="2566" max="2566" width="7.6640625" style="18" customWidth="1"/>
    <col min="2567" max="2567" width="10.77734375" style="18" customWidth="1"/>
    <col min="2568" max="2568" width="8.109375" style="18" customWidth="1"/>
    <col min="2569" max="2570" width="9" style="18"/>
    <col min="2571" max="2571" width="9.77734375" style="18" customWidth="1"/>
    <col min="2572" max="2572" width="9.109375" style="18" customWidth="1"/>
    <col min="2573" max="2573" width="9" style="18"/>
    <col min="2574" max="2574" width="9.21875" style="18" customWidth="1"/>
    <col min="2575" max="2575" width="11.109375" style="18" customWidth="1"/>
    <col min="2576" max="2815" width="9" style="18"/>
    <col min="2816" max="2817" width="3.6640625" style="18" customWidth="1"/>
    <col min="2818" max="2818" width="5" style="18" customWidth="1"/>
    <col min="2819" max="2819" width="10" style="18" customWidth="1"/>
    <col min="2820" max="2820" width="8.44140625" style="18" customWidth="1"/>
    <col min="2821" max="2821" width="10" style="18" customWidth="1"/>
    <col min="2822" max="2822" width="7.6640625" style="18" customWidth="1"/>
    <col min="2823" max="2823" width="10.77734375" style="18" customWidth="1"/>
    <col min="2824" max="2824" width="8.109375" style="18" customWidth="1"/>
    <col min="2825" max="2826" width="9" style="18"/>
    <col min="2827" max="2827" width="9.77734375" style="18" customWidth="1"/>
    <col min="2828" max="2828" width="9.109375" style="18" customWidth="1"/>
    <col min="2829" max="2829" width="9" style="18"/>
    <col min="2830" max="2830" width="9.21875" style="18" customWidth="1"/>
    <col min="2831" max="2831" width="11.109375" style="18" customWidth="1"/>
    <col min="2832" max="3071" width="9" style="18"/>
    <col min="3072" max="3073" width="3.6640625" style="18" customWidth="1"/>
    <col min="3074" max="3074" width="5" style="18" customWidth="1"/>
    <col min="3075" max="3075" width="10" style="18" customWidth="1"/>
    <col min="3076" max="3076" width="8.44140625" style="18" customWidth="1"/>
    <col min="3077" max="3077" width="10" style="18" customWidth="1"/>
    <col min="3078" max="3078" width="7.6640625" style="18" customWidth="1"/>
    <col min="3079" max="3079" width="10.77734375" style="18" customWidth="1"/>
    <col min="3080" max="3080" width="8.109375" style="18" customWidth="1"/>
    <col min="3081" max="3082" width="9" style="18"/>
    <col min="3083" max="3083" width="9.77734375" style="18" customWidth="1"/>
    <col min="3084" max="3084" width="9.109375" style="18" customWidth="1"/>
    <col min="3085" max="3085" width="9" style="18"/>
    <col min="3086" max="3086" width="9.21875" style="18" customWidth="1"/>
    <col min="3087" max="3087" width="11.109375" style="18" customWidth="1"/>
    <col min="3088" max="3327" width="9" style="18"/>
    <col min="3328" max="3329" width="3.6640625" style="18" customWidth="1"/>
    <col min="3330" max="3330" width="5" style="18" customWidth="1"/>
    <col min="3331" max="3331" width="10" style="18" customWidth="1"/>
    <col min="3332" max="3332" width="8.44140625" style="18" customWidth="1"/>
    <col min="3333" max="3333" width="10" style="18" customWidth="1"/>
    <col min="3334" max="3334" width="7.6640625" style="18" customWidth="1"/>
    <col min="3335" max="3335" width="10.77734375" style="18" customWidth="1"/>
    <col min="3336" max="3336" width="8.109375" style="18" customWidth="1"/>
    <col min="3337" max="3338" width="9" style="18"/>
    <col min="3339" max="3339" width="9.77734375" style="18" customWidth="1"/>
    <col min="3340" max="3340" width="9.109375" style="18" customWidth="1"/>
    <col min="3341" max="3341" width="9" style="18"/>
    <col min="3342" max="3342" width="9.21875" style="18" customWidth="1"/>
    <col min="3343" max="3343" width="11.109375" style="18" customWidth="1"/>
    <col min="3344" max="3583" width="9" style="18"/>
    <col min="3584" max="3585" width="3.6640625" style="18" customWidth="1"/>
    <col min="3586" max="3586" width="5" style="18" customWidth="1"/>
    <col min="3587" max="3587" width="10" style="18" customWidth="1"/>
    <col min="3588" max="3588" width="8.44140625" style="18" customWidth="1"/>
    <col min="3589" max="3589" width="10" style="18" customWidth="1"/>
    <col min="3590" max="3590" width="7.6640625" style="18" customWidth="1"/>
    <col min="3591" max="3591" width="10.77734375" style="18" customWidth="1"/>
    <col min="3592" max="3592" width="8.109375" style="18" customWidth="1"/>
    <col min="3593" max="3594" width="9" style="18"/>
    <col min="3595" max="3595" width="9.77734375" style="18" customWidth="1"/>
    <col min="3596" max="3596" width="9.109375" style="18" customWidth="1"/>
    <col min="3597" max="3597" width="9" style="18"/>
    <col min="3598" max="3598" width="9.21875" style="18" customWidth="1"/>
    <col min="3599" max="3599" width="11.109375" style="18" customWidth="1"/>
    <col min="3600" max="3839" width="9" style="18"/>
    <col min="3840" max="3841" width="3.6640625" style="18" customWidth="1"/>
    <col min="3842" max="3842" width="5" style="18" customWidth="1"/>
    <col min="3843" max="3843" width="10" style="18" customWidth="1"/>
    <col min="3844" max="3844" width="8.44140625" style="18" customWidth="1"/>
    <col min="3845" max="3845" width="10" style="18" customWidth="1"/>
    <col min="3846" max="3846" width="7.6640625" style="18" customWidth="1"/>
    <col min="3847" max="3847" width="10.77734375" style="18" customWidth="1"/>
    <col min="3848" max="3848" width="8.109375" style="18" customWidth="1"/>
    <col min="3849" max="3850" width="9" style="18"/>
    <col min="3851" max="3851" width="9.77734375" style="18" customWidth="1"/>
    <col min="3852" max="3852" width="9.109375" style="18" customWidth="1"/>
    <col min="3853" max="3853" width="9" style="18"/>
    <col min="3854" max="3854" width="9.21875" style="18" customWidth="1"/>
    <col min="3855" max="3855" width="11.109375" style="18" customWidth="1"/>
    <col min="3856" max="4095" width="9" style="18"/>
    <col min="4096" max="4097" width="3.6640625" style="18" customWidth="1"/>
    <col min="4098" max="4098" width="5" style="18" customWidth="1"/>
    <col min="4099" max="4099" width="10" style="18" customWidth="1"/>
    <col min="4100" max="4100" width="8.44140625" style="18" customWidth="1"/>
    <col min="4101" max="4101" width="10" style="18" customWidth="1"/>
    <col min="4102" max="4102" width="7.6640625" style="18" customWidth="1"/>
    <col min="4103" max="4103" width="10.77734375" style="18" customWidth="1"/>
    <col min="4104" max="4104" width="8.109375" style="18" customWidth="1"/>
    <col min="4105" max="4106" width="9" style="18"/>
    <col min="4107" max="4107" width="9.77734375" style="18" customWidth="1"/>
    <col min="4108" max="4108" width="9.109375" style="18" customWidth="1"/>
    <col min="4109" max="4109" width="9" style="18"/>
    <col min="4110" max="4110" width="9.21875" style="18" customWidth="1"/>
    <col min="4111" max="4111" width="11.109375" style="18" customWidth="1"/>
    <col min="4112" max="4351" width="9" style="18"/>
    <col min="4352" max="4353" width="3.6640625" style="18" customWidth="1"/>
    <col min="4354" max="4354" width="5" style="18" customWidth="1"/>
    <col min="4355" max="4355" width="10" style="18" customWidth="1"/>
    <col min="4356" max="4356" width="8.44140625" style="18" customWidth="1"/>
    <col min="4357" max="4357" width="10" style="18" customWidth="1"/>
    <col min="4358" max="4358" width="7.6640625" style="18" customWidth="1"/>
    <col min="4359" max="4359" width="10.77734375" style="18" customWidth="1"/>
    <col min="4360" max="4360" width="8.109375" style="18" customWidth="1"/>
    <col min="4361" max="4362" width="9" style="18"/>
    <col min="4363" max="4363" width="9.77734375" style="18" customWidth="1"/>
    <col min="4364" max="4364" width="9.109375" style="18" customWidth="1"/>
    <col min="4365" max="4365" width="9" style="18"/>
    <col min="4366" max="4366" width="9.21875" style="18" customWidth="1"/>
    <col min="4367" max="4367" width="11.109375" style="18" customWidth="1"/>
    <col min="4368" max="4607" width="9" style="18"/>
    <col min="4608" max="4609" width="3.6640625" style="18" customWidth="1"/>
    <col min="4610" max="4610" width="5" style="18" customWidth="1"/>
    <col min="4611" max="4611" width="10" style="18" customWidth="1"/>
    <col min="4612" max="4612" width="8.44140625" style="18" customWidth="1"/>
    <col min="4613" max="4613" width="10" style="18" customWidth="1"/>
    <col min="4614" max="4614" width="7.6640625" style="18" customWidth="1"/>
    <col min="4615" max="4615" width="10.77734375" style="18" customWidth="1"/>
    <col min="4616" max="4616" width="8.109375" style="18" customWidth="1"/>
    <col min="4617" max="4618" width="9" style="18"/>
    <col min="4619" max="4619" width="9.77734375" style="18" customWidth="1"/>
    <col min="4620" max="4620" width="9.109375" style="18" customWidth="1"/>
    <col min="4621" max="4621" width="9" style="18"/>
    <col min="4622" max="4622" width="9.21875" style="18" customWidth="1"/>
    <col min="4623" max="4623" width="11.109375" style="18" customWidth="1"/>
    <col min="4624" max="4863" width="9" style="18"/>
    <col min="4864" max="4865" width="3.6640625" style="18" customWidth="1"/>
    <col min="4866" max="4866" width="5" style="18" customWidth="1"/>
    <col min="4867" max="4867" width="10" style="18" customWidth="1"/>
    <col min="4868" max="4868" width="8.44140625" style="18" customWidth="1"/>
    <col min="4869" max="4869" width="10" style="18" customWidth="1"/>
    <col min="4870" max="4870" width="7.6640625" style="18" customWidth="1"/>
    <col min="4871" max="4871" width="10.77734375" style="18" customWidth="1"/>
    <col min="4872" max="4872" width="8.109375" style="18" customWidth="1"/>
    <col min="4873" max="4874" width="9" style="18"/>
    <col min="4875" max="4875" width="9.77734375" style="18" customWidth="1"/>
    <col min="4876" max="4876" width="9.109375" style="18" customWidth="1"/>
    <col min="4877" max="4877" width="9" style="18"/>
    <col min="4878" max="4878" width="9.21875" style="18" customWidth="1"/>
    <col min="4879" max="4879" width="11.109375" style="18" customWidth="1"/>
    <col min="4880" max="5119" width="9" style="18"/>
    <col min="5120" max="5121" width="3.6640625" style="18" customWidth="1"/>
    <col min="5122" max="5122" width="5" style="18" customWidth="1"/>
    <col min="5123" max="5123" width="10" style="18" customWidth="1"/>
    <col min="5124" max="5124" width="8.44140625" style="18" customWidth="1"/>
    <col min="5125" max="5125" width="10" style="18" customWidth="1"/>
    <col min="5126" max="5126" width="7.6640625" style="18" customWidth="1"/>
    <col min="5127" max="5127" width="10.77734375" style="18" customWidth="1"/>
    <col min="5128" max="5128" width="8.109375" style="18" customWidth="1"/>
    <col min="5129" max="5130" width="9" style="18"/>
    <col min="5131" max="5131" width="9.77734375" style="18" customWidth="1"/>
    <col min="5132" max="5132" width="9.109375" style="18" customWidth="1"/>
    <col min="5133" max="5133" width="9" style="18"/>
    <col min="5134" max="5134" width="9.21875" style="18" customWidth="1"/>
    <col min="5135" max="5135" width="11.109375" style="18" customWidth="1"/>
    <col min="5136" max="5375" width="9" style="18"/>
    <col min="5376" max="5377" width="3.6640625" style="18" customWidth="1"/>
    <col min="5378" max="5378" width="5" style="18" customWidth="1"/>
    <col min="5379" max="5379" width="10" style="18" customWidth="1"/>
    <col min="5380" max="5380" width="8.44140625" style="18" customWidth="1"/>
    <col min="5381" max="5381" width="10" style="18" customWidth="1"/>
    <col min="5382" max="5382" width="7.6640625" style="18" customWidth="1"/>
    <col min="5383" max="5383" width="10.77734375" style="18" customWidth="1"/>
    <col min="5384" max="5384" width="8.109375" style="18" customWidth="1"/>
    <col min="5385" max="5386" width="9" style="18"/>
    <col min="5387" max="5387" width="9.77734375" style="18" customWidth="1"/>
    <col min="5388" max="5388" width="9.109375" style="18" customWidth="1"/>
    <col min="5389" max="5389" width="9" style="18"/>
    <col min="5390" max="5390" width="9.21875" style="18" customWidth="1"/>
    <col min="5391" max="5391" width="11.109375" style="18" customWidth="1"/>
    <col min="5392" max="5631" width="9" style="18"/>
    <col min="5632" max="5633" width="3.6640625" style="18" customWidth="1"/>
    <col min="5634" max="5634" width="5" style="18" customWidth="1"/>
    <col min="5635" max="5635" width="10" style="18" customWidth="1"/>
    <col min="5636" max="5636" width="8.44140625" style="18" customWidth="1"/>
    <col min="5637" max="5637" width="10" style="18" customWidth="1"/>
    <col min="5638" max="5638" width="7.6640625" style="18" customWidth="1"/>
    <col min="5639" max="5639" width="10.77734375" style="18" customWidth="1"/>
    <col min="5640" max="5640" width="8.109375" style="18" customWidth="1"/>
    <col min="5641" max="5642" width="9" style="18"/>
    <col min="5643" max="5643" width="9.77734375" style="18" customWidth="1"/>
    <col min="5644" max="5644" width="9.109375" style="18" customWidth="1"/>
    <col min="5645" max="5645" width="9" style="18"/>
    <col min="5646" max="5646" width="9.21875" style="18" customWidth="1"/>
    <col min="5647" max="5647" width="11.109375" style="18" customWidth="1"/>
    <col min="5648" max="5887" width="9" style="18"/>
    <col min="5888" max="5889" width="3.6640625" style="18" customWidth="1"/>
    <col min="5890" max="5890" width="5" style="18" customWidth="1"/>
    <col min="5891" max="5891" width="10" style="18" customWidth="1"/>
    <col min="5892" max="5892" width="8.44140625" style="18" customWidth="1"/>
    <col min="5893" max="5893" width="10" style="18" customWidth="1"/>
    <col min="5894" max="5894" width="7.6640625" style="18" customWidth="1"/>
    <col min="5895" max="5895" width="10.77734375" style="18" customWidth="1"/>
    <col min="5896" max="5896" width="8.109375" style="18" customWidth="1"/>
    <col min="5897" max="5898" width="9" style="18"/>
    <col min="5899" max="5899" width="9.77734375" style="18" customWidth="1"/>
    <col min="5900" max="5900" width="9.109375" style="18" customWidth="1"/>
    <col min="5901" max="5901" width="9" style="18"/>
    <col min="5902" max="5902" width="9.21875" style="18" customWidth="1"/>
    <col min="5903" max="5903" width="11.109375" style="18" customWidth="1"/>
    <col min="5904" max="6143" width="9" style="18"/>
    <col min="6144" max="6145" width="3.6640625" style="18" customWidth="1"/>
    <col min="6146" max="6146" width="5" style="18" customWidth="1"/>
    <col min="6147" max="6147" width="10" style="18" customWidth="1"/>
    <col min="6148" max="6148" width="8.44140625" style="18" customWidth="1"/>
    <col min="6149" max="6149" width="10" style="18" customWidth="1"/>
    <col min="6150" max="6150" width="7.6640625" style="18" customWidth="1"/>
    <col min="6151" max="6151" width="10.77734375" style="18" customWidth="1"/>
    <col min="6152" max="6152" width="8.109375" style="18" customWidth="1"/>
    <col min="6153" max="6154" width="9" style="18"/>
    <col min="6155" max="6155" width="9.77734375" style="18" customWidth="1"/>
    <col min="6156" max="6156" width="9.109375" style="18" customWidth="1"/>
    <col min="6157" max="6157" width="9" style="18"/>
    <col min="6158" max="6158" width="9.21875" style="18" customWidth="1"/>
    <col min="6159" max="6159" width="11.109375" style="18" customWidth="1"/>
    <col min="6160" max="6399" width="9" style="18"/>
    <col min="6400" max="6401" width="3.6640625" style="18" customWidth="1"/>
    <col min="6402" max="6402" width="5" style="18" customWidth="1"/>
    <col min="6403" max="6403" width="10" style="18" customWidth="1"/>
    <col min="6404" max="6404" width="8.44140625" style="18" customWidth="1"/>
    <col min="6405" max="6405" width="10" style="18" customWidth="1"/>
    <col min="6406" max="6406" width="7.6640625" style="18" customWidth="1"/>
    <col min="6407" max="6407" width="10.77734375" style="18" customWidth="1"/>
    <col min="6408" max="6408" width="8.109375" style="18" customWidth="1"/>
    <col min="6409" max="6410" width="9" style="18"/>
    <col min="6411" max="6411" width="9.77734375" style="18" customWidth="1"/>
    <col min="6412" max="6412" width="9.109375" style="18" customWidth="1"/>
    <col min="6413" max="6413" width="9" style="18"/>
    <col min="6414" max="6414" width="9.21875" style="18" customWidth="1"/>
    <col min="6415" max="6415" width="11.109375" style="18" customWidth="1"/>
    <col min="6416" max="6655" width="9" style="18"/>
    <col min="6656" max="6657" width="3.6640625" style="18" customWidth="1"/>
    <col min="6658" max="6658" width="5" style="18" customWidth="1"/>
    <col min="6659" max="6659" width="10" style="18" customWidth="1"/>
    <col min="6660" max="6660" width="8.44140625" style="18" customWidth="1"/>
    <col min="6661" max="6661" width="10" style="18" customWidth="1"/>
    <col min="6662" max="6662" width="7.6640625" style="18" customWidth="1"/>
    <col min="6663" max="6663" width="10.77734375" style="18" customWidth="1"/>
    <col min="6664" max="6664" width="8.109375" style="18" customWidth="1"/>
    <col min="6665" max="6666" width="9" style="18"/>
    <col min="6667" max="6667" width="9.77734375" style="18" customWidth="1"/>
    <col min="6668" max="6668" width="9.109375" style="18" customWidth="1"/>
    <col min="6669" max="6669" width="9" style="18"/>
    <col min="6670" max="6670" width="9.21875" style="18" customWidth="1"/>
    <col min="6671" max="6671" width="11.109375" style="18" customWidth="1"/>
    <col min="6672" max="6911" width="9" style="18"/>
    <col min="6912" max="6913" width="3.6640625" style="18" customWidth="1"/>
    <col min="6914" max="6914" width="5" style="18" customWidth="1"/>
    <col min="6915" max="6915" width="10" style="18" customWidth="1"/>
    <col min="6916" max="6916" width="8.44140625" style="18" customWidth="1"/>
    <col min="6917" max="6917" width="10" style="18" customWidth="1"/>
    <col min="6918" max="6918" width="7.6640625" style="18" customWidth="1"/>
    <col min="6919" max="6919" width="10.77734375" style="18" customWidth="1"/>
    <col min="6920" max="6920" width="8.109375" style="18" customWidth="1"/>
    <col min="6921" max="6922" width="9" style="18"/>
    <col min="6923" max="6923" width="9.77734375" style="18" customWidth="1"/>
    <col min="6924" max="6924" width="9.109375" style="18" customWidth="1"/>
    <col min="6925" max="6925" width="9" style="18"/>
    <col min="6926" max="6926" width="9.21875" style="18" customWidth="1"/>
    <col min="6927" max="6927" width="11.109375" style="18" customWidth="1"/>
    <col min="6928" max="7167" width="9" style="18"/>
    <col min="7168" max="7169" width="3.6640625" style="18" customWidth="1"/>
    <col min="7170" max="7170" width="5" style="18" customWidth="1"/>
    <col min="7171" max="7171" width="10" style="18" customWidth="1"/>
    <col min="7172" max="7172" width="8.44140625" style="18" customWidth="1"/>
    <col min="7173" max="7173" width="10" style="18" customWidth="1"/>
    <col min="7174" max="7174" width="7.6640625" style="18" customWidth="1"/>
    <col min="7175" max="7175" width="10.77734375" style="18" customWidth="1"/>
    <col min="7176" max="7176" width="8.109375" style="18" customWidth="1"/>
    <col min="7177" max="7178" width="9" style="18"/>
    <col min="7179" max="7179" width="9.77734375" style="18" customWidth="1"/>
    <col min="7180" max="7180" width="9.109375" style="18" customWidth="1"/>
    <col min="7181" max="7181" width="9" style="18"/>
    <col min="7182" max="7182" width="9.21875" style="18" customWidth="1"/>
    <col min="7183" max="7183" width="11.109375" style="18" customWidth="1"/>
    <col min="7184" max="7423" width="9" style="18"/>
    <col min="7424" max="7425" width="3.6640625" style="18" customWidth="1"/>
    <col min="7426" max="7426" width="5" style="18" customWidth="1"/>
    <col min="7427" max="7427" width="10" style="18" customWidth="1"/>
    <col min="7428" max="7428" width="8.44140625" style="18" customWidth="1"/>
    <col min="7429" max="7429" width="10" style="18" customWidth="1"/>
    <col min="7430" max="7430" width="7.6640625" style="18" customWidth="1"/>
    <col min="7431" max="7431" width="10.77734375" style="18" customWidth="1"/>
    <col min="7432" max="7432" width="8.109375" style="18" customWidth="1"/>
    <col min="7433" max="7434" width="9" style="18"/>
    <col min="7435" max="7435" width="9.77734375" style="18" customWidth="1"/>
    <col min="7436" max="7436" width="9.109375" style="18" customWidth="1"/>
    <col min="7437" max="7437" width="9" style="18"/>
    <col min="7438" max="7438" width="9.21875" style="18" customWidth="1"/>
    <col min="7439" max="7439" width="11.109375" style="18" customWidth="1"/>
    <col min="7440" max="7679" width="9" style="18"/>
    <col min="7680" max="7681" width="3.6640625" style="18" customWidth="1"/>
    <col min="7682" max="7682" width="5" style="18" customWidth="1"/>
    <col min="7683" max="7683" width="10" style="18" customWidth="1"/>
    <col min="7684" max="7684" width="8.44140625" style="18" customWidth="1"/>
    <col min="7685" max="7685" width="10" style="18" customWidth="1"/>
    <col min="7686" max="7686" width="7.6640625" style="18" customWidth="1"/>
    <col min="7687" max="7687" width="10.77734375" style="18" customWidth="1"/>
    <col min="7688" max="7688" width="8.109375" style="18" customWidth="1"/>
    <col min="7689" max="7690" width="9" style="18"/>
    <col min="7691" max="7691" width="9.77734375" style="18" customWidth="1"/>
    <col min="7692" max="7692" width="9.109375" style="18" customWidth="1"/>
    <col min="7693" max="7693" width="9" style="18"/>
    <col min="7694" max="7694" width="9.21875" style="18" customWidth="1"/>
    <col min="7695" max="7695" width="11.109375" style="18" customWidth="1"/>
    <col min="7696" max="7935" width="9" style="18"/>
    <col min="7936" max="7937" width="3.6640625" style="18" customWidth="1"/>
    <col min="7938" max="7938" width="5" style="18" customWidth="1"/>
    <col min="7939" max="7939" width="10" style="18" customWidth="1"/>
    <col min="7940" max="7940" width="8.44140625" style="18" customWidth="1"/>
    <col min="7941" max="7941" width="10" style="18" customWidth="1"/>
    <col min="7942" max="7942" width="7.6640625" style="18" customWidth="1"/>
    <col min="7943" max="7943" width="10.77734375" style="18" customWidth="1"/>
    <col min="7944" max="7944" width="8.109375" style="18" customWidth="1"/>
    <col min="7945" max="7946" width="9" style="18"/>
    <col min="7947" max="7947" width="9.77734375" style="18" customWidth="1"/>
    <col min="7948" max="7948" width="9.109375" style="18" customWidth="1"/>
    <col min="7949" max="7949" width="9" style="18"/>
    <col min="7950" max="7950" width="9.21875" style="18" customWidth="1"/>
    <col min="7951" max="7951" width="11.109375" style="18" customWidth="1"/>
    <col min="7952" max="8191" width="9" style="18"/>
    <col min="8192" max="8193" width="3.6640625" style="18" customWidth="1"/>
    <col min="8194" max="8194" width="5" style="18" customWidth="1"/>
    <col min="8195" max="8195" width="10" style="18" customWidth="1"/>
    <col min="8196" max="8196" width="8.44140625" style="18" customWidth="1"/>
    <col min="8197" max="8197" width="10" style="18" customWidth="1"/>
    <col min="8198" max="8198" width="7.6640625" style="18" customWidth="1"/>
    <col min="8199" max="8199" width="10.77734375" style="18" customWidth="1"/>
    <col min="8200" max="8200" width="8.109375" style="18" customWidth="1"/>
    <col min="8201" max="8202" width="9" style="18"/>
    <col min="8203" max="8203" width="9.77734375" style="18" customWidth="1"/>
    <col min="8204" max="8204" width="9.109375" style="18" customWidth="1"/>
    <col min="8205" max="8205" width="9" style="18"/>
    <col min="8206" max="8206" width="9.21875" style="18" customWidth="1"/>
    <col min="8207" max="8207" width="11.109375" style="18" customWidth="1"/>
    <col min="8208" max="8447" width="9" style="18"/>
    <col min="8448" max="8449" width="3.6640625" style="18" customWidth="1"/>
    <col min="8450" max="8450" width="5" style="18" customWidth="1"/>
    <col min="8451" max="8451" width="10" style="18" customWidth="1"/>
    <col min="8452" max="8452" width="8.44140625" style="18" customWidth="1"/>
    <col min="8453" max="8453" width="10" style="18" customWidth="1"/>
    <col min="8454" max="8454" width="7.6640625" style="18" customWidth="1"/>
    <col min="8455" max="8455" width="10.77734375" style="18" customWidth="1"/>
    <col min="8456" max="8456" width="8.109375" style="18" customWidth="1"/>
    <col min="8457" max="8458" width="9" style="18"/>
    <col min="8459" max="8459" width="9.77734375" style="18" customWidth="1"/>
    <col min="8460" max="8460" width="9.109375" style="18" customWidth="1"/>
    <col min="8461" max="8461" width="9" style="18"/>
    <col min="8462" max="8462" width="9.21875" style="18" customWidth="1"/>
    <col min="8463" max="8463" width="11.109375" style="18" customWidth="1"/>
    <col min="8464" max="8703" width="9" style="18"/>
    <col min="8704" max="8705" width="3.6640625" style="18" customWidth="1"/>
    <col min="8706" max="8706" width="5" style="18" customWidth="1"/>
    <col min="8707" max="8707" width="10" style="18" customWidth="1"/>
    <col min="8708" max="8708" width="8.44140625" style="18" customWidth="1"/>
    <col min="8709" max="8709" width="10" style="18" customWidth="1"/>
    <col min="8710" max="8710" width="7.6640625" style="18" customWidth="1"/>
    <col min="8711" max="8711" width="10.77734375" style="18" customWidth="1"/>
    <col min="8712" max="8712" width="8.109375" style="18" customWidth="1"/>
    <col min="8713" max="8714" width="9" style="18"/>
    <col min="8715" max="8715" width="9.77734375" style="18" customWidth="1"/>
    <col min="8716" max="8716" width="9.109375" style="18" customWidth="1"/>
    <col min="8717" max="8717" width="9" style="18"/>
    <col min="8718" max="8718" width="9.21875" style="18" customWidth="1"/>
    <col min="8719" max="8719" width="11.109375" style="18" customWidth="1"/>
    <col min="8720" max="8959" width="9" style="18"/>
    <col min="8960" max="8961" width="3.6640625" style="18" customWidth="1"/>
    <col min="8962" max="8962" width="5" style="18" customWidth="1"/>
    <col min="8963" max="8963" width="10" style="18" customWidth="1"/>
    <col min="8964" max="8964" width="8.44140625" style="18" customWidth="1"/>
    <col min="8965" max="8965" width="10" style="18" customWidth="1"/>
    <col min="8966" max="8966" width="7.6640625" style="18" customWidth="1"/>
    <col min="8967" max="8967" width="10.77734375" style="18" customWidth="1"/>
    <col min="8968" max="8968" width="8.109375" style="18" customWidth="1"/>
    <col min="8969" max="8970" width="9" style="18"/>
    <col min="8971" max="8971" width="9.77734375" style="18" customWidth="1"/>
    <col min="8972" max="8972" width="9.109375" style="18" customWidth="1"/>
    <col min="8973" max="8973" width="9" style="18"/>
    <col min="8974" max="8974" width="9.21875" style="18" customWidth="1"/>
    <col min="8975" max="8975" width="11.109375" style="18" customWidth="1"/>
    <col min="8976" max="9215" width="9" style="18"/>
    <col min="9216" max="9217" width="3.6640625" style="18" customWidth="1"/>
    <col min="9218" max="9218" width="5" style="18" customWidth="1"/>
    <col min="9219" max="9219" width="10" style="18" customWidth="1"/>
    <col min="9220" max="9220" width="8.44140625" style="18" customWidth="1"/>
    <col min="9221" max="9221" width="10" style="18" customWidth="1"/>
    <col min="9222" max="9222" width="7.6640625" style="18" customWidth="1"/>
    <col min="9223" max="9223" width="10.77734375" style="18" customWidth="1"/>
    <col min="9224" max="9224" width="8.109375" style="18" customWidth="1"/>
    <col min="9225" max="9226" width="9" style="18"/>
    <col min="9227" max="9227" width="9.77734375" style="18" customWidth="1"/>
    <col min="9228" max="9228" width="9.109375" style="18" customWidth="1"/>
    <col min="9229" max="9229" width="9" style="18"/>
    <col min="9230" max="9230" width="9.21875" style="18" customWidth="1"/>
    <col min="9231" max="9231" width="11.109375" style="18" customWidth="1"/>
    <col min="9232" max="9471" width="9" style="18"/>
    <col min="9472" max="9473" width="3.6640625" style="18" customWidth="1"/>
    <col min="9474" max="9474" width="5" style="18" customWidth="1"/>
    <col min="9475" max="9475" width="10" style="18" customWidth="1"/>
    <col min="9476" max="9476" width="8.44140625" style="18" customWidth="1"/>
    <col min="9477" max="9477" width="10" style="18" customWidth="1"/>
    <col min="9478" max="9478" width="7.6640625" style="18" customWidth="1"/>
    <col min="9479" max="9479" width="10.77734375" style="18" customWidth="1"/>
    <col min="9480" max="9480" width="8.109375" style="18" customWidth="1"/>
    <col min="9481" max="9482" width="9" style="18"/>
    <col min="9483" max="9483" width="9.77734375" style="18" customWidth="1"/>
    <col min="9484" max="9484" width="9.109375" style="18" customWidth="1"/>
    <col min="9485" max="9485" width="9" style="18"/>
    <col min="9486" max="9486" width="9.21875" style="18" customWidth="1"/>
    <col min="9487" max="9487" width="11.109375" style="18" customWidth="1"/>
    <col min="9488" max="9727" width="9" style="18"/>
    <col min="9728" max="9729" width="3.6640625" style="18" customWidth="1"/>
    <col min="9730" max="9730" width="5" style="18" customWidth="1"/>
    <col min="9731" max="9731" width="10" style="18" customWidth="1"/>
    <col min="9732" max="9732" width="8.44140625" style="18" customWidth="1"/>
    <col min="9733" max="9733" width="10" style="18" customWidth="1"/>
    <col min="9734" max="9734" width="7.6640625" style="18" customWidth="1"/>
    <col min="9735" max="9735" width="10.77734375" style="18" customWidth="1"/>
    <col min="9736" max="9736" width="8.109375" style="18" customWidth="1"/>
    <col min="9737" max="9738" width="9" style="18"/>
    <col min="9739" max="9739" width="9.77734375" style="18" customWidth="1"/>
    <col min="9740" max="9740" width="9.109375" style="18" customWidth="1"/>
    <col min="9741" max="9741" width="9" style="18"/>
    <col min="9742" max="9742" width="9.21875" style="18" customWidth="1"/>
    <col min="9743" max="9743" width="11.109375" style="18" customWidth="1"/>
    <col min="9744" max="9983" width="9" style="18"/>
    <col min="9984" max="9985" width="3.6640625" style="18" customWidth="1"/>
    <col min="9986" max="9986" width="5" style="18" customWidth="1"/>
    <col min="9987" max="9987" width="10" style="18" customWidth="1"/>
    <col min="9988" max="9988" width="8.44140625" style="18" customWidth="1"/>
    <col min="9989" max="9989" width="10" style="18" customWidth="1"/>
    <col min="9990" max="9990" width="7.6640625" style="18" customWidth="1"/>
    <col min="9991" max="9991" width="10.77734375" style="18" customWidth="1"/>
    <col min="9992" max="9992" width="8.109375" style="18" customWidth="1"/>
    <col min="9993" max="9994" width="9" style="18"/>
    <col min="9995" max="9995" width="9.77734375" style="18" customWidth="1"/>
    <col min="9996" max="9996" width="9.109375" style="18" customWidth="1"/>
    <col min="9997" max="9997" width="9" style="18"/>
    <col min="9998" max="9998" width="9.21875" style="18" customWidth="1"/>
    <col min="9999" max="9999" width="11.109375" style="18" customWidth="1"/>
    <col min="10000" max="10239" width="9" style="18"/>
    <col min="10240" max="10241" width="3.6640625" style="18" customWidth="1"/>
    <col min="10242" max="10242" width="5" style="18" customWidth="1"/>
    <col min="10243" max="10243" width="10" style="18" customWidth="1"/>
    <col min="10244" max="10244" width="8.44140625" style="18" customWidth="1"/>
    <col min="10245" max="10245" width="10" style="18" customWidth="1"/>
    <col min="10246" max="10246" width="7.6640625" style="18" customWidth="1"/>
    <col min="10247" max="10247" width="10.77734375" style="18" customWidth="1"/>
    <col min="10248" max="10248" width="8.109375" style="18" customWidth="1"/>
    <col min="10249" max="10250" width="9" style="18"/>
    <col min="10251" max="10251" width="9.77734375" style="18" customWidth="1"/>
    <col min="10252" max="10252" width="9.109375" style="18" customWidth="1"/>
    <col min="10253" max="10253" width="9" style="18"/>
    <col min="10254" max="10254" width="9.21875" style="18" customWidth="1"/>
    <col min="10255" max="10255" width="11.109375" style="18" customWidth="1"/>
    <col min="10256" max="10495" width="9" style="18"/>
    <col min="10496" max="10497" width="3.6640625" style="18" customWidth="1"/>
    <col min="10498" max="10498" width="5" style="18" customWidth="1"/>
    <col min="10499" max="10499" width="10" style="18" customWidth="1"/>
    <col min="10500" max="10500" width="8.44140625" style="18" customWidth="1"/>
    <col min="10501" max="10501" width="10" style="18" customWidth="1"/>
    <col min="10502" max="10502" width="7.6640625" style="18" customWidth="1"/>
    <col min="10503" max="10503" width="10.77734375" style="18" customWidth="1"/>
    <col min="10504" max="10504" width="8.109375" style="18" customWidth="1"/>
    <col min="10505" max="10506" width="9" style="18"/>
    <col min="10507" max="10507" width="9.77734375" style="18" customWidth="1"/>
    <col min="10508" max="10508" width="9.109375" style="18" customWidth="1"/>
    <col min="10509" max="10509" width="9" style="18"/>
    <col min="10510" max="10510" width="9.21875" style="18" customWidth="1"/>
    <col min="10511" max="10511" width="11.109375" style="18" customWidth="1"/>
    <col min="10512" max="10751" width="9" style="18"/>
    <col min="10752" max="10753" width="3.6640625" style="18" customWidth="1"/>
    <col min="10754" max="10754" width="5" style="18" customWidth="1"/>
    <col min="10755" max="10755" width="10" style="18" customWidth="1"/>
    <col min="10756" max="10756" width="8.44140625" style="18" customWidth="1"/>
    <col min="10757" max="10757" width="10" style="18" customWidth="1"/>
    <col min="10758" max="10758" width="7.6640625" style="18" customWidth="1"/>
    <col min="10759" max="10759" width="10.77734375" style="18" customWidth="1"/>
    <col min="10760" max="10760" width="8.109375" style="18" customWidth="1"/>
    <col min="10761" max="10762" width="9" style="18"/>
    <col min="10763" max="10763" width="9.77734375" style="18" customWidth="1"/>
    <col min="10764" max="10764" width="9.109375" style="18" customWidth="1"/>
    <col min="10765" max="10765" width="9" style="18"/>
    <col min="10766" max="10766" width="9.21875" style="18" customWidth="1"/>
    <col min="10767" max="10767" width="11.109375" style="18" customWidth="1"/>
    <col min="10768" max="11007" width="9" style="18"/>
    <col min="11008" max="11009" width="3.6640625" style="18" customWidth="1"/>
    <col min="11010" max="11010" width="5" style="18" customWidth="1"/>
    <col min="11011" max="11011" width="10" style="18" customWidth="1"/>
    <col min="11012" max="11012" width="8.44140625" style="18" customWidth="1"/>
    <col min="11013" max="11013" width="10" style="18" customWidth="1"/>
    <col min="11014" max="11014" width="7.6640625" style="18" customWidth="1"/>
    <col min="11015" max="11015" width="10.77734375" style="18" customWidth="1"/>
    <col min="11016" max="11016" width="8.109375" style="18" customWidth="1"/>
    <col min="11017" max="11018" width="9" style="18"/>
    <col min="11019" max="11019" width="9.77734375" style="18" customWidth="1"/>
    <col min="11020" max="11020" width="9.109375" style="18" customWidth="1"/>
    <col min="11021" max="11021" width="9" style="18"/>
    <col min="11022" max="11022" width="9.21875" style="18" customWidth="1"/>
    <col min="11023" max="11023" width="11.109375" style="18" customWidth="1"/>
    <col min="11024" max="11263" width="9" style="18"/>
    <col min="11264" max="11265" width="3.6640625" style="18" customWidth="1"/>
    <col min="11266" max="11266" width="5" style="18" customWidth="1"/>
    <col min="11267" max="11267" width="10" style="18" customWidth="1"/>
    <col min="11268" max="11268" width="8.44140625" style="18" customWidth="1"/>
    <col min="11269" max="11269" width="10" style="18" customWidth="1"/>
    <col min="11270" max="11270" width="7.6640625" style="18" customWidth="1"/>
    <col min="11271" max="11271" width="10.77734375" style="18" customWidth="1"/>
    <col min="11272" max="11272" width="8.109375" style="18" customWidth="1"/>
    <col min="11273" max="11274" width="9" style="18"/>
    <col min="11275" max="11275" width="9.77734375" style="18" customWidth="1"/>
    <col min="11276" max="11276" width="9.109375" style="18" customWidth="1"/>
    <col min="11277" max="11277" width="9" style="18"/>
    <col min="11278" max="11278" width="9.21875" style="18" customWidth="1"/>
    <col min="11279" max="11279" width="11.109375" style="18" customWidth="1"/>
    <col min="11280" max="11519" width="9" style="18"/>
    <col min="11520" max="11521" width="3.6640625" style="18" customWidth="1"/>
    <col min="11522" max="11522" width="5" style="18" customWidth="1"/>
    <col min="11523" max="11523" width="10" style="18" customWidth="1"/>
    <col min="11524" max="11524" width="8.44140625" style="18" customWidth="1"/>
    <col min="11525" max="11525" width="10" style="18" customWidth="1"/>
    <col min="11526" max="11526" width="7.6640625" style="18" customWidth="1"/>
    <col min="11527" max="11527" width="10.77734375" style="18" customWidth="1"/>
    <col min="11528" max="11528" width="8.109375" style="18" customWidth="1"/>
    <col min="11529" max="11530" width="9" style="18"/>
    <col min="11531" max="11531" width="9.77734375" style="18" customWidth="1"/>
    <col min="11532" max="11532" width="9.109375" style="18" customWidth="1"/>
    <col min="11533" max="11533" width="9" style="18"/>
    <col min="11534" max="11534" width="9.21875" style="18" customWidth="1"/>
    <col min="11535" max="11535" width="11.109375" style="18" customWidth="1"/>
    <col min="11536" max="11775" width="9" style="18"/>
    <col min="11776" max="11777" width="3.6640625" style="18" customWidth="1"/>
    <col min="11778" max="11778" width="5" style="18" customWidth="1"/>
    <col min="11779" max="11779" width="10" style="18" customWidth="1"/>
    <col min="11780" max="11780" width="8.44140625" style="18" customWidth="1"/>
    <col min="11781" max="11781" width="10" style="18" customWidth="1"/>
    <col min="11782" max="11782" width="7.6640625" style="18" customWidth="1"/>
    <col min="11783" max="11783" width="10.77734375" style="18" customWidth="1"/>
    <col min="11784" max="11784" width="8.109375" style="18" customWidth="1"/>
    <col min="11785" max="11786" width="9" style="18"/>
    <col min="11787" max="11787" width="9.77734375" style="18" customWidth="1"/>
    <col min="11788" max="11788" width="9.109375" style="18" customWidth="1"/>
    <col min="11789" max="11789" width="9" style="18"/>
    <col min="11790" max="11790" width="9.21875" style="18" customWidth="1"/>
    <col min="11791" max="11791" width="11.109375" style="18" customWidth="1"/>
    <col min="11792" max="12031" width="9" style="18"/>
    <col min="12032" max="12033" width="3.6640625" style="18" customWidth="1"/>
    <col min="12034" max="12034" width="5" style="18" customWidth="1"/>
    <col min="12035" max="12035" width="10" style="18" customWidth="1"/>
    <col min="12036" max="12036" width="8.44140625" style="18" customWidth="1"/>
    <col min="12037" max="12037" width="10" style="18" customWidth="1"/>
    <col min="12038" max="12038" width="7.6640625" style="18" customWidth="1"/>
    <col min="12039" max="12039" width="10.77734375" style="18" customWidth="1"/>
    <col min="12040" max="12040" width="8.109375" style="18" customWidth="1"/>
    <col min="12041" max="12042" width="9" style="18"/>
    <col min="12043" max="12043" width="9.77734375" style="18" customWidth="1"/>
    <col min="12044" max="12044" width="9.109375" style="18" customWidth="1"/>
    <col min="12045" max="12045" width="9" style="18"/>
    <col min="12046" max="12046" width="9.21875" style="18" customWidth="1"/>
    <col min="12047" max="12047" width="11.109375" style="18" customWidth="1"/>
    <col min="12048" max="12287" width="9" style="18"/>
    <col min="12288" max="12289" width="3.6640625" style="18" customWidth="1"/>
    <col min="12290" max="12290" width="5" style="18" customWidth="1"/>
    <col min="12291" max="12291" width="10" style="18" customWidth="1"/>
    <col min="12292" max="12292" width="8.44140625" style="18" customWidth="1"/>
    <col min="12293" max="12293" width="10" style="18" customWidth="1"/>
    <col min="12294" max="12294" width="7.6640625" style="18" customWidth="1"/>
    <col min="12295" max="12295" width="10.77734375" style="18" customWidth="1"/>
    <col min="12296" max="12296" width="8.109375" style="18" customWidth="1"/>
    <col min="12297" max="12298" width="9" style="18"/>
    <col min="12299" max="12299" width="9.77734375" style="18" customWidth="1"/>
    <col min="12300" max="12300" width="9.109375" style="18" customWidth="1"/>
    <col min="12301" max="12301" width="9" style="18"/>
    <col min="12302" max="12302" width="9.21875" style="18" customWidth="1"/>
    <col min="12303" max="12303" width="11.109375" style="18" customWidth="1"/>
    <col min="12304" max="12543" width="9" style="18"/>
    <col min="12544" max="12545" width="3.6640625" style="18" customWidth="1"/>
    <col min="12546" max="12546" width="5" style="18" customWidth="1"/>
    <col min="12547" max="12547" width="10" style="18" customWidth="1"/>
    <col min="12548" max="12548" width="8.44140625" style="18" customWidth="1"/>
    <col min="12549" max="12549" width="10" style="18" customWidth="1"/>
    <col min="12550" max="12550" width="7.6640625" style="18" customWidth="1"/>
    <col min="12551" max="12551" width="10.77734375" style="18" customWidth="1"/>
    <col min="12552" max="12552" width="8.109375" style="18" customWidth="1"/>
    <col min="12553" max="12554" width="9" style="18"/>
    <col min="12555" max="12555" width="9.77734375" style="18" customWidth="1"/>
    <col min="12556" max="12556" width="9.109375" style="18" customWidth="1"/>
    <col min="12557" max="12557" width="9" style="18"/>
    <col min="12558" max="12558" width="9.21875" style="18" customWidth="1"/>
    <col min="12559" max="12559" width="11.109375" style="18" customWidth="1"/>
    <col min="12560" max="12799" width="9" style="18"/>
    <col min="12800" max="12801" width="3.6640625" style="18" customWidth="1"/>
    <col min="12802" max="12802" width="5" style="18" customWidth="1"/>
    <col min="12803" max="12803" width="10" style="18" customWidth="1"/>
    <col min="12804" max="12804" width="8.44140625" style="18" customWidth="1"/>
    <col min="12805" max="12805" width="10" style="18" customWidth="1"/>
    <col min="12806" max="12806" width="7.6640625" style="18" customWidth="1"/>
    <col min="12807" max="12807" width="10.77734375" style="18" customWidth="1"/>
    <col min="12808" max="12808" width="8.109375" style="18" customWidth="1"/>
    <col min="12809" max="12810" width="9" style="18"/>
    <col min="12811" max="12811" width="9.77734375" style="18" customWidth="1"/>
    <col min="12812" max="12812" width="9.109375" style="18" customWidth="1"/>
    <col min="12813" max="12813" width="9" style="18"/>
    <col min="12814" max="12814" width="9.21875" style="18" customWidth="1"/>
    <col min="12815" max="12815" width="11.109375" style="18" customWidth="1"/>
    <col min="12816" max="13055" width="9" style="18"/>
    <col min="13056" max="13057" width="3.6640625" style="18" customWidth="1"/>
    <col min="13058" max="13058" width="5" style="18" customWidth="1"/>
    <col min="13059" max="13059" width="10" style="18" customWidth="1"/>
    <col min="13060" max="13060" width="8.44140625" style="18" customWidth="1"/>
    <col min="13061" max="13061" width="10" style="18" customWidth="1"/>
    <col min="13062" max="13062" width="7.6640625" style="18" customWidth="1"/>
    <col min="13063" max="13063" width="10.77734375" style="18" customWidth="1"/>
    <col min="13064" max="13064" width="8.109375" style="18" customWidth="1"/>
    <col min="13065" max="13066" width="9" style="18"/>
    <col min="13067" max="13067" width="9.77734375" style="18" customWidth="1"/>
    <col min="13068" max="13068" width="9.109375" style="18" customWidth="1"/>
    <col min="13069" max="13069" width="9" style="18"/>
    <col min="13070" max="13070" width="9.21875" style="18" customWidth="1"/>
    <col min="13071" max="13071" width="11.109375" style="18" customWidth="1"/>
    <col min="13072" max="13311" width="9" style="18"/>
    <col min="13312" max="13313" width="3.6640625" style="18" customWidth="1"/>
    <col min="13314" max="13314" width="5" style="18" customWidth="1"/>
    <col min="13315" max="13315" width="10" style="18" customWidth="1"/>
    <col min="13316" max="13316" width="8.44140625" style="18" customWidth="1"/>
    <col min="13317" max="13317" width="10" style="18" customWidth="1"/>
    <col min="13318" max="13318" width="7.6640625" style="18" customWidth="1"/>
    <col min="13319" max="13319" width="10.77734375" style="18" customWidth="1"/>
    <col min="13320" max="13320" width="8.109375" style="18" customWidth="1"/>
    <col min="13321" max="13322" width="9" style="18"/>
    <col min="13323" max="13323" width="9.77734375" style="18" customWidth="1"/>
    <col min="13324" max="13324" width="9.109375" style="18" customWidth="1"/>
    <col min="13325" max="13325" width="9" style="18"/>
    <col min="13326" max="13326" width="9.21875" style="18" customWidth="1"/>
    <col min="13327" max="13327" width="11.109375" style="18" customWidth="1"/>
    <col min="13328" max="13567" width="9" style="18"/>
    <col min="13568" max="13569" width="3.6640625" style="18" customWidth="1"/>
    <col min="13570" max="13570" width="5" style="18" customWidth="1"/>
    <col min="13571" max="13571" width="10" style="18" customWidth="1"/>
    <col min="13572" max="13572" width="8.44140625" style="18" customWidth="1"/>
    <col min="13573" max="13573" width="10" style="18" customWidth="1"/>
    <col min="13574" max="13574" width="7.6640625" style="18" customWidth="1"/>
    <col min="13575" max="13575" width="10.77734375" style="18" customWidth="1"/>
    <col min="13576" max="13576" width="8.109375" style="18" customWidth="1"/>
    <col min="13577" max="13578" width="9" style="18"/>
    <col min="13579" max="13579" width="9.77734375" style="18" customWidth="1"/>
    <col min="13580" max="13580" width="9.109375" style="18" customWidth="1"/>
    <col min="13581" max="13581" width="9" style="18"/>
    <col min="13582" max="13582" width="9.21875" style="18" customWidth="1"/>
    <col min="13583" max="13583" width="11.109375" style="18" customWidth="1"/>
    <col min="13584" max="13823" width="9" style="18"/>
    <col min="13824" max="13825" width="3.6640625" style="18" customWidth="1"/>
    <col min="13826" max="13826" width="5" style="18" customWidth="1"/>
    <col min="13827" max="13827" width="10" style="18" customWidth="1"/>
    <col min="13828" max="13828" width="8.44140625" style="18" customWidth="1"/>
    <col min="13829" max="13829" width="10" style="18" customWidth="1"/>
    <col min="13830" max="13830" width="7.6640625" style="18" customWidth="1"/>
    <col min="13831" max="13831" width="10.77734375" style="18" customWidth="1"/>
    <col min="13832" max="13832" width="8.109375" style="18" customWidth="1"/>
    <col min="13833" max="13834" width="9" style="18"/>
    <col min="13835" max="13835" width="9.77734375" style="18" customWidth="1"/>
    <col min="13836" max="13836" width="9.109375" style="18" customWidth="1"/>
    <col min="13837" max="13837" width="9" style="18"/>
    <col min="13838" max="13838" width="9.21875" style="18" customWidth="1"/>
    <col min="13839" max="13839" width="11.109375" style="18" customWidth="1"/>
    <col min="13840" max="14079" width="9" style="18"/>
    <col min="14080" max="14081" width="3.6640625" style="18" customWidth="1"/>
    <col min="14082" max="14082" width="5" style="18" customWidth="1"/>
    <col min="14083" max="14083" width="10" style="18" customWidth="1"/>
    <col min="14084" max="14084" width="8.44140625" style="18" customWidth="1"/>
    <col min="14085" max="14085" width="10" style="18" customWidth="1"/>
    <col min="14086" max="14086" width="7.6640625" style="18" customWidth="1"/>
    <col min="14087" max="14087" width="10.77734375" style="18" customWidth="1"/>
    <col min="14088" max="14088" width="8.109375" style="18" customWidth="1"/>
    <col min="14089" max="14090" width="9" style="18"/>
    <col min="14091" max="14091" width="9.77734375" style="18" customWidth="1"/>
    <col min="14092" max="14092" width="9.109375" style="18" customWidth="1"/>
    <col min="14093" max="14093" width="9" style="18"/>
    <col min="14094" max="14094" width="9.21875" style="18" customWidth="1"/>
    <col min="14095" max="14095" width="11.109375" style="18" customWidth="1"/>
    <col min="14096" max="14335" width="9" style="18"/>
    <col min="14336" max="14337" width="3.6640625" style="18" customWidth="1"/>
    <col min="14338" max="14338" width="5" style="18" customWidth="1"/>
    <col min="14339" max="14339" width="10" style="18" customWidth="1"/>
    <col min="14340" max="14340" width="8.44140625" style="18" customWidth="1"/>
    <col min="14341" max="14341" width="10" style="18" customWidth="1"/>
    <col min="14342" max="14342" width="7.6640625" style="18" customWidth="1"/>
    <col min="14343" max="14343" width="10.77734375" style="18" customWidth="1"/>
    <col min="14344" max="14344" width="8.109375" style="18" customWidth="1"/>
    <col min="14345" max="14346" width="9" style="18"/>
    <col min="14347" max="14347" width="9.77734375" style="18" customWidth="1"/>
    <col min="14348" max="14348" width="9.109375" style="18" customWidth="1"/>
    <col min="14349" max="14349" width="9" style="18"/>
    <col min="14350" max="14350" width="9.21875" style="18" customWidth="1"/>
    <col min="14351" max="14351" width="11.109375" style="18" customWidth="1"/>
    <col min="14352" max="14591" width="9" style="18"/>
    <col min="14592" max="14593" width="3.6640625" style="18" customWidth="1"/>
    <col min="14594" max="14594" width="5" style="18" customWidth="1"/>
    <col min="14595" max="14595" width="10" style="18" customWidth="1"/>
    <col min="14596" max="14596" width="8.44140625" style="18" customWidth="1"/>
    <col min="14597" max="14597" width="10" style="18" customWidth="1"/>
    <col min="14598" max="14598" width="7.6640625" style="18" customWidth="1"/>
    <col min="14599" max="14599" width="10.77734375" style="18" customWidth="1"/>
    <col min="14600" max="14600" width="8.109375" style="18" customWidth="1"/>
    <col min="14601" max="14602" width="9" style="18"/>
    <col min="14603" max="14603" width="9.77734375" style="18" customWidth="1"/>
    <col min="14604" max="14604" width="9.109375" style="18" customWidth="1"/>
    <col min="14605" max="14605" width="9" style="18"/>
    <col min="14606" max="14606" width="9.21875" style="18" customWidth="1"/>
    <col min="14607" max="14607" width="11.109375" style="18" customWidth="1"/>
    <col min="14608" max="14847" width="9" style="18"/>
    <col min="14848" max="14849" width="3.6640625" style="18" customWidth="1"/>
    <col min="14850" max="14850" width="5" style="18" customWidth="1"/>
    <col min="14851" max="14851" width="10" style="18" customWidth="1"/>
    <col min="14852" max="14852" width="8.44140625" style="18" customWidth="1"/>
    <col min="14853" max="14853" width="10" style="18" customWidth="1"/>
    <col min="14854" max="14854" width="7.6640625" style="18" customWidth="1"/>
    <col min="14855" max="14855" width="10.77734375" style="18" customWidth="1"/>
    <col min="14856" max="14856" width="8.109375" style="18" customWidth="1"/>
    <col min="14857" max="14858" width="9" style="18"/>
    <col min="14859" max="14859" width="9.77734375" style="18" customWidth="1"/>
    <col min="14860" max="14860" width="9.109375" style="18" customWidth="1"/>
    <col min="14861" max="14861" width="9" style="18"/>
    <col min="14862" max="14862" width="9.21875" style="18" customWidth="1"/>
    <col min="14863" max="14863" width="11.109375" style="18" customWidth="1"/>
    <col min="14864" max="15103" width="9" style="18"/>
    <col min="15104" max="15105" width="3.6640625" style="18" customWidth="1"/>
    <col min="15106" max="15106" width="5" style="18" customWidth="1"/>
    <col min="15107" max="15107" width="10" style="18" customWidth="1"/>
    <col min="15108" max="15108" width="8.44140625" style="18" customWidth="1"/>
    <col min="15109" max="15109" width="10" style="18" customWidth="1"/>
    <col min="15110" max="15110" width="7.6640625" style="18" customWidth="1"/>
    <col min="15111" max="15111" width="10.77734375" style="18" customWidth="1"/>
    <col min="15112" max="15112" width="8.109375" style="18" customWidth="1"/>
    <col min="15113" max="15114" width="9" style="18"/>
    <col min="15115" max="15115" width="9.77734375" style="18" customWidth="1"/>
    <col min="15116" max="15116" width="9.109375" style="18" customWidth="1"/>
    <col min="15117" max="15117" width="9" style="18"/>
    <col min="15118" max="15118" width="9.21875" style="18" customWidth="1"/>
    <col min="15119" max="15119" width="11.109375" style="18" customWidth="1"/>
    <col min="15120" max="15359" width="9" style="18"/>
    <col min="15360" max="15361" width="3.6640625" style="18" customWidth="1"/>
    <col min="15362" max="15362" width="5" style="18" customWidth="1"/>
    <col min="15363" max="15363" width="10" style="18" customWidth="1"/>
    <col min="15364" max="15364" width="8.44140625" style="18" customWidth="1"/>
    <col min="15365" max="15365" width="10" style="18" customWidth="1"/>
    <col min="15366" max="15366" width="7.6640625" style="18" customWidth="1"/>
    <col min="15367" max="15367" width="10.77734375" style="18" customWidth="1"/>
    <col min="15368" max="15368" width="8.109375" style="18" customWidth="1"/>
    <col min="15369" max="15370" width="9" style="18"/>
    <col min="15371" max="15371" width="9.77734375" style="18" customWidth="1"/>
    <col min="15372" max="15372" width="9.109375" style="18" customWidth="1"/>
    <col min="15373" max="15373" width="9" style="18"/>
    <col min="15374" max="15374" width="9.21875" style="18" customWidth="1"/>
    <col min="15375" max="15375" width="11.109375" style="18" customWidth="1"/>
    <col min="15376" max="15615" width="9" style="18"/>
    <col min="15616" max="15617" width="3.6640625" style="18" customWidth="1"/>
    <col min="15618" max="15618" width="5" style="18" customWidth="1"/>
    <col min="15619" max="15619" width="10" style="18" customWidth="1"/>
    <col min="15620" max="15620" width="8.44140625" style="18" customWidth="1"/>
    <col min="15621" max="15621" width="10" style="18" customWidth="1"/>
    <col min="15622" max="15622" width="7.6640625" style="18" customWidth="1"/>
    <col min="15623" max="15623" width="10.77734375" style="18" customWidth="1"/>
    <col min="15624" max="15624" width="8.109375" style="18" customWidth="1"/>
    <col min="15625" max="15626" width="9" style="18"/>
    <col min="15627" max="15627" width="9.77734375" style="18" customWidth="1"/>
    <col min="15628" max="15628" width="9.109375" style="18" customWidth="1"/>
    <col min="15629" max="15629" width="9" style="18"/>
    <col min="15630" max="15630" width="9.21875" style="18" customWidth="1"/>
    <col min="15631" max="15631" width="11.109375" style="18" customWidth="1"/>
    <col min="15632" max="15871" width="9" style="18"/>
    <col min="15872" max="15873" width="3.6640625" style="18" customWidth="1"/>
    <col min="15874" max="15874" width="5" style="18" customWidth="1"/>
    <col min="15875" max="15875" width="10" style="18" customWidth="1"/>
    <col min="15876" max="15876" width="8.44140625" style="18" customWidth="1"/>
    <col min="15877" max="15877" width="10" style="18" customWidth="1"/>
    <col min="15878" max="15878" width="7.6640625" style="18" customWidth="1"/>
    <col min="15879" max="15879" width="10.77734375" style="18" customWidth="1"/>
    <col min="15880" max="15880" width="8.109375" style="18" customWidth="1"/>
    <col min="15881" max="15882" width="9" style="18"/>
    <col min="15883" max="15883" width="9.77734375" style="18" customWidth="1"/>
    <col min="15884" max="15884" width="9.109375" style="18" customWidth="1"/>
    <col min="15885" max="15885" width="9" style="18"/>
    <col min="15886" max="15886" width="9.21875" style="18" customWidth="1"/>
    <col min="15887" max="15887" width="11.109375" style="18" customWidth="1"/>
    <col min="15888" max="16127" width="9" style="18"/>
    <col min="16128" max="16129" width="3.6640625" style="18" customWidth="1"/>
    <col min="16130" max="16130" width="5" style="18" customWidth="1"/>
    <col min="16131" max="16131" width="10" style="18" customWidth="1"/>
    <col min="16132" max="16132" width="8.44140625" style="18" customWidth="1"/>
    <col min="16133" max="16133" width="10" style="18" customWidth="1"/>
    <col min="16134" max="16134" width="7.6640625" style="18" customWidth="1"/>
    <col min="16135" max="16135" width="10.77734375" style="18" customWidth="1"/>
    <col min="16136" max="16136" width="8.109375" style="18" customWidth="1"/>
    <col min="16137" max="16138" width="9" style="18"/>
    <col min="16139" max="16139" width="9.77734375" style="18" customWidth="1"/>
    <col min="16140" max="16140" width="9.109375" style="18" customWidth="1"/>
    <col min="16141" max="16141" width="9" style="18"/>
    <col min="16142" max="16142" width="9.21875" style="18" customWidth="1"/>
    <col min="16143" max="16143" width="11.109375" style="18" customWidth="1"/>
    <col min="16144" max="16384" width="9" style="18"/>
  </cols>
  <sheetData>
    <row r="1" spans="2:20" ht="14.25" customHeight="1"/>
    <row r="2" spans="2:20">
      <c r="B2" s="686" t="s">
        <v>41</v>
      </c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</row>
    <row r="3" spans="2:20"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6"/>
      <c r="N3" s="686"/>
      <c r="O3" s="686"/>
    </row>
    <row r="4" spans="2:20">
      <c r="B4" s="492"/>
      <c r="C4" s="492"/>
      <c r="D4" s="673"/>
      <c r="E4" s="674"/>
      <c r="F4" s="674"/>
      <c r="G4" s="492"/>
      <c r="H4" s="494"/>
      <c r="I4" s="492"/>
      <c r="J4" s="495"/>
      <c r="K4" s="492"/>
      <c r="L4" s="511"/>
      <c r="M4" s="675">
        <f>基础数据!A2</f>
        <v>45836</v>
      </c>
      <c r="N4" s="675"/>
      <c r="O4" s="26"/>
    </row>
    <row r="5" spans="2:20" ht="15.9" customHeight="1">
      <c r="B5" s="687" t="s">
        <v>42</v>
      </c>
      <c r="C5" s="678" t="s">
        <v>43</v>
      </c>
      <c r="D5" s="678" t="s">
        <v>44</v>
      </c>
      <c r="E5" s="678" t="s">
        <v>45</v>
      </c>
      <c r="F5" s="676" t="s">
        <v>46</v>
      </c>
      <c r="G5" s="676"/>
      <c r="H5" s="676"/>
      <c r="I5" s="676" t="s">
        <v>103</v>
      </c>
      <c r="J5" s="676"/>
      <c r="K5" s="676"/>
      <c r="L5" s="676" t="s">
        <v>47</v>
      </c>
      <c r="M5" s="676"/>
      <c r="N5" s="676"/>
      <c r="O5" s="677"/>
    </row>
    <row r="6" spans="2:20" ht="15.9" customHeight="1">
      <c r="B6" s="688"/>
      <c r="C6" s="679"/>
      <c r="D6" s="679"/>
      <c r="E6" s="679"/>
      <c r="F6" s="20" t="s">
        <v>48</v>
      </c>
      <c r="G6" s="20" t="s">
        <v>49</v>
      </c>
      <c r="H6" s="20" t="s">
        <v>50</v>
      </c>
      <c r="I6" s="20" t="s">
        <v>6</v>
      </c>
      <c r="J6" s="20" t="s">
        <v>7</v>
      </c>
      <c r="K6" s="20" t="s">
        <v>51</v>
      </c>
      <c r="L6" s="20" t="s">
        <v>52</v>
      </c>
      <c r="M6" s="20" t="s">
        <v>53</v>
      </c>
      <c r="N6" s="20" t="s">
        <v>54</v>
      </c>
      <c r="O6" s="608" t="s">
        <v>55</v>
      </c>
    </row>
    <row r="7" spans="2:20" ht="15.9" customHeight="1">
      <c r="B7" s="688" t="s">
        <v>10</v>
      </c>
      <c r="C7" s="21" t="s">
        <v>35</v>
      </c>
      <c r="D7" s="581">
        <f>基础数据!N7</f>
        <v>0</v>
      </c>
      <c r="E7" s="581">
        <f>基础数据!N5</f>
        <v>0</v>
      </c>
      <c r="F7" s="17">
        <f>基础数据!N6</f>
        <v>0</v>
      </c>
      <c r="G7" s="581">
        <f>基础数据!N9</f>
        <v>0</v>
      </c>
      <c r="H7" s="582">
        <f>F7*(1-G7%)</f>
        <v>0</v>
      </c>
      <c r="I7" s="17">
        <f>基础数据!J5</f>
        <v>0</v>
      </c>
      <c r="J7" s="17"/>
      <c r="K7" s="609">
        <f>基础数据!L5</f>
        <v>0</v>
      </c>
      <c r="L7" s="610"/>
      <c r="M7" s="610">
        <f>H7*I7/100</f>
        <v>0</v>
      </c>
      <c r="N7" s="610"/>
      <c r="O7" s="611">
        <f>H7*K7/1000</f>
        <v>0</v>
      </c>
      <c r="R7" s="24"/>
    </row>
    <row r="8" spans="2:20" ht="15.9" customHeight="1">
      <c r="B8" s="688"/>
      <c r="C8" s="21" t="s">
        <v>36</v>
      </c>
      <c r="D8" s="581">
        <f>基础数据!N19</f>
        <v>0</v>
      </c>
      <c r="E8" s="581">
        <f>基础数据!N17</f>
        <v>0</v>
      </c>
      <c r="F8" s="581">
        <f>基础数据!N18</f>
        <v>0</v>
      </c>
      <c r="G8" s="581">
        <f>基础数据!N21</f>
        <v>0</v>
      </c>
      <c r="H8" s="582">
        <f>F8*(1-G8%)</f>
        <v>0</v>
      </c>
      <c r="I8" s="17">
        <f>基础数据!J17</f>
        <v>0</v>
      </c>
      <c r="J8" s="17"/>
      <c r="K8" s="609">
        <f>基础数据!L17</f>
        <v>0</v>
      </c>
      <c r="L8" s="610"/>
      <c r="M8" s="610">
        <f>H8*I8/100</f>
        <v>0</v>
      </c>
      <c r="N8" s="610"/>
      <c r="O8" s="611">
        <f>H8*K8/1000</f>
        <v>0</v>
      </c>
    </row>
    <row r="9" spans="2:20" ht="15.9" customHeight="1">
      <c r="B9" s="688"/>
      <c r="C9" s="21" t="s">
        <v>37</v>
      </c>
      <c r="D9" s="581">
        <f>基础数据!N31</f>
        <v>0</v>
      </c>
      <c r="E9" s="581">
        <f>基础数据!N29</f>
        <v>0</v>
      </c>
      <c r="F9" s="581">
        <f>基础数据!N30</f>
        <v>0</v>
      </c>
      <c r="G9" s="581">
        <f>基础数据!N33</f>
        <v>0</v>
      </c>
      <c r="H9" s="582">
        <f>F9*(1-G9%)</f>
        <v>0</v>
      </c>
      <c r="I9" s="17">
        <f>基础数据!J29</f>
        <v>0</v>
      </c>
      <c r="J9" s="17"/>
      <c r="K9" s="609">
        <f>基础数据!L29</f>
        <v>0</v>
      </c>
      <c r="L9" s="610"/>
      <c r="M9" s="610">
        <f>H9*I9/100</f>
        <v>0</v>
      </c>
      <c r="N9" s="610"/>
      <c r="O9" s="611">
        <f>H9*K9/1000</f>
        <v>0</v>
      </c>
    </row>
    <row r="10" spans="2:20" ht="15.9" customHeight="1">
      <c r="B10" s="688"/>
      <c r="C10" s="20" t="s">
        <v>56</v>
      </c>
      <c r="D10" s="583" t="str">
        <f>IF(ISERROR((D7*H7+D8*H8+D9*H9)/(H7+H8+H9)),"0.00",(D7*H7+D8*H8+D9*H9)/(H7+H8+H9))</f>
        <v>0.00</v>
      </c>
      <c r="E10" s="583">
        <f>E7+E8+E9</f>
        <v>0</v>
      </c>
      <c r="F10" s="583">
        <f>F7+F8+F9</f>
        <v>0</v>
      </c>
      <c r="G10" s="583" t="str">
        <f>IF(ISERROR((F10-H10)/F10*100),"0.00",(F10-H10)/F10*100)</f>
        <v>0.00</v>
      </c>
      <c r="H10" s="583">
        <f>H7+H8+H9</f>
        <v>0</v>
      </c>
      <c r="I10" s="583" t="str">
        <f>IF(ISERROR(M10/H10*100),"0.00",M10/H10*100)</f>
        <v>0.00</v>
      </c>
      <c r="J10" s="583"/>
      <c r="K10" s="590" t="str">
        <f>IF(ISERROR(O10/H10*1000),"0",O10/H10*1000)</f>
        <v>0</v>
      </c>
      <c r="L10" s="610"/>
      <c r="M10" s="610">
        <f>M7+M8+M9</f>
        <v>0</v>
      </c>
      <c r="N10" s="610"/>
      <c r="O10" s="611">
        <f>O7+O8+O9</f>
        <v>0</v>
      </c>
    </row>
    <row r="11" spans="2:20" ht="15.9" customHeight="1">
      <c r="B11" s="688"/>
      <c r="C11" s="20" t="s">
        <v>57</v>
      </c>
      <c r="D11" s="583" t="str">
        <f>IF(ISERROR((D35*H35+H10*D10)/H11),"0.00",(D35*H35+H10*D10)/H11)</f>
        <v>0.00</v>
      </c>
      <c r="E11" s="583">
        <f>E10+E35</f>
        <v>0</v>
      </c>
      <c r="F11" s="583">
        <f>F10+F35</f>
        <v>0</v>
      </c>
      <c r="G11" s="583" t="str">
        <f>IF(ISERROR((F11-H11)/F11*100),"0.00",(F11-H11)/F11*100)</f>
        <v>0.00</v>
      </c>
      <c r="H11" s="583">
        <f>H10+H35</f>
        <v>0</v>
      </c>
      <c r="I11" s="583" t="str">
        <f>IF(ISERROR(M11/H11*100),"0.00",M11/H11*100)</f>
        <v>0.00</v>
      </c>
      <c r="J11" s="583"/>
      <c r="K11" s="590" t="str">
        <f>IF(ISERROR(O11/H11*1000),"0",O11/H11*1000)</f>
        <v>0</v>
      </c>
      <c r="L11" s="610"/>
      <c r="M11" s="610">
        <f>M10+M35</f>
        <v>0</v>
      </c>
      <c r="N11" s="610"/>
      <c r="O11" s="611">
        <f>O10+O35</f>
        <v>0</v>
      </c>
    </row>
    <row r="12" spans="2:20" ht="15.9" customHeight="1">
      <c r="B12" s="688" t="s">
        <v>42</v>
      </c>
      <c r="C12" s="679" t="s">
        <v>43</v>
      </c>
      <c r="D12" s="679" t="s">
        <v>50</v>
      </c>
      <c r="E12" s="680" t="s">
        <v>58</v>
      </c>
      <c r="F12" s="680"/>
      <c r="G12" s="680"/>
      <c r="H12" s="680"/>
      <c r="I12" s="680" t="s">
        <v>76</v>
      </c>
      <c r="J12" s="680"/>
      <c r="K12" s="680"/>
      <c r="L12" s="680" t="s">
        <v>59</v>
      </c>
      <c r="M12" s="680"/>
      <c r="N12" s="680" t="s">
        <v>60</v>
      </c>
      <c r="O12" s="685" t="s">
        <v>61</v>
      </c>
    </row>
    <row r="13" spans="2:20" ht="15.9" customHeight="1">
      <c r="B13" s="689"/>
      <c r="C13" s="682"/>
      <c r="D13" s="682"/>
      <c r="E13" s="584" t="s">
        <v>62</v>
      </c>
      <c r="F13" s="584" t="s">
        <v>6</v>
      </c>
      <c r="G13" s="584" t="s">
        <v>7</v>
      </c>
      <c r="H13" s="584" t="s">
        <v>51</v>
      </c>
      <c r="I13" s="584" t="s">
        <v>53</v>
      </c>
      <c r="J13" s="584" t="s">
        <v>54</v>
      </c>
      <c r="K13" s="584" t="s">
        <v>55</v>
      </c>
      <c r="L13" s="20" t="s">
        <v>63</v>
      </c>
      <c r="M13" s="20" t="s">
        <v>14</v>
      </c>
      <c r="N13" s="680"/>
      <c r="O13" s="685"/>
    </row>
    <row r="14" spans="2:20" ht="15.9" customHeight="1">
      <c r="B14" s="687" t="s">
        <v>64</v>
      </c>
      <c r="C14" s="585" t="s">
        <v>35</v>
      </c>
      <c r="D14" s="586">
        <f>N14*H7/100</f>
        <v>0</v>
      </c>
      <c r="E14" s="587"/>
      <c r="F14" s="586">
        <f>基础数据!J11</f>
        <v>0</v>
      </c>
      <c r="G14" s="586"/>
      <c r="H14" s="588">
        <f>基础数据!L11</f>
        <v>0</v>
      </c>
      <c r="I14" s="612">
        <f>D14*F14/100</f>
        <v>0</v>
      </c>
      <c r="J14" s="612"/>
      <c r="K14" s="613">
        <f>D14*H14/1000</f>
        <v>0</v>
      </c>
      <c r="L14" s="614">
        <f>O14*N14</f>
        <v>0</v>
      </c>
      <c r="M14" s="583" t="str">
        <f>IF(ISERROR(H14/K7*N14),"0.00",H14/K7*N14)</f>
        <v>0.00</v>
      </c>
      <c r="N14" s="615" t="str">
        <f>IF(ISERROR(S14/T14),"0.00",S14/T14)</f>
        <v>0.00</v>
      </c>
      <c r="O14" s="616" t="str">
        <f>IF(ISERROR(F14/I7),"0.00",F14/I7)</f>
        <v>0.00</v>
      </c>
      <c r="S14" s="627">
        <f t="shared" ref="S14:S16" si="0">(I7-F24)*100</f>
        <v>0</v>
      </c>
      <c r="T14" s="627">
        <f t="shared" ref="T14:T16" si="1">F14-F24</f>
        <v>0</v>
      </c>
    </row>
    <row r="15" spans="2:20" ht="15.9" customHeight="1">
      <c r="B15" s="688"/>
      <c r="C15" s="21" t="s">
        <v>36</v>
      </c>
      <c r="D15" s="583">
        <f>N15*H8/100</f>
        <v>0</v>
      </c>
      <c r="E15" s="81"/>
      <c r="F15" s="583">
        <f>基础数据!J23</f>
        <v>0</v>
      </c>
      <c r="G15" s="589"/>
      <c r="H15" s="590">
        <f>基础数据!L23</f>
        <v>0</v>
      </c>
      <c r="I15" s="610">
        <f>D15*F15/100</f>
        <v>0</v>
      </c>
      <c r="J15" s="610"/>
      <c r="K15" s="611">
        <f>D15*H15/1000</f>
        <v>0</v>
      </c>
      <c r="L15" s="614">
        <f>O15*N15</f>
        <v>0</v>
      </c>
      <c r="M15" s="583" t="str">
        <f>IF(ISERROR(H15/K8*N15),"0.00",H15/K8*N15)</f>
        <v>0.00</v>
      </c>
      <c r="N15" s="615" t="str">
        <f>IF(ISERROR(S15/T15),"0.00",S15/T15)</f>
        <v>0.00</v>
      </c>
      <c r="O15" s="616" t="str">
        <f>IF(ISERROR(F15/I8),"0.00",F15/I8)</f>
        <v>0.00</v>
      </c>
      <c r="S15" s="627">
        <f t="shared" si="0"/>
        <v>0</v>
      </c>
      <c r="T15" s="627">
        <f t="shared" si="1"/>
        <v>0</v>
      </c>
    </row>
    <row r="16" spans="2:20" ht="15.9" customHeight="1">
      <c r="B16" s="688"/>
      <c r="C16" s="21" t="s">
        <v>37</v>
      </c>
      <c r="D16" s="583">
        <f>N16*H9/100</f>
        <v>0</v>
      </c>
      <c r="E16" s="591"/>
      <c r="F16" s="583">
        <f>基础数据!J35</f>
        <v>0</v>
      </c>
      <c r="G16" s="583"/>
      <c r="H16" s="590">
        <f>基础数据!L35</f>
        <v>0</v>
      </c>
      <c r="I16" s="610">
        <f>D16*F16/100</f>
        <v>0</v>
      </c>
      <c r="J16" s="610"/>
      <c r="K16" s="611">
        <f>D16*H16/1000</f>
        <v>0</v>
      </c>
      <c r="L16" s="614">
        <f>O16*N16</f>
        <v>0</v>
      </c>
      <c r="M16" s="583" t="str">
        <f>IF(ISERROR(H16/K9*N16),"0.00",H16/K9*N16)</f>
        <v>0.00</v>
      </c>
      <c r="N16" s="615" t="str">
        <f>IF(ISERROR(S16/T16),"0.00",S16/T16)</f>
        <v>0.00</v>
      </c>
      <c r="O16" s="616" t="str">
        <f>IF(ISERROR(F16/I9),"0.00",F16/I9)</f>
        <v>0.00</v>
      </c>
      <c r="S16" s="627">
        <f t="shared" si="0"/>
        <v>0</v>
      </c>
      <c r="T16" s="627">
        <f t="shared" si="1"/>
        <v>0</v>
      </c>
    </row>
    <row r="17" spans="2:17" ht="15.9" customHeight="1">
      <c r="B17" s="688"/>
      <c r="C17" s="20" t="s">
        <v>56</v>
      </c>
      <c r="D17" s="583">
        <f>D14+D15+D16</f>
        <v>0</v>
      </c>
      <c r="E17" s="583"/>
      <c r="F17" s="583" t="str">
        <f>IF(ISERROR(I17/D17*100),"0.00",I17/D17*100)</f>
        <v>0.00</v>
      </c>
      <c r="G17" s="583"/>
      <c r="H17" s="590" t="str">
        <f>IF(ISERROR(K17/D17*1000),"0",K17/D17*1000)</f>
        <v>0</v>
      </c>
      <c r="I17" s="610">
        <f>I14+I15+I16</f>
        <v>0</v>
      </c>
      <c r="J17" s="610"/>
      <c r="K17" s="611">
        <f>K14+K15+K16</f>
        <v>0</v>
      </c>
      <c r="L17" s="614" t="str">
        <f>IF(ISERROR(I17/M10*100),"0.00",I17/M10*100)</f>
        <v>0.00</v>
      </c>
      <c r="M17" s="583" t="str">
        <f>IF(ISERROR(K17/O10*100),"0.00",K17/O10*100)</f>
        <v>0.00</v>
      </c>
      <c r="N17" s="615" t="str">
        <f>IF(ISERROR(L17/O17),"0.00",L17/O17)</f>
        <v>0.00</v>
      </c>
      <c r="O17" s="616" t="str">
        <f>IF(ISERROR(F17/I10),"0.00",F17/I10)</f>
        <v>0.00</v>
      </c>
    </row>
    <row r="18" spans="2:17" ht="15.9" customHeight="1">
      <c r="B18" s="690"/>
      <c r="C18" s="592" t="s">
        <v>57</v>
      </c>
      <c r="D18" s="593">
        <f>D17+D36</f>
        <v>0</v>
      </c>
      <c r="E18" s="593"/>
      <c r="F18" s="593" t="str">
        <f>IF(ISERROR(I18/D18*100),"0.00",I18/D18*100)</f>
        <v>0.00</v>
      </c>
      <c r="G18" s="593"/>
      <c r="H18" s="594" t="str">
        <f>IF(ISERROR(K18/D18*1000),"0",K18/D18*1000)</f>
        <v>0</v>
      </c>
      <c r="I18" s="617">
        <f>I17+I36</f>
        <v>0</v>
      </c>
      <c r="J18" s="617"/>
      <c r="K18" s="618">
        <f>K17+K36</f>
        <v>0</v>
      </c>
      <c r="L18" s="614" t="str">
        <f>IF(ISERROR(I18/M11*100),"0.00",I18/M11*100)</f>
        <v>0.00</v>
      </c>
      <c r="M18" s="583" t="str">
        <f>IF(ISERROR(K18/O11*100),"0.00",K18/O11*100)</f>
        <v>0.00</v>
      </c>
      <c r="N18" s="615" t="str">
        <f>IF(ISERROR(L18/O18),"0.00",L18/O18)</f>
        <v>0.00</v>
      </c>
      <c r="O18" s="616" t="str">
        <f>IF(ISERROR(F18/I11),"0.00",F18/I11)</f>
        <v>0.00</v>
      </c>
    </row>
    <row r="19" spans="2:17" ht="15.9" customHeight="1">
      <c r="B19" s="697" t="s">
        <v>65</v>
      </c>
      <c r="C19" s="595" t="s">
        <v>35</v>
      </c>
      <c r="D19" s="596"/>
      <c r="E19" s="597"/>
      <c r="F19" s="597"/>
      <c r="G19" s="597"/>
      <c r="H19" s="598"/>
      <c r="I19" s="619"/>
      <c r="J19" s="619"/>
      <c r="K19" s="620"/>
      <c r="L19" s="614"/>
      <c r="M19" s="583"/>
      <c r="N19" s="615"/>
      <c r="O19" s="616"/>
    </row>
    <row r="20" spans="2:17" ht="15.9" customHeight="1">
      <c r="B20" s="688"/>
      <c r="C20" s="21" t="s">
        <v>36</v>
      </c>
      <c r="D20" s="583"/>
      <c r="E20" s="581"/>
      <c r="F20" s="581"/>
      <c r="G20" s="581"/>
      <c r="H20" s="599"/>
      <c r="I20" s="610"/>
      <c r="J20" s="610"/>
      <c r="K20" s="611"/>
      <c r="L20" s="614"/>
      <c r="M20" s="583"/>
      <c r="N20" s="615"/>
      <c r="O20" s="616"/>
    </row>
    <row r="21" spans="2:17" ht="15.9" customHeight="1">
      <c r="B21" s="688"/>
      <c r="C21" s="21" t="s">
        <v>37</v>
      </c>
      <c r="D21" s="583"/>
      <c r="E21" s="581"/>
      <c r="F21" s="581"/>
      <c r="G21" s="581"/>
      <c r="H21" s="599"/>
      <c r="I21" s="610"/>
      <c r="J21" s="610"/>
      <c r="K21" s="611"/>
      <c r="L21" s="614"/>
      <c r="M21" s="583"/>
      <c r="N21" s="615"/>
      <c r="O21" s="616"/>
    </row>
    <row r="22" spans="2:17" ht="15.9" customHeight="1">
      <c r="B22" s="688"/>
      <c r="C22" s="20" t="s">
        <v>56</v>
      </c>
      <c r="D22" s="583"/>
      <c r="E22" s="583"/>
      <c r="F22" s="583"/>
      <c r="G22" s="583"/>
      <c r="H22" s="590"/>
      <c r="I22" s="610"/>
      <c r="J22" s="610"/>
      <c r="K22" s="611"/>
      <c r="L22" s="614"/>
      <c r="M22" s="583"/>
      <c r="N22" s="615"/>
      <c r="O22" s="616"/>
    </row>
    <row r="23" spans="2:17" ht="15.9" customHeight="1">
      <c r="B23" s="690"/>
      <c r="C23" s="592" t="s">
        <v>57</v>
      </c>
      <c r="D23" s="593"/>
      <c r="E23" s="593"/>
      <c r="F23" s="593"/>
      <c r="G23" s="593"/>
      <c r="H23" s="594"/>
      <c r="I23" s="617"/>
      <c r="J23" s="617"/>
      <c r="K23" s="618"/>
      <c r="L23" s="614"/>
      <c r="M23" s="583"/>
      <c r="N23" s="615"/>
      <c r="O23" s="616"/>
    </row>
    <row r="24" spans="2:17" ht="15.9" customHeight="1">
      <c r="B24" s="687" t="s">
        <v>26</v>
      </c>
      <c r="C24" s="21" t="s">
        <v>35</v>
      </c>
      <c r="D24" s="586">
        <f>H7-D14-D19</f>
        <v>0</v>
      </c>
      <c r="E24" s="600"/>
      <c r="F24" s="600">
        <f>基础数据!J13</f>
        <v>0</v>
      </c>
      <c r="G24" s="600"/>
      <c r="H24" s="601">
        <f>基础数据!L13</f>
        <v>0</v>
      </c>
      <c r="I24" s="612">
        <f t="shared" ref="I24:K26" si="2">M7-I14-I19</f>
        <v>0</v>
      </c>
      <c r="J24" s="612"/>
      <c r="K24" s="612">
        <f t="shared" si="2"/>
        <v>0</v>
      </c>
      <c r="L24" s="614"/>
      <c r="M24" s="583"/>
      <c r="N24" s="583"/>
      <c r="O24" s="616"/>
    </row>
    <row r="25" spans="2:17" ht="15.9" customHeight="1">
      <c r="B25" s="688"/>
      <c r="C25" s="21" t="s">
        <v>36</v>
      </c>
      <c r="D25" s="583">
        <f>H8-D15-D20</f>
        <v>0</v>
      </c>
      <c r="E25" s="17"/>
      <c r="F25" s="17">
        <f>基础数据!J25</f>
        <v>0</v>
      </c>
      <c r="G25" s="17"/>
      <c r="H25" s="602">
        <f>基础数据!L25</f>
        <v>0</v>
      </c>
      <c r="I25" s="610">
        <f t="shared" si="2"/>
        <v>0</v>
      </c>
      <c r="J25" s="610"/>
      <c r="K25" s="610">
        <f t="shared" si="2"/>
        <v>0</v>
      </c>
      <c r="L25" s="614"/>
      <c r="M25" s="583"/>
      <c r="N25" s="583"/>
      <c r="O25" s="616"/>
      <c r="Q25" s="24"/>
    </row>
    <row r="26" spans="2:17" ht="15.9" customHeight="1">
      <c r="B26" s="688"/>
      <c r="C26" s="21" t="s">
        <v>37</v>
      </c>
      <c r="D26" s="583">
        <f>H9-D16-D21</f>
        <v>0</v>
      </c>
      <c r="E26" s="581"/>
      <c r="F26" s="581">
        <f>基础数据!J37</f>
        <v>0</v>
      </c>
      <c r="G26" s="581"/>
      <c r="H26" s="599">
        <f>基础数据!L37</f>
        <v>0</v>
      </c>
      <c r="I26" s="610">
        <f t="shared" si="2"/>
        <v>0</v>
      </c>
      <c r="J26" s="610"/>
      <c r="K26" s="610">
        <f t="shared" si="2"/>
        <v>0</v>
      </c>
      <c r="L26" s="614"/>
      <c r="M26" s="583"/>
      <c r="N26" s="583"/>
      <c r="O26" s="616"/>
    </row>
    <row r="27" spans="2:17" ht="15.9" customHeight="1">
      <c r="B27" s="688"/>
      <c r="C27" s="20" t="s">
        <v>56</v>
      </c>
      <c r="D27" s="583">
        <f>D24+D25+D26</f>
        <v>0</v>
      </c>
      <c r="E27" s="583"/>
      <c r="F27" s="583" t="str">
        <f>IF(ISERROR(I27/D27*100),"0.00",I27/D27*100)</f>
        <v>0.00</v>
      </c>
      <c r="G27" s="583"/>
      <c r="H27" s="590" t="str">
        <f>IF(ISERROR(K27/D27*1000),"0",K27/D27*1000)</f>
        <v>0</v>
      </c>
      <c r="I27" s="610">
        <f>I24+I25+I26</f>
        <v>0</v>
      </c>
      <c r="J27" s="610"/>
      <c r="K27" s="611">
        <f>K24+K25+K26</f>
        <v>0</v>
      </c>
      <c r="L27" s="614"/>
      <c r="M27" s="583"/>
      <c r="N27" s="583"/>
      <c r="O27" s="616"/>
    </row>
    <row r="28" spans="2:17" ht="15.9" customHeight="1">
      <c r="B28" s="690"/>
      <c r="C28" s="592" t="s">
        <v>57</v>
      </c>
      <c r="D28" s="593">
        <f>D27+D38</f>
        <v>0</v>
      </c>
      <c r="E28" s="593"/>
      <c r="F28" s="593" t="str">
        <f>IF(ISERROR(I28/D28*100),"0.00",I28/D28*100)</f>
        <v>0.00</v>
      </c>
      <c r="G28" s="593"/>
      <c r="H28" s="594" t="str">
        <f>IF(ISERROR(K28/D28*1000),"0",K28/D28*1000)</f>
        <v>0</v>
      </c>
      <c r="I28" s="617">
        <f>I27+I38</f>
        <v>0</v>
      </c>
      <c r="J28" s="617"/>
      <c r="K28" s="618">
        <f>K27+K38</f>
        <v>0</v>
      </c>
      <c r="L28" s="621"/>
      <c r="M28" s="593"/>
      <c r="N28" s="593"/>
      <c r="O28" s="622"/>
    </row>
    <row r="29" spans="2:17">
      <c r="D29" s="681" t="s">
        <v>66</v>
      </c>
      <c r="E29" s="681"/>
      <c r="F29" s="681"/>
      <c r="G29" s="681"/>
      <c r="K29" s="681" t="s">
        <v>67</v>
      </c>
      <c r="L29" s="681"/>
      <c r="M29" s="681"/>
      <c r="N29" s="681"/>
    </row>
    <row r="30" spans="2:17">
      <c r="D30" s="603"/>
      <c r="E30" s="603"/>
    </row>
    <row r="31" spans="2:17">
      <c r="D31" s="603"/>
      <c r="E31" s="603"/>
    </row>
    <row r="32" spans="2:17">
      <c r="D32" s="603"/>
      <c r="E32" s="603"/>
    </row>
    <row r="33" spans="2:15">
      <c r="D33" s="603"/>
      <c r="E33" s="603"/>
    </row>
    <row r="34" spans="2:15">
      <c r="C34" s="684" t="s">
        <v>68</v>
      </c>
      <c r="D34" s="684"/>
      <c r="E34" s="603"/>
    </row>
    <row r="35" spans="2:15">
      <c r="B35" s="683" t="s">
        <v>69</v>
      </c>
      <c r="C35" s="683"/>
      <c r="D35" s="604"/>
      <c r="E35" s="604"/>
      <c r="F35" s="604"/>
      <c r="G35" s="605"/>
      <c r="H35" s="604"/>
      <c r="I35" s="605"/>
      <c r="J35" s="605"/>
      <c r="K35" s="605"/>
      <c r="L35" s="623"/>
      <c r="M35" s="623"/>
      <c r="N35" s="623"/>
      <c r="O35" s="624"/>
    </row>
    <row r="36" spans="2:15">
      <c r="B36" s="683" t="s">
        <v>70</v>
      </c>
      <c r="C36" s="683"/>
      <c r="D36" s="604"/>
      <c r="E36" s="605"/>
      <c r="F36" s="605"/>
      <c r="G36" s="605"/>
      <c r="H36" s="605"/>
      <c r="I36" s="623"/>
      <c r="J36" s="623"/>
      <c r="K36" s="624"/>
      <c r="L36" s="605"/>
      <c r="M36" s="605"/>
      <c r="N36" s="605"/>
      <c r="O36" s="605"/>
    </row>
    <row r="37" spans="2:15">
      <c r="B37" s="683" t="s">
        <v>71</v>
      </c>
      <c r="C37" s="683"/>
      <c r="D37" s="604"/>
      <c r="E37" s="605"/>
      <c r="F37" s="605"/>
      <c r="G37" s="605"/>
      <c r="H37" s="605"/>
      <c r="I37" s="623"/>
      <c r="J37" s="623"/>
      <c r="K37" s="624"/>
      <c r="L37" s="605"/>
      <c r="M37" s="605"/>
      <c r="N37" s="605"/>
      <c r="O37" s="605"/>
    </row>
    <row r="38" spans="2:15">
      <c r="B38" s="683" t="s">
        <v>72</v>
      </c>
      <c r="C38" s="683"/>
      <c r="D38" s="604"/>
      <c r="E38" s="605"/>
      <c r="F38" s="605"/>
      <c r="G38" s="605"/>
      <c r="H38" s="605"/>
      <c r="I38" s="623"/>
      <c r="J38" s="623"/>
      <c r="K38" s="624"/>
      <c r="L38" s="605"/>
      <c r="M38" s="605"/>
      <c r="N38" s="605"/>
      <c r="O38" s="605"/>
    </row>
    <row r="40" spans="2:15"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</row>
    <row r="41" spans="2:15">
      <c r="B41" s="692"/>
      <c r="C41" s="692"/>
      <c r="D41" s="692"/>
      <c r="E41" s="692"/>
      <c r="F41" s="692"/>
      <c r="G41" s="692"/>
      <c r="H41" s="692"/>
      <c r="I41" s="692"/>
      <c r="J41" s="692"/>
      <c r="K41" s="692"/>
      <c r="L41" s="692"/>
      <c r="M41" s="692"/>
      <c r="N41" s="692"/>
      <c r="O41" s="692"/>
    </row>
    <row r="42" spans="2:15">
      <c r="B42" s="580"/>
      <c r="C42" s="580"/>
      <c r="D42" s="580"/>
      <c r="E42" s="580"/>
      <c r="F42" s="580"/>
      <c r="G42" s="580"/>
      <c r="H42" s="580"/>
      <c r="I42" s="580"/>
      <c r="J42" s="580"/>
      <c r="K42" s="580"/>
      <c r="L42" s="580"/>
      <c r="M42" s="580"/>
      <c r="N42" s="580"/>
      <c r="O42" s="580"/>
    </row>
    <row r="44" spans="2:15">
      <c r="C44" s="684" t="s">
        <v>73</v>
      </c>
      <c r="D44" s="684"/>
    </row>
    <row r="45" spans="2:15">
      <c r="B45" s="683" t="s">
        <v>69</v>
      </c>
      <c r="C45" s="683"/>
      <c r="D45" s="606" t="str">
        <f>D11</f>
        <v>0.00</v>
      </c>
      <c r="E45" s="604">
        <f>E11</f>
        <v>0</v>
      </c>
      <c r="F45" s="606">
        <f>F11</f>
        <v>0</v>
      </c>
      <c r="G45" s="607"/>
      <c r="H45" s="606">
        <f>H11</f>
        <v>0</v>
      </c>
      <c r="I45" s="607"/>
      <c r="J45" s="607"/>
      <c r="K45" s="607"/>
      <c r="L45" s="625">
        <f>L11</f>
        <v>0</v>
      </c>
      <c r="M45" s="625">
        <f>M11</f>
        <v>0</v>
      </c>
      <c r="N45" s="625">
        <f>N11</f>
        <v>0</v>
      </c>
      <c r="O45" s="626">
        <f>O11</f>
        <v>0</v>
      </c>
    </row>
    <row r="46" spans="2:15">
      <c r="B46" s="683" t="s">
        <v>70</v>
      </c>
      <c r="C46" s="683"/>
      <c r="D46" s="606">
        <f>D18</f>
        <v>0</v>
      </c>
      <c r="E46" s="607"/>
      <c r="F46" s="607"/>
      <c r="G46" s="607"/>
      <c r="H46" s="607"/>
      <c r="I46" s="625">
        <f>I18</f>
        <v>0</v>
      </c>
      <c r="J46" s="625">
        <f>J18</f>
        <v>0</v>
      </c>
      <c r="K46" s="626">
        <f>K18</f>
        <v>0</v>
      </c>
      <c r="L46" s="607"/>
      <c r="M46" s="607"/>
      <c r="N46" s="607"/>
      <c r="O46" s="607"/>
    </row>
    <row r="47" spans="2:15">
      <c r="B47" s="683" t="s">
        <v>71</v>
      </c>
      <c r="C47" s="683"/>
      <c r="D47" s="606">
        <f>D23</f>
        <v>0</v>
      </c>
      <c r="E47" s="607"/>
      <c r="F47" s="607"/>
      <c r="G47" s="607"/>
      <c r="H47" s="607"/>
      <c r="I47" s="625">
        <f>I23</f>
        <v>0</v>
      </c>
      <c r="J47" s="625">
        <f>J23</f>
        <v>0</v>
      </c>
      <c r="K47" s="626">
        <f>K23</f>
        <v>0</v>
      </c>
      <c r="L47" s="607"/>
      <c r="M47" s="607"/>
      <c r="N47" s="607"/>
      <c r="O47" s="607"/>
    </row>
    <row r="48" spans="2:15">
      <c r="B48" s="683" t="s">
        <v>72</v>
      </c>
      <c r="C48" s="683"/>
      <c r="D48" s="606">
        <f>D28</f>
        <v>0</v>
      </c>
      <c r="E48" s="607"/>
      <c r="F48" s="607"/>
      <c r="G48" s="607"/>
      <c r="H48" s="607"/>
      <c r="I48" s="625">
        <f>I28</f>
        <v>0</v>
      </c>
      <c r="J48" s="625">
        <f>J28</f>
        <v>0</v>
      </c>
      <c r="K48" s="626">
        <f>K28</f>
        <v>0</v>
      </c>
      <c r="L48" s="607"/>
      <c r="M48" s="607"/>
      <c r="N48" s="607"/>
      <c r="O48" s="607"/>
    </row>
  </sheetData>
  <sheetProtection sheet="1" objects="1"/>
  <mergeCells count="36">
    <mergeCell ref="O12:O13"/>
    <mergeCell ref="B2:O3"/>
    <mergeCell ref="B47:C47"/>
    <mergeCell ref="B48:C48"/>
    <mergeCell ref="B5:B6"/>
    <mergeCell ref="B7:B11"/>
    <mergeCell ref="B12:B13"/>
    <mergeCell ref="B14:B18"/>
    <mergeCell ref="B19:B23"/>
    <mergeCell ref="B24:B28"/>
    <mergeCell ref="C5:C6"/>
    <mergeCell ref="C12:C13"/>
    <mergeCell ref="B40:O40"/>
    <mergeCell ref="B41:O41"/>
    <mergeCell ref="C44:D44"/>
    <mergeCell ref="B45:C45"/>
    <mergeCell ref="B46:C46"/>
    <mergeCell ref="C34:D34"/>
    <mergeCell ref="B35:C35"/>
    <mergeCell ref="B36:C36"/>
    <mergeCell ref="B37:C37"/>
    <mergeCell ref="B38:C38"/>
    <mergeCell ref="E12:H12"/>
    <mergeCell ref="I12:K12"/>
    <mergeCell ref="L12:M12"/>
    <mergeCell ref="D29:G29"/>
    <mergeCell ref="K29:N29"/>
    <mergeCell ref="D12:D13"/>
    <mergeCell ref="N12:N13"/>
    <mergeCell ref="D4:F4"/>
    <mergeCell ref="M4:N4"/>
    <mergeCell ref="F5:H5"/>
    <mergeCell ref="I5:K5"/>
    <mergeCell ref="L5:O5"/>
    <mergeCell ref="D5:D6"/>
    <mergeCell ref="E5:E6"/>
  </mergeCells>
  <phoneticPr fontId="54" type="noConversion"/>
  <printOptions horizontalCentered="1" verticalCentered="1"/>
  <pageMargins left="0" right="0" top="0" bottom="0" header="0" footer="0"/>
  <pageSetup paperSize="9" orientation="landscape" horizontalDpi="180" verticalDpi="18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tabColor indexed="12"/>
  </sheetPr>
  <dimension ref="B2:AM60"/>
  <sheetViews>
    <sheetView workbookViewId="0">
      <selection activeCell="AP13" sqref="AP13"/>
    </sheetView>
  </sheetViews>
  <sheetFormatPr defaultColWidth="9" defaultRowHeight="15.6"/>
  <cols>
    <col min="1" max="1" width="4.6640625" style="18" customWidth="1"/>
    <col min="2" max="2" width="6.33203125" style="18" customWidth="1"/>
    <col min="3" max="3" width="7" style="18" customWidth="1"/>
    <col min="4" max="4" width="10.21875" style="18" customWidth="1"/>
    <col min="5" max="5" width="9.88671875" style="18" customWidth="1"/>
    <col min="6" max="6" width="11.6640625" style="18" customWidth="1"/>
    <col min="7" max="8" width="9" style="18"/>
    <col min="9" max="9" width="9.33203125" style="18" customWidth="1"/>
    <col min="10" max="11" width="9" style="18"/>
    <col min="12" max="12" width="10.109375" style="18"/>
    <col min="13" max="13" width="9" style="18"/>
    <col min="14" max="14" width="9" style="18" hidden="1" customWidth="1"/>
    <col min="15" max="16" width="9.109375" style="18" hidden="1" customWidth="1"/>
    <col min="17" max="17" width="9.44140625" style="18" hidden="1" customWidth="1"/>
    <col min="18" max="18" width="9" style="18" hidden="1" customWidth="1"/>
    <col min="19" max="22" width="9.109375" style="18" hidden="1" customWidth="1"/>
    <col min="23" max="39" width="9" style="18" hidden="1" customWidth="1"/>
    <col min="40" max="254" width="9" style="18"/>
    <col min="255" max="255" width="4.6640625" style="18" customWidth="1"/>
    <col min="256" max="256" width="6.33203125" style="18" customWidth="1"/>
    <col min="257" max="257" width="7" style="18" customWidth="1"/>
    <col min="258" max="258" width="10.21875" style="18" customWidth="1"/>
    <col min="259" max="259" width="9.88671875" style="18" customWidth="1"/>
    <col min="260" max="260" width="11.6640625" style="18" customWidth="1"/>
    <col min="261" max="263" width="9" style="18"/>
    <col min="264" max="264" width="9.33203125" style="18" customWidth="1"/>
    <col min="265" max="265" width="11.21875" style="18" customWidth="1"/>
    <col min="266" max="270" width="9" style="18"/>
    <col min="271" max="272" width="9.109375" style="18" customWidth="1"/>
    <col min="273" max="273" width="9.44140625" style="18" customWidth="1"/>
    <col min="274" max="274" width="9" style="18"/>
    <col min="275" max="278" width="9.109375" style="18" customWidth="1"/>
    <col min="279" max="510" width="9" style="18"/>
    <col min="511" max="511" width="4.6640625" style="18" customWidth="1"/>
    <col min="512" max="512" width="6.33203125" style="18" customWidth="1"/>
    <col min="513" max="513" width="7" style="18" customWidth="1"/>
    <col min="514" max="514" width="10.21875" style="18" customWidth="1"/>
    <col min="515" max="515" width="9.88671875" style="18" customWidth="1"/>
    <col min="516" max="516" width="11.6640625" style="18" customWidth="1"/>
    <col min="517" max="519" width="9" style="18"/>
    <col min="520" max="520" width="9.33203125" style="18" customWidth="1"/>
    <col min="521" max="521" width="11.21875" style="18" customWidth="1"/>
    <col min="522" max="526" width="9" style="18"/>
    <col min="527" max="528" width="9.109375" style="18" customWidth="1"/>
    <col min="529" max="529" width="9.44140625" style="18" customWidth="1"/>
    <col min="530" max="530" width="9" style="18"/>
    <col min="531" max="534" width="9.109375" style="18" customWidth="1"/>
    <col min="535" max="766" width="9" style="18"/>
    <col min="767" max="767" width="4.6640625" style="18" customWidth="1"/>
    <col min="768" max="768" width="6.33203125" style="18" customWidth="1"/>
    <col min="769" max="769" width="7" style="18" customWidth="1"/>
    <col min="770" max="770" width="10.21875" style="18" customWidth="1"/>
    <col min="771" max="771" width="9.88671875" style="18" customWidth="1"/>
    <col min="772" max="772" width="11.6640625" style="18" customWidth="1"/>
    <col min="773" max="775" width="9" style="18"/>
    <col min="776" max="776" width="9.33203125" style="18" customWidth="1"/>
    <col min="777" max="777" width="11.21875" style="18" customWidth="1"/>
    <col min="778" max="782" width="9" style="18"/>
    <col min="783" max="784" width="9.109375" style="18" customWidth="1"/>
    <col min="785" max="785" width="9.44140625" style="18" customWidth="1"/>
    <col min="786" max="786" width="9" style="18"/>
    <col min="787" max="790" width="9.109375" style="18" customWidth="1"/>
    <col min="791" max="1022" width="9" style="18"/>
    <col min="1023" max="1023" width="4.6640625" style="18" customWidth="1"/>
    <col min="1024" max="1024" width="6.33203125" style="18" customWidth="1"/>
    <col min="1025" max="1025" width="7" style="18" customWidth="1"/>
    <col min="1026" max="1026" width="10.21875" style="18" customWidth="1"/>
    <col min="1027" max="1027" width="9.88671875" style="18" customWidth="1"/>
    <col min="1028" max="1028" width="11.6640625" style="18" customWidth="1"/>
    <col min="1029" max="1031" width="9" style="18"/>
    <col min="1032" max="1032" width="9.33203125" style="18" customWidth="1"/>
    <col min="1033" max="1033" width="11.21875" style="18" customWidth="1"/>
    <col min="1034" max="1038" width="9" style="18"/>
    <col min="1039" max="1040" width="9.109375" style="18" customWidth="1"/>
    <col min="1041" max="1041" width="9.44140625" style="18" customWidth="1"/>
    <col min="1042" max="1042" width="9" style="18"/>
    <col min="1043" max="1046" width="9.109375" style="18" customWidth="1"/>
    <col min="1047" max="1278" width="9" style="18"/>
    <col min="1279" max="1279" width="4.6640625" style="18" customWidth="1"/>
    <col min="1280" max="1280" width="6.33203125" style="18" customWidth="1"/>
    <col min="1281" max="1281" width="7" style="18" customWidth="1"/>
    <col min="1282" max="1282" width="10.21875" style="18" customWidth="1"/>
    <col min="1283" max="1283" width="9.88671875" style="18" customWidth="1"/>
    <col min="1284" max="1284" width="11.6640625" style="18" customWidth="1"/>
    <col min="1285" max="1287" width="9" style="18"/>
    <col min="1288" max="1288" width="9.33203125" style="18" customWidth="1"/>
    <col min="1289" max="1289" width="11.21875" style="18" customWidth="1"/>
    <col min="1290" max="1294" width="9" style="18"/>
    <col min="1295" max="1296" width="9.109375" style="18" customWidth="1"/>
    <col min="1297" max="1297" width="9.44140625" style="18" customWidth="1"/>
    <col min="1298" max="1298" width="9" style="18"/>
    <col min="1299" max="1302" width="9.109375" style="18" customWidth="1"/>
    <col min="1303" max="1534" width="9" style="18"/>
    <col min="1535" max="1535" width="4.6640625" style="18" customWidth="1"/>
    <col min="1536" max="1536" width="6.33203125" style="18" customWidth="1"/>
    <col min="1537" max="1537" width="7" style="18" customWidth="1"/>
    <col min="1538" max="1538" width="10.21875" style="18" customWidth="1"/>
    <col min="1539" max="1539" width="9.88671875" style="18" customWidth="1"/>
    <col min="1540" max="1540" width="11.6640625" style="18" customWidth="1"/>
    <col min="1541" max="1543" width="9" style="18"/>
    <col min="1544" max="1544" width="9.33203125" style="18" customWidth="1"/>
    <col min="1545" max="1545" width="11.21875" style="18" customWidth="1"/>
    <col min="1546" max="1550" width="9" style="18"/>
    <col min="1551" max="1552" width="9.109375" style="18" customWidth="1"/>
    <col min="1553" max="1553" width="9.44140625" style="18" customWidth="1"/>
    <col min="1554" max="1554" width="9" style="18"/>
    <col min="1555" max="1558" width="9.109375" style="18" customWidth="1"/>
    <col min="1559" max="1790" width="9" style="18"/>
    <col min="1791" max="1791" width="4.6640625" style="18" customWidth="1"/>
    <col min="1792" max="1792" width="6.33203125" style="18" customWidth="1"/>
    <col min="1793" max="1793" width="7" style="18" customWidth="1"/>
    <col min="1794" max="1794" width="10.21875" style="18" customWidth="1"/>
    <col min="1795" max="1795" width="9.88671875" style="18" customWidth="1"/>
    <col min="1796" max="1796" width="11.6640625" style="18" customWidth="1"/>
    <col min="1797" max="1799" width="9" style="18"/>
    <col min="1800" max="1800" width="9.33203125" style="18" customWidth="1"/>
    <col min="1801" max="1801" width="11.21875" style="18" customWidth="1"/>
    <col min="1802" max="1806" width="9" style="18"/>
    <col min="1807" max="1808" width="9.109375" style="18" customWidth="1"/>
    <col min="1809" max="1809" width="9.44140625" style="18" customWidth="1"/>
    <col min="1810" max="1810" width="9" style="18"/>
    <col min="1811" max="1814" width="9.109375" style="18" customWidth="1"/>
    <col min="1815" max="2046" width="9" style="18"/>
    <col min="2047" max="2047" width="4.6640625" style="18" customWidth="1"/>
    <col min="2048" max="2048" width="6.33203125" style="18" customWidth="1"/>
    <col min="2049" max="2049" width="7" style="18" customWidth="1"/>
    <col min="2050" max="2050" width="10.21875" style="18" customWidth="1"/>
    <col min="2051" max="2051" width="9.88671875" style="18" customWidth="1"/>
    <col min="2052" max="2052" width="11.6640625" style="18" customWidth="1"/>
    <col min="2053" max="2055" width="9" style="18"/>
    <col min="2056" max="2056" width="9.33203125" style="18" customWidth="1"/>
    <col min="2057" max="2057" width="11.21875" style="18" customWidth="1"/>
    <col min="2058" max="2062" width="9" style="18"/>
    <col min="2063" max="2064" width="9.109375" style="18" customWidth="1"/>
    <col min="2065" max="2065" width="9.44140625" style="18" customWidth="1"/>
    <col min="2066" max="2066" width="9" style="18"/>
    <col min="2067" max="2070" width="9.109375" style="18" customWidth="1"/>
    <col min="2071" max="2302" width="9" style="18"/>
    <col min="2303" max="2303" width="4.6640625" style="18" customWidth="1"/>
    <col min="2304" max="2304" width="6.33203125" style="18" customWidth="1"/>
    <col min="2305" max="2305" width="7" style="18" customWidth="1"/>
    <col min="2306" max="2306" width="10.21875" style="18" customWidth="1"/>
    <col min="2307" max="2307" width="9.88671875" style="18" customWidth="1"/>
    <col min="2308" max="2308" width="11.6640625" style="18" customWidth="1"/>
    <col min="2309" max="2311" width="9" style="18"/>
    <col min="2312" max="2312" width="9.33203125" style="18" customWidth="1"/>
    <col min="2313" max="2313" width="11.21875" style="18" customWidth="1"/>
    <col min="2314" max="2318" width="9" style="18"/>
    <col min="2319" max="2320" width="9.109375" style="18" customWidth="1"/>
    <col min="2321" max="2321" width="9.44140625" style="18" customWidth="1"/>
    <col min="2322" max="2322" width="9" style="18"/>
    <col min="2323" max="2326" width="9.109375" style="18" customWidth="1"/>
    <col min="2327" max="2558" width="9" style="18"/>
    <col min="2559" max="2559" width="4.6640625" style="18" customWidth="1"/>
    <col min="2560" max="2560" width="6.33203125" style="18" customWidth="1"/>
    <col min="2561" max="2561" width="7" style="18" customWidth="1"/>
    <col min="2562" max="2562" width="10.21875" style="18" customWidth="1"/>
    <col min="2563" max="2563" width="9.88671875" style="18" customWidth="1"/>
    <col min="2564" max="2564" width="11.6640625" style="18" customWidth="1"/>
    <col min="2565" max="2567" width="9" style="18"/>
    <col min="2568" max="2568" width="9.33203125" style="18" customWidth="1"/>
    <col min="2569" max="2569" width="11.21875" style="18" customWidth="1"/>
    <col min="2570" max="2574" width="9" style="18"/>
    <col min="2575" max="2576" width="9.109375" style="18" customWidth="1"/>
    <col min="2577" max="2577" width="9.44140625" style="18" customWidth="1"/>
    <col min="2578" max="2578" width="9" style="18"/>
    <col min="2579" max="2582" width="9.109375" style="18" customWidth="1"/>
    <col min="2583" max="2814" width="9" style="18"/>
    <col min="2815" max="2815" width="4.6640625" style="18" customWidth="1"/>
    <col min="2816" max="2816" width="6.33203125" style="18" customWidth="1"/>
    <col min="2817" max="2817" width="7" style="18" customWidth="1"/>
    <col min="2818" max="2818" width="10.21875" style="18" customWidth="1"/>
    <col min="2819" max="2819" width="9.88671875" style="18" customWidth="1"/>
    <col min="2820" max="2820" width="11.6640625" style="18" customWidth="1"/>
    <col min="2821" max="2823" width="9" style="18"/>
    <col min="2824" max="2824" width="9.33203125" style="18" customWidth="1"/>
    <col min="2825" max="2825" width="11.21875" style="18" customWidth="1"/>
    <col min="2826" max="2830" width="9" style="18"/>
    <col min="2831" max="2832" width="9.109375" style="18" customWidth="1"/>
    <col min="2833" max="2833" width="9.44140625" style="18" customWidth="1"/>
    <col min="2834" max="2834" width="9" style="18"/>
    <col min="2835" max="2838" width="9.109375" style="18" customWidth="1"/>
    <col min="2839" max="3070" width="9" style="18"/>
    <col min="3071" max="3071" width="4.6640625" style="18" customWidth="1"/>
    <col min="3072" max="3072" width="6.33203125" style="18" customWidth="1"/>
    <col min="3073" max="3073" width="7" style="18" customWidth="1"/>
    <col min="3074" max="3074" width="10.21875" style="18" customWidth="1"/>
    <col min="3075" max="3075" width="9.88671875" style="18" customWidth="1"/>
    <col min="3076" max="3076" width="11.6640625" style="18" customWidth="1"/>
    <col min="3077" max="3079" width="9" style="18"/>
    <col min="3080" max="3080" width="9.33203125" style="18" customWidth="1"/>
    <col min="3081" max="3081" width="11.21875" style="18" customWidth="1"/>
    <col min="3082" max="3086" width="9" style="18"/>
    <col min="3087" max="3088" width="9.109375" style="18" customWidth="1"/>
    <col min="3089" max="3089" width="9.44140625" style="18" customWidth="1"/>
    <col min="3090" max="3090" width="9" style="18"/>
    <col min="3091" max="3094" width="9.109375" style="18" customWidth="1"/>
    <col min="3095" max="3326" width="9" style="18"/>
    <col min="3327" max="3327" width="4.6640625" style="18" customWidth="1"/>
    <col min="3328" max="3328" width="6.33203125" style="18" customWidth="1"/>
    <col min="3329" max="3329" width="7" style="18" customWidth="1"/>
    <col min="3330" max="3330" width="10.21875" style="18" customWidth="1"/>
    <col min="3331" max="3331" width="9.88671875" style="18" customWidth="1"/>
    <col min="3332" max="3332" width="11.6640625" style="18" customWidth="1"/>
    <col min="3333" max="3335" width="9" style="18"/>
    <col min="3336" max="3336" width="9.33203125" style="18" customWidth="1"/>
    <col min="3337" max="3337" width="11.21875" style="18" customWidth="1"/>
    <col min="3338" max="3342" width="9" style="18"/>
    <col min="3343" max="3344" width="9.109375" style="18" customWidth="1"/>
    <col min="3345" max="3345" width="9.44140625" style="18" customWidth="1"/>
    <col min="3346" max="3346" width="9" style="18"/>
    <col min="3347" max="3350" width="9.109375" style="18" customWidth="1"/>
    <col min="3351" max="3582" width="9" style="18"/>
    <col min="3583" max="3583" width="4.6640625" style="18" customWidth="1"/>
    <col min="3584" max="3584" width="6.33203125" style="18" customWidth="1"/>
    <col min="3585" max="3585" width="7" style="18" customWidth="1"/>
    <col min="3586" max="3586" width="10.21875" style="18" customWidth="1"/>
    <col min="3587" max="3587" width="9.88671875" style="18" customWidth="1"/>
    <col min="3588" max="3588" width="11.6640625" style="18" customWidth="1"/>
    <col min="3589" max="3591" width="9" style="18"/>
    <col min="3592" max="3592" width="9.33203125" style="18" customWidth="1"/>
    <col min="3593" max="3593" width="11.21875" style="18" customWidth="1"/>
    <col min="3594" max="3598" width="9" style="18"/>
    <col min="3599" max="3600" width="9.109375" style="18" customWidth="1"/>
    <col min="3601" max="3601" width="9.44140625" style="18" customWidth="1"/>
    <col min="3602" max="3602" width="9" style="18"/>
    <col min="3603" max="3606" width="9.109375" style="18" customWidth="1"/>
    <col min="3607" max="3838" width="9" style="18"/>
    <col min="3839" max="3839" width="4.6640625" style="18" customWidth="1"/>
    <col min="3840" max="3840" width="6.33203125" style="18" customWidth="1"/>
    <col min="3841" max="3841" width="7" style="18" customWidth="1"/>
    <col min="3842" max="3842" width="10.21875" style="18" customWidth="1"/>
    <col min="3843" max="3843" width="9.88671875" style="18" customWidth="1"/>
    <col min="3844" max="3844" width="11.6640625" style="18" customWidth="1"/>
    <col min="3845" max="3847" width="9" style="18"/>
    <col min="3848" max="3848" width="9.33203125" style="18" customWidth="1"/>
    <col min="3849" max="3849" width="11.21875" style="18" customWidth="1"/>
    <col min="3850" max="3854" width="9" style="18"/>
    <col min="3855" max="3856" width="9.109375" style="18" customWidth="1"/>
    <col min="3857" max="3857" width="9.44140625" style="18" customWidth="1"/>
    <col min="3858" max="3858" width="9" style="18"/>
    <col min="3859" max="3862" width="9.109375" style="18" customWidth="1"/>
    <col min="3863" max="4094" width="9" style="18"/>
    <col min="4095" max="4095" width="4.6640625" style="18" customWidth="1"/>
    <col min="4096" max="4096" width="6.33203125" style="18" customWidth="1"/>
    <col min="4097" max="4097" width="7" style="18" customWidth="1"/>
    <col min="4098" max="4098" width="10.21875" style="18" customWidth="1"/>
    <col min="4099" max="4099" width="9.88671875" style="18" customWidth="1"/>
    <col min="4100" max="4100" width="11.6640625" style="18" customWidth="1"/>
    <col min="4101" max="4103" width="9" style="18"/>
    <col min="4104" max="4104" width="9.33203125" style="18" customWidth="1"/>
    <col min="4105" max="4105" width="11.21875" style="18" customWidth="1"/>
    <col min="4106" max="4110" width="9" style="18"/>
    <col min="4111" max="4112" width="9.109375" style="18" customWidth="1"/>
    <col min="4113" max="4113" width="9.44140625" style="18" customWidth="1"/>
    <col min="4114" max="4114" width="9" style="18"/>
    <col min="4115" max="4118" width="9.109375" style="18" customWidth="1"/>
    <col min="4119" max="4350" width="9" style="18"/>
    <col min="4351" max="4351" width="4.6640625" style="18" customWidth="1"/>
    <col min="4352" max="4352" width="6.33203125" style="18" customWidth="1"/>
    <col min="4353" max="4353" width="7" style="18" customWidth="1"/>
    <col min="4354" max="4354" width="10.21875" style="18" customWidth="1"/>
    <col min="4355" max="4355" width="9.88671875" style="18" customWidth="1"/>
    <col min="4356" max="4356" width="11.6640625" style="18" customWidth="1"/>
    <col min="4357" max="4359" width="9" style="18"/>
    <col min="4360" max="4360" width="9.33203125" style="18" customWidth="1"/>
    <col min="4361" max="4361" width="11.21875" style="18" customWidth="1"/>
    <col min="4362" max="4366" width="9" style="18"/>
    <col min="4367" max="4368" width="9.109375" style="18" customWidth="1"/>
    <col min="4369" max="4369" width="9.44140625" style="18" customWidth="1"/>
    <col min="4370" max="4370" width="9" style="18"/>
    <col min="4371" max="4374" width="9.109375" style="18" customWidth="1"/>
    <col min="4375" max="4606" width="9" style="18"/>
    <col min="4607" max="4607" width="4.6640625" style="18" customWidth="1"/>
    <col min="4608" max="4608" width="6.33203125" style="18" customWidth="1"/>
    <col min="4609" max="4609" width="7" style="18" customWidth="1"/>
    <col min="4610" max="4610" width="10.21875" style="18" customWidth="1"/>
    <col min="4611" max="4611" width="9.88671875" style="18" customWidth="1"/>
    <col min="4612" max="4612" width="11.6640625" style="18" customWidth="1"/>
    <col min="4613" max="4615" width="9" style="18"/>
    <col min="4616" max="4616" width="9.33203125" style="18" customWidth="1"/>
    <col min="4617" max="4617" width="11.21875" style="18" customWidth="1"/>
    <col min="4618" max="4622" width="9" style="18"/>
    <col min="4623" max="4624" width="9.109375" style="18" customWidth="1"/>
    <col min="4625" max="4625" width="9.44140625" style="18" customWidth="1"/>
    <col min="4626" max="4626" width="9" style="18"/>
    <col min="4627" max="4630" width="9.109375" style="18" customWidth="1"/>
    <col min="4631" max="4862" width="9" style="18"/>
    <col min="4863" max="4863" width="4.6640625" style="18" customWidth="1"/>
    <col min="4864" max="4864" width="6.33203125" style="18" customWidth="1"/>
    <col min="4865" max="4865" width="7" style="18" customWidth="1"/>
    <col min="4866" max="4866" width="10.21875" style="18" customWidth="1"/>
    <col min="4867" max="4867" width="9.88671875" style="18" customWidth="1"/>
    <col min="4868" max="4868" width="11.6640625" style="18" customWidth="1"/>
    <col min="4869" max="4871" width="9" style="18"/>
    <col min="4872" max="4872" width="9.33203125" style="18" customWidth="1"/>
    <col min="4873" max="4873" width="11.21875" style="18" customWidth="1"/>
    <col min="4874" max="4878" width="9" style="18"/>
    <col min="4879" max="4880" width="9.109375" style="18" customWidth="1"/>
    <col min="4881" max="4881" width="9.44140625" style="18" customWidth="1"/>
    <col min="4882" max="4882" width="9" style="18"/>
    <col min="4883" max="4886" width="9.109375" style="18" customWidth="1"/>
    <col min="4887" max="5118" width="9" style="18"/>
    <col min="5119" max="5119" width="4.6640625" style="18" customWidth="1"/>
    <col min="5120" max="5120" width="6.33203125" style="18" customWidth="1"/>
    <col min="5121" max="5121" width="7" style="18" customWidth="1"/>
    <col min="5122" max="5122" width="10.21875" style="18" customWidth="1"/>
    <col min="5123" max="5123" width="9.88671875" style="18" customWidth="1"/>
    <col min="5124" max="5124" width="11.6640625" style="18" customWidth="1"/>
    <col min="5125" max="5127" width="9" style="18"/>
    <col min="5128" max="5128" width="9.33203125" style="18" customWidth="1"/>
    <col min="5129" max="5129" width="11.21875" style="18" customWidth="1"/>
    <col min="5130" max="5134" width="9" style="18"/>
    <col min="5135" max="5136" width="9.109375" style="18" customWidth="1"/>
    <col min="5137" max="5137" width="9.44140625" style="18" customWidth="1"/>
    <col min="5138" max="5138" width="9" style="18"/>
    <col min="5139" max="5142" width="9.109375" style="18" customWidth="1"/>
    <col min="5143" max="5374" width="9" style="18"/>
    <col min="5375" max="5375" width="4.6640625" style="18" customWidth="1"/>
    <col min="5376" max="5376" width="6.33203125" style="18" customWidth="1"/>
    <col min="5377" max="5377" width="7" style="18" customWidth="1"/>
    <col min="5378" max="5378" width="10.21875" style="18" customWidth="1"/>
    <col min="5379" max="5379" width="9.88671875" style="18" customWidth="1"/>
    <col min="5380" max="5380" width="11.6640625" style="18" customWidth="1"/>
    <col min="5381" max="5383" width="9" style="18"/>
    <col min="5384" max="5384" width="9.33203125" style="18" customWidth="1"/>
    <col min="5385" max="5385" width="11.21875" style="18" customWidth="1"/>
    <col min="5386" max="5390" width="9" style="18"/>
    <col min="5391" max="5392" width="9.109375" style="18" customWidth="1"/>
    <col min="5393" max="5393" width="9.44140625" style="18" customWidth="1"/>
    <col min="5394" max="5394" width="9" style="18"/>
    <col min="5395" max="5398" width="9.109375" style="18" customWidth="1"/>
    <col min="5399" max="5630" width="9" style="18"/>
    <col min="5631" max="5631" width="4.6640625" style="18" customWidth="1"/>
    <col min="5632" max="5632" width="6.33203125" style="18" customWidth="1"/>
    <col min="5633" max="5633" width="7" style="18" customWidth="1"/>
    <col min="5634" max="5634" width="10.21875" style="18" customWidth="1"/>
    <col min="5635" max="5635" width="9.88671875" style="18" customWidth="1"/>
    <col min="5636" max="5636" width="11.6640625" style="18" customWidth="1"/>
    <col min="5637" max="5639" width="9" style="18"/>
    <col min="5640" max="5640" width="9.33203125" style="18" customWidth="1"/>
    <col min="5641" max="5641" width="11.21875" style="18" customWidth="1"/>
    <col min="5642" max="5646" width="9" style="18"/>
    <col min="5647" max="5648" width="9.109375" style="18" customWidth="1"/>
    <col min="5649" max="5649" width="9.44140625" style="18" customWidth="1"/>
    <col min="5650" max="5650" width="9" style="18"/>
    <col min="5651" max="5654" width="9.109375" style="18" customWidth="1"/>
    <col min="5655" max="5886" width="9" style="18"/>
    <col min="5887" max="5887" width="4.6640625" style="18" customWidth="1"/>
    <col min="5888" max="5888" width="6.33203125" style="18" customWidth="1"/>
    <col min="5889" max="5889" width="7" style="18" customWidth="1"/>
    <col min="5890" max="5890" width="10.21875" style="18" customWidth="1"/>
    <col min="5891" max="5891" width="9.88671875" style="18" customWidth="1"/>
    <col min="5892" max="5892" width="11.6640625" style="18" customWidth="1"/>
    <col min="5893" max="5895" width="9" style="18"/>
    <col min="5896" max="5896" width="9.33203125" style="18" customWidth="1"/>
    <col min="5897" max="5897" width="11.21875" style="18" customWidth="1"/>
    <col min="5898" max="5902" width="9" style="18"/>
    <col min="5903" max="5904" width="9.109375" style="18" customWidth="1"/>
    <col min="5905" max="5905" width="9.44140625" style="18" customWidth="1"/>
    <col min="5906" max="5906" width="9" style="18"/>
    <col min="5907" max="5910" width="9.109375" style="18" customWidth="1"/>
    <col min="5911" max="6142" width="9" style="18"/>
    <col min="6143" max="6143" width="4.6640625" style="18" customWidth="1"/>
    <col min="6144" max="6144" width="6.33203125" style="18" customWidth="1"/>
    <col min="6145" max="6145" width="7" style="18" customWidth="1"/>
    <col min="6146" max="6146" width="10.21875" style="18" customWidth="1"/>
    <col min="6147" max="6147" width="9.88671875" style="18" customWidth="1"/>
    <col min="6148" max="6148" width="11.6640625" style="18" customWidth="1"/>
    <col min="6149" max="6151" width="9" style="18"/>
    <col min="6152" max="6152" width="9.33203125" style="18" customWidth="1"/>
    <col min="6153" max="6153" width="11.21875" style="18" customWidth="1"/>
    <col min="6154" max="6158" width="9" style="18"/>
    <col min="6159" max="6160" width="9.109375" style="18" customWidth="1"/>
    <col min="6161" max="6161" width="9.44140625" style="18" customWidth="1"/>
    <col min="6162" max="6162" width="9" style="18"/>
    <col min="6163" max="6166" width="9.109375" style="18" customWidth="1"/>
    <col min="6167" max="6398" width="9" style="18"/>
    <col min="6399" max="6399" width="4.6640625" style="18" customWidth="1"/>
    <col min="6400" max="6400" width="6.33203125" style="18" customWidth="1"/>
    <col min="6401" max="6401" width="7" style="18" customWidth="1"/>
    <col min="6402" max="6402" width="10.21875" style="18" customWidth="1"/>
    <col min="6403" max="6403" width="9.88671875" style="18" customWidth="1"/>
    <col min="6404" max="6404" width="11.6640625" style="18" customWidth="1"/>
    <col min="6405" max="6407" width="9" style="18"/>
    <col min="6408" max="6408" width="9.33203125" style="18" customWidth="1"/>
    <col min="6409" max="6409" width="11.21875" style="18" customWidth="1"/>
    <col min="6410" max="6414" width="9" style="18"/>
    <col min="6415" max="6416" width="9.109375" style="18" customWidth="1"/>
    <col min="6417" max="6417" width="9.44140625" style="18" customWidth="1"/>
    <col min="6418" max="6418" width="9" style="18"/>
    <col min="6419" max="6422" width="9.109375" style="18" customWidth="1"/>
    <col min="6423" max="6654" width="9" style="18"/>
    <col min="6655" max="6655" width="4.6640625" style="18" customWidth="1"/>
    <col min="6656" max="6656" width="6.33203125" style="18" customWidth="1"/>
    <col min="6657" max="6657" width="7" style="18" customWidth="1"/>
    <col min="6658" max="6658" width="10.21875" style="18" customWidth="1"/>
    <col min="6659" max="6659" width="9.88671875" style="18" customWidth="1"/>
    <col min="6660" max="6660" width="11.6640625" style="18" customWidth="1"/>
    <col min="6661" max="6663" width="9" style="18"/>
    <col min="6664" max="6664" width="9.33203125" style="18" customWidth="1"/>
    <col min="6665" max="6665" width="11.21875" style="18" customWidth="1"/>
    <col min="6666" max="6670" width="9" style="18"/>
    <col min="6671" max="6672" width="9.109375" style="18" customWidth="1"/>
    <col min="6673" max="6673" width="9.44140625" style="18" customWidth="1"/>
    <col min="6674" max="6674" width="9" style="18"/>
    <col min="6675" max="6678" width="9.109375" style="18" customWidth="1"/>
    <col min="6679" max="6910" width="9" style="18"/>
    <col min="6911" max="6911" width="4.6640625" style="18" customWidth="1"/>
    <col min="6912" max="6912" width="6.33203125" style="18" customWidth="1"/>
    <col min="6913" max="6913" width="7" style="18" customWidth="1"/>
    <col min="6914" max="6914" width="10.21875" style="18" customWidth="1"/>
    <col min="6915" max="6915" width="9.88671875" style="18" customWidth="1"/>
    <col min="6916" max="6916" width="11.6640625" style="18" customWidth="1"/>
    <col min="6917" max="6919" width="9" style="18"/>
    <col min="6920" max="6920" width="9.33203125" style="18" customWidth="1"/>
    <col min="6921" max="6921" width="11.21875" style="18" customWidth="1"/>
    <col min="6922" max="6926" width="9" style="18"/>
    <col min="6927" max="6928" width="9.109375" style="18" customWidth="1"/>
    <col min="6929" max="6929" width="9.44140625" style="18" customWidth="1"/>
    <col min="6930" max="6930" width="9" style="18"/>
    <col min="6931" max="6934" width="9.109375" style="18" customWidth="1"/>
    <col min="6935" max="7166" width="9" style="18"/>
    <col min="7167" max="7167" width="4.6640625" style="18" customWidth="1"/>
    <col min="7168" max="7168" width="6.33203125" style="18" customWidth="1"/>
    <col min="7169" max="7169" width="7" style="18" customWidth="1"/>
    <col min="7170" max="7170" width="10.21875" style="18" customWidth="1"/>
    <col min="7171" max="7171" width="9.88671875" style="18" customWidth="1"/>
    <col min="7172" max="7172" width="11.6640625" style="18" customWidth="1"/>
    <col min="7173" max="7175" width="9" style="18"/>
    <col min="7176" max="7176" width="9.33203125" style="18" customWidth="1"/>
    <col min="7177" max="7177" width="11.21875" style="18" customWidth="1"/>
    <col min="7178" max="7182" width="9" style="18"/>
    <col min="7183" max="7184" width="9.109375" style="18" customWidth="1"/>
    <col min="7185" max="7185" width="9.44140625" style="18" customWidth="1"/>
    <col min="7186" max="7186" width="9" style="18"/>
    <col min="7187" max="7190" width="9.109375" style="18" customWidth="1"/>
    <col min="7191" max="7422" width="9" style="18"/>
    <col min="7423" max="7423" width="4.6640625" style="18" customWidth="1"/>
    <col min="7424" max="7424" width="6.33203125" style="18" customWidth="1"/>
    <col min="7425" max="7425" width="7" style="18" customWidth="1"/>
    <col min="7426" max="7426" width="10.21875" style="18" customWidth="1"/>
    <col min="7427" max="7427" width="9.88671875" style="18" customWidth="1"/>
    <col min="7428" max="7428" width="11.6640625" style="18" customWidth="1"/>
    <col min="7429" max="7431" width="9" style="18"/>
    <col min="7432" max="7432" width="9.33203125" style="18" customWidth="1"/>
    <col min="7433" max="7433" width="11.21875" style="18" customWidth="1"/>
    <col min="7434" max="7438" width="9" style="18"/>
    <col min="7439" max="7440" width="9.109375" style="18" customWidth="1"/>
    <col min="7441" max="7441" width="9.44140625" style="18" customWidth="1"/>
    <col min="7442" max="7442" width="9" style="18"/>
    <col min="7443" max="7446" width="9.109375" style="18" customWidth="1"/>
    <col min="7447" max="7678" width="9" style="18"/>
    <col min="7679" max="7679" width="4.6640625" style="18" customWidth="1"/>
    <col min="7680" max="7680" width="6.33203125" style="18" customWidth="1"/>
    <col min="7681" max="7681" width="7" style="18" customWidth="1"/>
    <col min="7682" max="7682" width="10.21875" style="18" customWidth="1"/>
    <col min="7683" max="7683" width="9.88671875" style="18" customWidth="1"/>
    <col min="7684" max="7684" width="11.6640625" style="18" customWidth="1"/>
    <col min="7685" max="7687" width="9" style="18"/>
    <col min="7688" max="7688" width="9.33203125" style="18" customWidth="1"/>
    <col min="7689" max="7689" width="11.21875" style="18" customWidth="1"/>
    <col min="7690" max="7694" width="9" style="18"/>
    <col min="7695" max="7696" width="9.109375" style="18" customWidth="1"/>
    <col min="7697" max="7697" width="9.44140625" style="18" customWidth="1"/>
    <col min="7698" max="7698" width="9" style="18"/>
    <col min="7699" max="7702" width="9.109375" style="18" customWidth="1"/>
    <col min="7703" max="7934" width="9" style="18"/>
    <col min="7935" max="7935" width="4.6640625" style="18" customWidth="1"/>
    <col min="7936" max="7936" width="6.33203125" style="18" customWidth="1"/>
    <col min="7937" max="7937" width="7" style="18" customWidth="1"/>
    <col min="7938" max="7938" width="10.21875" style="18" customWidth="1"/>
    <col min="7939" max="7939" width="9.88671875" style="18" customWidth="1"/>
    <col min="7940" max="7940" width="11.6640625" style="18" customWidth="1"/>
    <col min="7941" max="7943" width="9" style="18"/>
    <col min="7944" max="7944" width="9.33203125" style="18" customWidth="1"/>
    <col min="7945" max="7945" width="11.21875" style="18" customWidth="1"/>
    <col min="7946" max="7950" width="9" style="18"/>
    <col min="7951" max="7952" width="9.109375" style="18" customWidth="1"/>
    <col min="7953" max="7953" width="9.44140625" style="18" customWidth="1"/>
    <col min="7954" max="7954" width="9" style="18"/>
    <col min="7955" max="7958" width="9.109375" style="18" customWidth="1"/>
    <col min="7959" max="8190" width="9" style="18"/>
    <col min="8191" max="8191" width="4.6640625" style="18" customWidth="1"/>
    <col min="8192" max="8192" width="6.33203125" style="18" customWidth="1"/>
    <col min="8193" max="8193" width="7" style="18" customWidth="1"/>
    <col min="8194" max="8194" width="10.21875" style="18" customWidth="1"/>
    <col min="8195" max="8195" width="9.88671875" style="18" customWidth="1"/>
    <col min="8196" max="8196" width="11.6640625" style="18" customWidth="1"/>
    <col min="8197" max="8199" width="9" style="18"/>
    <col min="8200" max="8200" width="9.33203125" style="18" customWidth="1"/>
    <col min="8201" max="8201" width="11.21875" style="18" customWidth="1"/>
    <col min="8202" max="8206" width="9" style="18"/>
    <col min="8207" max="8208" width="9.109375" style="18" customWidth="1"/>
    <col min="8209" max="8209" width="9.44140625" style="18" customWidth="1"/>
    <col min="8210" max="8210" width="9" style="18"/>
    <col min="8211" max="8214" width="9.109375" style="18" customWidth="1"/>
    <col min="8215" max="8446" width="9" style="18"/>
    <col min="8447" max="8447" width="4.6640625" style="18" customWidth="1"/>
    <col min="8448" max="8448" width="6.33203125" style="18" customWidth="1"/>
    <col min="8449" max="8449" width="7" style="18" customWidth="1"/>
    <col min="8450" max="8450" width="10.21875" style="18" customWidth="1"/>
    <col min="8451" max="8451" width="9.88671875" style="18" customWidth="1"/>
    <col min="8452" max="8452" width="11.6640625" style="18" customWidth="1"/>
    <col min="8453" max="8455" width="9" style="18"/>
    <col min="8456" max="8456" width="9.33203125" style="18" customWidth="1"/>
    <col min="8457" max="8457" width="11.21875" style="18" customWidth="1"/>
    <col min="8458" max="8462" width="9" style="18"/>
    <col min="8463" max="8464" width="9.109375" style="18" customWidth="1"/>
    <col min="8465" max="8465" width="9.44140625" style="18" customWidth="1"/>
    <col min="8466" max="8466" width="9" style="18"/>
    <col min="8467" max="8470" width="9.109375" style="18" customWidth="1"/>
    <col min="8471" max="8702" width="9" style="18"/>
    <col min="8703" max="8703" width="4.6640625" style="18" customWidth="1"/>
    <col min="8704" max="8704" width="6.33203125" style="18" customWidth="1"/>
    <col min="8705" max="8705" width="7" style="18" customWidth="1"/>
    <col min="8706" max="8706" width="10.21875" style="18" customWidth="1"/>
    <col min="8707" max="8707" width="9.88671875" style="18" customWidth="1"/>
    <col min="8708" max="8708" width="11.6640625" style="18" customWidth="1"/>
    <col min="8709" max="8711" width="9" style="18"/>
    <col min="8712" max="8712" width="9.33203125" style="18" customWidth="1"/>
    <col min="8713" max="8713" width="11.21875" style="18" customWidth="1"/>
    <col min="8714" max="8718" width="9" style="18"/>
    <col min="8719" max="8720" width="9.109375" style="18" customWidth="1"/>
    <col min="8721" max="8721" width="9.44140625" style="18" customWidth="1"/>
    <col min="8722" max="8722" width="9" style="18"/>
    <col min="8723" max="8726" width="9.109375" style="18" customWidth="1"/>
    <col min="8727" max="8958" width="9" style="18"/>
    <col min="8959" max="8959" width="4.6640625" style="18" customWidth="1"/>
    <col min="8960" max="8960" width="6.33203125" style="18" customWidth="1"/>
    <col min="8961" max="8961" width="7" style="18" customWidth="1"/>
    <col min="8962" max="8962" width="10.21875" style="18" customWidth="1"/>
    <col min="8963" max="8963" width="9.88671875" style="18" customWidth="1"/>
    <col min="8964" max="8964" width="11.6640625" style="18" customWidth="1"/>
    <col min="8965" max="8967" width="9" style="18"/>
    <col min="8968" max="8968" width="9.33203125" style="18" customWidth="1"/>
    <col min="8969" max="8969" width="11.21875" style="18" customWidth="1"/>
    <col min="8970" max="8974" width="9" style="18"/>
    <col min="8975" max="8976" width="9.109375" style="18" customWidth="1"/>
    <col min="8977" max="8977" width="9.44140625" style="18" customWidth="1"/>
    <col min="8978" max="8978" width="9" style="18"/>
    <col min="8979" max="8982" width="9.109375" style="18" customWidth="1"/>
    <col min="8983" max="9214" width="9" style="18"/>
    <col min="9215" max="9215" width="4.6640625" style="18" customWidth="1"/>
    <col min="9216" max="9216" width="6.33203125" style="18" customWidth="1"/>
    <col min="9217" max="9217" width="7" style="18" customWidth="1"/>
    <col min="9218" max="9218" width="10.21875" style="18" customWidth="1"/>
    <col min="9219" max="9219" width="9.88671875" style="18" customWidth="1"/>
    <col min="9220" max="9220" width="11.6640625" style="18" customWidth="1"/>
    <col min="9221" max="9223" width="9" style="18"/>
    <col min="9224" max="9224" width="9.33203125" style="18" customWidth="1"/>
    <col min="9225" max="9225" width="11.21875" style="18" customWidth="1"/>
    <col min="9226" max="9230" width="9" style="18"/>
    <col min="9231" max="9232" width="9.109375" style="18" customWidth="1"/>
    <col min="9233" max="9233" width="9.44140625" style="18" customWidth="1"/>
    <col min="9234" max="9234" width="9" style="18"/>
    <col min="9235" max="9238" width="9.109375" style="18" customWidth="1"/>
    <col min="9239" max="9470" width="9" style="18"/>
    <col min="9471" max="9471" width="4.6640625" style="18" customWidth="1"/>
    <col min="9472" max="9472" width="6.33203125" style="18" customWidth="1"/>
    <col min="9473" max="9473" width="7" style="18" customWidth="1"/>
    <col min="9474" max="9474" width="10.21875" style="18" customWidth="1"/>
    <col min="9475" max="9475" width="9.88671875" style="18" customWidth="1"/>
    <col min="9476" max="9476" width="11.6640625" style="18" customWidth="1"/>
    <col min="9477" max="9479" width="9" style="18"/>
    <col min="9480" max="9480" width="9.33203125" style="18" customWidth="1"/>
    <col min="9481" max="9481" width="11.21875" style="18" customWidth="1"/>
    <col min="9482" max="9486" width="9" style="18"/>
    <col min="9487" max="9488" width="9.109375" style="18" customWidth="1"/>
    <col min="9489" max="9489" width="9.44140625" style="18" customWidth="1"/>
    <col min="9490" max="9490" width="9" style="18"/>
    <col min="9491" max="9494" width="9.109375" style="18" customWidth="1"/>
    <col min="9495" max="9726" width="9" style="18"/>
    <col min="9727" max="9727" width="4.6640625" style="18" customWidth="1"/>
    <col min="9728" max="9728" width="6.33203125" style="18" customWidth="1"/>
    <col min="9729" max="9729" width="7" style="18" customWidth="1"/>
    <col min="9730" max="9730" width="10.21875" style="18" customWidth="1"/>
    <col min="9731" max="9731" width="9.88671875" style="18" customWidth="1"/>
    <col min="9732" max="9732" width="11.6640625" style="18" customWidth="1"/>
    <col min="9733" max="9735" width="9" style="18"/>
    <col min="9736" max="9736" width="9.33203125" style="18" customWidth="1"/>
    <col min="9737" max="9737" width="11.21875" style="18" customWidth="1"/>
    <col min="9738" max="9742" width="9" style="18"/>
    <col min="9743" max="9744" width="9.109375" style="18" customWidth="1"/>
    <col min="9745" max="9745" width="9.44140625" style="18" customWidth="1"/>
    <col min="9746" max="9746" width="9" style="18"/>
    <col min="9747" max="9750" width="9.109375" style="18" customWidth="1"/>
    <col min="9751" max="9982" width="9" style="18"/>
    <col min="9983" max="9983" width="4.6640625" style="18" customWidth="1"/>
    <col min="9984" max="9984" width="6.33203125" style="18" customWidth="1"/>
    <col min="9985" max="9985" width="7" style="18" customWidth="1"/>
    <col min="9986" max="9986" width="10.21875" style="18" customWidth="1"/>
    <col min="9987" max="9987" width="9.88671875" style="18" customWidth="1"/>
    <col min="9988" max="9988" width="11.6640625" style="18" customWidth="1"/>
    <col min="9989" max="9991" width="9" style="18"/>
    <col min="9992" max="9992" width="9.33203125" style="18" customWidth="1"/>
    <col min="9993" max="9993" width="11.21875" style="18" customWidth="1"/>
    <col min="9994" max="9998" width="9" style="18"/>
    <col min="9999" max="10000" width="9.109375" style="18" customWidth="1"/>
    <col min="10001" max="10001" width="9.44140625" style="18" customWidth="1"/>
    <col min="10002" max="10002" width="9" style="18"/>
    <col min="10003" max="10006" width="9.109375" style="18" customWidth="1"/>
    <col min="10007" max="10238" width="9" style="18"/>
    <col min="10239" max="10239" width="4.6640625" style="18" customWidth="1"/>
    <col min="10240" max="10240" width="6.33203125" style="18" customWidth="1"/>
    <col min="10241" max="10241" width="7" style="18" customWidth="1"/>
    <col min="10242" max="10242" width="10.21875" style="18" customWidth="1"/>
    <col min="10243" max="10243" width="9.88671875" style="18" customWidth="1"/>
    <col min="10244" max="10244" width="11.6640625" style="18" customWidth="1"/>
    <col min="10245" max="10247" width="9" style="18"/>
    <col min="10248" max="10248" width="9.33203125" style="18" customWidth="1"/>
    <col min="10249" max="10249" width="11.21875" style="18" customWidth="1"/>
    <col min="10250" max="10254" width="9" style="18"/>
    <col min="10255" max="10256" width="9.109375" style="18" customWidth="1"/>
    <col min="10257" max="10257" width="9.44140625" style="18" customWidth="1"/>
    <col min="10258" max="10258" width="9" style="18"/>
    <col min="10259" max="10262" width="9.109375" style="18" customWidth="1"/>
    <col min="10263" max="10494" width="9" style="18"/>
    <col min="10495" max="10495" width="4.6640625" style="18" customWidth="1"/>
    <col min="10496" max="10496" width="6.33203125" style="18" customWidth="1"/>
    <col min="10497" max="10497" width="7" style="18" customWidth="1"/>
    <col min="10498" max="10498" width="10.21875" style="18" customWidth="1"/>
    <col min="10499" max="10499" width="9.88671875" style="18" customWidth="1"/>
    <col min="10500" max="10500" width="11.6640625" style="18" customWidth="1"/>
    <col min="10501" max="10503" width="9" style="18"/>
    <col min="10504" max="10504" width="9.33203125" style="18" customWidth="1"/>
    <col min="10505" max="10505" width="11.21875" style="18" customWidth="1"/>
    <col min="10506" max="10510" width="9" style="18"/>
    <col min="10511" max="10512" width="9.109375" style="18" customWidth="1"/>
    <col min="10513" max="10513" width="9.44140625" style="18" customWidth="1"/>
    <col min="10514" max="10514" width="9" style="18"/>
    <col min="10515" max="10518" width="9.109375" style="18" customWidth="1"/>
    <col min="10519" max="10750" width="9" style="18"/>
    <col min="10751" max="10751" width="4.6640625" style="18" customWidth="1"/>
    <col min="10752" max="10752" width="6.33203125" style="18" customWidth="1"/>
    <col min="10753" max="10753" width="7" style="18" customWidth="1"/>
    <col min="10754" max="10754" width="10.21875" style="18" customWidth="1"/>
    <col min="10755" max="10755" width="9.88671875" style="18" customWidth="1"/>
    <col min="10756" max="10756" width="11.6640625" style="18" customWidth="1"/>
    <col min="10757" max="10759" width="9" style="18"/>
    <col min="10760" max="10760" width="9.33203125" style="18" customWidth="1"/>
    <col min="10761" max="10761" width="11.21875" style="18" customWidth="1"/>
    <col min="10762" max="10766" width="9" style="18"/>
    <col min="10767" max="10768" width="9.109375" style="18" customWidth="1"/>
    <col min="10769" max="10769" width="9.44140625" style="18" customWidth="1"/>
    <col min="10770" max="10770" width="9" style="18"/>
    <col min="10771" max="10774" width="9.109375" style="18" customWidth="1"/>
    <col min="10775" max="11006" width="9" style="18"/>
    <col min="11007" max="11007" width="4.6640625" style="18" customWidth="1"/>
    <col min="11008" max="11008" width="6.33203125" style="18" customWidth="1"/>
    <col min="11009" max="11009" width="7" style="18" customWidth="1"/>
    <col min="11010" max="11010" width="10.21875" style="18" customWidth="1"/>
    <col min="11011" max="11011" width="9.88671875" style="18" customWidth="1"/>
    <col min="11012" max="11012" width="11.6640625" style="18" customWidth="1"/>
    <col min="11013" max="11015" width="9" style="18"/>
    <col min="11016" max="11016" width="9.33203125" style="18" customWidth="1"/>
    <col min="11017" max="11017" width="11.21875" style="18" customWidth="1"/>
    <col min="11018" max="11022" width="9" style="18"/>
    <col min="11023" max="11024" width="9.109375" style="18" customWidth="1"/>
    <col min="11025" max="11025" width="9.44140625" style="18" customWidth="1"/>
    <col min="11026" max="11026" width="9" style="18"/>
    <col min="11027" max="11030" width="9.109375" style="18" customWidth="1"/>
    <col min="11031" max="11262" width="9" style="18"/>
    <col min="11263" max="11263" width="4.6640625" style="18" customWidth="1"/>
    <col min="11264" max="11264" width="6.33203125" style="18" customWidth="1"/>
    <col min="11265" max="11265" width="7" style="18" customWidth="1"/>
    <col min="11266" max="11266" width="10.21875" style="18" customWidth="1"/>
    <col min="11267" max="11267" width="9.88671875" style="18" customWidth="1"/>
    <col min="11268" max="11268" width="11.6640625" style="18" customWidth="1"/>
    <col min="11269" max="11271" width="9" style="18"/>
    <col min="11272" max="11272" width="9.33203125" style="18" customWidth="1"/>
    <col min="11273" max="11273" width="11.21875" style="18" customWidth="1"/>
    <col min="11274" max="11278" width="9" style="18"/>
    <col min="11279" max="11280" width="9.109375" style="18" customWidth="1"/>
    <col min="11281" max="11281" width="9.44140625" style="18" customWidth="1"/>
    <col min="11282" max="11282" width="9" style="18"/>
    <col min="11283" max="11286" width="9.109375" style="18" customWidth="1"/>
    <col min="11287" max="11518" width="9" style="18"/>
    <col min="11519" max="11519" width="4.6640625" style="18" customWidth="1"/>
    <col min="11520" max="11520" width="6.33203125" style="18" customWidth="1"/>
    <col min="11521" max="11521" width="7" style="18" customWidth="1"/>
    <col min="11522" max="11522" width="10.21875" style="18" customWidth="1"/>
    <col min="11523" max="11523" width="9.88671875" style="18" customWidth="1"/>
    <col min="11524" max="11524" width="11.6640625" style="18" customWidth="1"/>
    <col min="11525" max="11527" width="9" style="18"/>
    <col min="11528" max="11528" width="9.33203125" style="18" customWidth="1"/>
    <col min="11529" max="11529" width="11.21875" style="18" customWidth="1"/>
    <col min="11530" max="11534" width="9" style="18"/>
    <col min="11535" max="11536" width="9.109375" style="18" customWidth="1"/>
    <col min="11537" max="11537" width="9.44140625" style="18" customWidth="1"/>
    <col min="11538" max="11538" width="9" style="18"/>
    <col min="11539" max="11542" width="9.109375" style="18" customWidth="1"/>
    <col min="11543" max="11774" width="9" style="18"/>
    <col min="11775" max="11775" width="4.6640625" style="18" customWidth="1"/>
    <col min="11776" max="11776" width="6.33203125" style="18" customWidth="1"/>
    <col min="11777" max="11777" width="7" style="18" customWidth="1"/>
    <col min="11778" max="11778" width="10.21875" style="18" customWidth="1"/>
    <col min="11779" max="11779" width="9.88671875" style="18" customWidth="1"/>
    <col min="11780" max="11780" width="11.6640625" style="18" customWidth="1"/>
    <col min="11781" max="11783" width="9" style="18"/>
    <col min="11784" max="11784" width="9.33203125" style="18" customWidth="1"/>
    <col min="11785" max="11785" width="11.21875" style="18" customWidth="1"/>
    <col min="11786" max="11790" width="9" style="18"/>
    <col min="11791" max="11792" width="9.109375" style="18" customWidth="1"/>
    <col min="11793" max="11793" width="9.44140625" style="18" customWidth="1"/>
    <col min="11794" max="11794" width="9" style="18"/>
    <col min="11795" max="11798" width="9.109375" style="18" customWidth="1"/>
    <col min="11799" max="12030" width="9" style="18"/>
    <col min="12031" max="12031" width="4.6640625" style="18" customWidth="1"/>
    <col min="12032" max="12032" width="6.33203125" style="18" customWidth="1"/>
    <col min="12033" max="12033" width="7" style="18" customWidth="1"/>
    <col min="12034" max="12034" width="10.21875" style="18" customWidth="1"/>
    <col min="12035" max="12035" width="9.88671875" style="18" customWidth="1"/>
    <col min="12036" max="12036" width="11.6640625" style="18" customWidth="1"/>
    <col min="12037" max="12039" width="9" style="18"/>
    <col min="12040" max="12040" width="9.33203125" style="18" customWidth="1"/>
    <col min="12041" max="12041" width="11.21875" style="18" customWidth="1"/>
    <col min="12042" max="12046" width="9" style="18"/>
    <col min="12047" max="12048" width="9.109375" style="18" customWidth="1"/>
    <col min="12049" max="12049" width="9.44140625" style="18" customWidth="1"/>
    <col min="12050" max="12050" width="9" style="18"/>
    <col min="12051" max="12054" width="9.109375" style="18" customWidth="1"/>
    <col min="12055" max="12286" width="9" style="18"/>
    <col min="12287" max="12287" width="4.6640625" style="18" customWidth="1"/>
    <col min="12288" max="12288" width="6.33203125" style="18" customWidth="1"/>
    <col min="12289" max="12289" width="7" style="18" customWidth="1"/>
    <col min="12290" max="12290" width="10.21875" style="18" customWidth="1"/>
    <col min="12291" max="12291" width="9.88671875" style="18" customWidth="1"/>
    <col min="12292" max="12292" width="11.6640625" style="18" customWidth="1"/>
    <col min="12293" max="12295" width="9" style="18"/>
    <col min="12296" max="12296" width="9.33203125" style="18" customWidth="1"/>
    <col min="12297" max="12297" width="11.21875" style="18" customWidth="1"/>
    <col min="12298" max="12302" width="9" style="18"/>
    <col min="12303" max="12304" width="9.109375" style="18" customWidth="1"/>
    <col min="12305" max="12305" width="9.44140625" style="18" customWidth="1"/>
    <col min="12306" max="12306" width="9" style="18"/>
    <col min="12307" max="12310" width="9.109375" style="18" customWidth="1"/>
    <col min="12311" max="12542" width="9" style="18"/>
    <col min="12543" max="12543" width="4.6640625" style="18" customWidth="1"/>
    <col min="12544" max="12544" width="6.33203125" style="18" customWidth="1"/>
    <col min="12545" max="12545" width="7" style="18" customWidth="1"/>
    <col min="12546" max="12546" width="10.21875" style="18" customWidth="1"/>
    <col min="12547" max="12547" width="9.88671875" style="18" customWidth="1"/>
    <col min="12548" max="12548" width="11.6640625" style="18" customWidth="1"/>
    <col min="12549" max="12551" width="9" style="18"/>
    <col min="12552" max="12552" width="9.33203125" style="18" customWidth="1"/>
    <col min="12553" max="12553" width="11.21875" style="18" customWidth="1"/>
    <col min="12554" max="12558" width="9" style="18"/>
    <col min="12559" max="12560" width="9.109375" style="18" customWidth="1"/>
    <col min="12561" max="12561" width="9.44140625" style="18" customWidth="1"/>
    <col min="12562" max="12562" width="9" style="18"/>
    <col min="12563" max="12566" width="9.109375" style="18" customWidth="1"/>
    <col min="12567" max="12798" width="9" style="18"/>
    <col min="12799" max="12799" width="4.6640625" style="18" customWidth="1"/>
    <col min="12800" max="12800" width="6.33203125" style="18" customWidth="1"/>
    <col min="12801" max="12801" width="7" style="18" customWidth="1"/>
    <col min="12802" max="12802" width="10.21875" style="18" customWidth="1"/>
    <col min="12803" max="12803" width="9.88671875" style="18" customWidth="1"/>
    <col min="12804" max="12804" width="11.6640625" style="18" customWidth="1"/>
    <col min="12805" max="12807" width="9" style="18"/>
    <col min="12808" max="12808" width="9.33203125" style="18" customWidth="1"/>
    <col min="12809" max="12809" width="11.21875" style="18" customWidth="1"/>
    <col min="12810" max="12814" width="9" style="18"/>
    <col min="12815" max="12816" width="9.109375" style="18" customWidth="1"/>
    <col min="12817" max="12817" width="9.44140625" style="18" customWidth="1"/>
    <col min="12818" max="12818" width="9" style="18"/>
    <col min="12819" max="12822" width="9.109375" style="18" customWidth="1"/>
    <col min="12823" max="13054" width="9" style="18"/>
    <col min="13055" max="13055" width="4.6640625" style="18" customWidth="1"/>
    <col min="13056" max="13056" width="6.33203125" style="18" customWidth="1"/>
    <col min="13057" max="13057" width="7" style="18" customWidth="1"/>
    <col min="13058" max="13058" width="10.21875" style="18" customWidth="1"/>
    <col min="13059" max="13059" width="9.88671875" style="18" customWidth="1"/>
    <col min="13060" max="13060" width="11.6640625" style="18" customWidth="1"/>
    <col min="13061" max="13063" width="9" style="18"/>
    <col min="13064" max="13064" width="9.33203125" style="18" customWidth="1"/>
    <col min="13065" max="13065" width="11.21875" style="18" customWidth="1"/>
    <col min="13066" max="13070" width="9" style="18"/>
    <col min="13071" max="13072" width="9.109375" style="18" customWidth="1"/>
    <col min="13073" max="13073" width="9.44140625" style="18" customWidth="1"/>
    <col min="13074" max="13074" width="9" style="18"/>
    <col min="13075" max="13078" width="9.109375" style="18" customWidth="1"/>
    <col min="13079" max="13310" width="9" style="18"/>
    <col min="13311" max="13311" width="4.6640625" style="18" customWidth="1"/>
    <col min="13312" max="13312" width="6.33203125" style="18" customWidth="1"/>
    <col min="13313" max="13313" width="7" style="18" customWidth="1"/>
    <col min="13314" max="13314" width="10.21875" style="18" customWidth="1"/>
    <col min="13315" max="13315" width="9.88671875" style="18" customWidth="1"/>
    <col min="13316" max="13316" width="11.6640625" style="18" customWidth="1"/>
    <col min="13317" max="13319" width="9" style="18"/>
    <col min="13320" max="13320" width="9.33203125" style="18" customWidth="1"/>
    <col min="13321" max="13321" width="11.21875" style="18" customWidth="1"/>
    <col min="13322" max="13326" width="9" style="18"/>
    <col min="13327" max="13328" width="9.109375" style="18" customWidth="1"/>
    <col min="13329" max="13329" width="9.44140625" style="18" customWidth="1"/>
    <col min="13330" max="13330" width="9" style="18"/>
    <col min="13331" max="13334" width="9.109375" style="18" customWidth="1"/>
    <col min="13335" max="13566" width="9" style="18"/>
    <col min="13567" max="13567" width="4.6640625" style="18" customWidth="1"/>
    <col min="13568" max="13568" width="6.33203125" style="18" customWidth="1"/>
    <col min="13569" max="13569" width="7" style="18" customWidth="1"/>
    <col min="13570" max="13570" width="10.21875" style="18" customWidth="1"/>
    <col min="13571" max="13571" width="9.88671875" style="18" customWidth="1"/>
    <col min="13572" max="13572" width="11.6640625" style="18" customWidth="1"/>
    <col min="13573" max="13575" width="9" style="18"/>
    <col min="13576" max="13576" width="9.33203125" style="18" customWidth="1"/>
    <col min="13577" max="13577" width="11.21875" style="18" customWidth="1"/>
    <col min="13578" max="13582" width="9" style="18"/>
    <col min="13583" max="13584" width="9.109375" style="18" customWidth="1"/>
    <col min="13585" max="13585" width="9.44140625" style="18" customWidth="1"/>
    <col min="13586" max="13586" width="9" style="18"/>
    <col min="13587" max="13590" width="9.109375" style="18" customWidth="1"/>
    <col min="13591" max="13822" width="9" style="18"/>
    <col min="13823" max="13823" width="4.6640625" style="18" customWidth="1"/>
    <col min="13824" max="13824" width="6.33203125" style="18" customWidth="1"/>
    <col min="13825" max="13825" width="7" style="18" customWidth="1"/>
    <col min="13826" max="13826" width="10.21875" style="18" customWidth="1"/>
    <col min="13827" max="13827" width="9.88671875" style="18" customWidth="1"/>
    <col min="13828" max="13828" width="11.6640625" style="18" customWidth="1"/>
    <col min="13829" max="13831" width="9" style="18"/>
    <col min="13832" max="13832" width="9.33203125" style="18" customWidth="1"/>
    <col min="13833" max="13833" width="11.21875" style="18" customWidth="1"/>
    <col min="13834" max="13838" width="9" style="18"/>
    <col min="13839" max="13840" width="9.109375" style="18" customWidth="1"/>
    <col min="13841" max="13841" width="9.44140625" style="18" customWidth="1"/>
    <col min="13842" max="13842" width="9" style="18"/>
    <col min="13843" max="13846" width="9.109375" style="18" customWidth="1"/>
    <col min="13847" max="14078" width="9" style="18"/>
    <col min="14079" max="14079" width="4.6640625" style="18" customWidth="1"/>
    <col min="14080" max="14080" width="6.33203125" style="18" customWidth="1"/>
    <col min="14081" max="14081" width="7" style="18" customWidth="1"/>
    <col min="14082" max="14082" width="10.21875" style="18" customWidth="1"/>
    <col min="14083" max="14083" width="9.88671875" style="18" customWidth="1"/>
    <col min="14084" max="14084" width="11.6640625" style="18" customWidth="1"/>
    <col min="14085" max="14087" width="9" style="18"/>
    <col min="14088" max="14088" width="9.33203125" style="18" customWidth="1"/>
    <col min="14089" max="14089" width="11.21875" style="18" customWidth="1"/>
    <col min="14090" max="14094" width="9" style="18"/>
    <col min="14095" max="14096" width="9.109375" style="18" customWidth="1"/>
    <col min="14097" max="14097" width="9.44140625" style="18" customWidth="1"/>
    <col min="14098" max="14098" width="9" style="18"/>
    <col min="14099" max="14102" width="9.109375" style="18" customWidth="1"/>
    <col min="14103" max="14334" width="9" style="18"/>
    <col min="14335" max="14335" width="4.6640625" style="18" customWidth="1"/>
    <col min="14336" max="14336" width="6.33203125" style="18" customWidth="1"/>
    <col min="14337" max="14337" width="7" style="18" customWidth="1"/>
    <col min="14338" max="14338" width="10.21875" style="18" customWidth="1"/>
    <col min="14339" max="14339" width="9.88671875" style="18" customWidth="1"/>
    <col min="14340" max="14340" width="11.6640625" style="18" customWidth="1"/>
    <col min="14341" max="14343" width="9" style="18"/>
    <col min="14344" max="14344" width="9.33203125" style="18" customWidth="1"/>
    <col min="14345" max="14345" width="11.21875" style="18" customWidth="1"/>
    <col min="14346" max="14350" width="9" style="18"/>
    <col min="14351" max="14352" width="9.109375" style="18" customWidth="1"/>
    <col min="14353" max="14353" width="9.44140625" style="18" customWidth="1"/>
    <col min="14354" max="14354" width="9" style="18"/>
    <col min="14355" max="14358" width="9.109375" style="18" customWidth="1"/>
    <col min="14359" max="14590" width="9" style="18"/>
    <col min="14591" max="14591" width="4.6640625" style="18" customWidth="1"/>
    <col min="14592" max="14592" width="6.33203125" style="18" customWidth="1"/>
    <col min="14593" max="14593" width="7" style="18" customWidth="1"/>
    <col min="14594" max="14594" width="10.21875" style="18" customWidth="1"/>
    <col min="14595" max="14595" width="9.88671875" style="18" customWidth="1"/>
    <col min="14596" max="14596" width="11.6640625" style="18" customWidth="1"/>
    <col min="14597" max="14599" width="9" style="18"/>
    <col min="14600" max="14600" width="9.33203125" style="18" customWidth="1"/>
    <col min="14601" max="14601" width="11.21875" style="18" customWidth="1"/>
    <col min="14602" max="14606" width="9" style="18"/>
    <col min="14607" max="14608" width="9.109375" style="18" customWidth="1"/>
    <col min="14609" max="14609" width="9.44140625" style="18" customWidth="1"/>
    <col min="14610" max="14610" width="9" style="18"/>
    <col min="14611" max="14614" width="9.109375" style="18" customWidth="1"/>
    <col min="14615" max="14846" width="9" style="18"/>
    <col min="14847" max="14847" width="4.6640625" style="18" customWidth="1"/>
    <col min="14848" max="14848" width="6.33203125" style="18" customWidth="1"/>
    <col min="14849" max="14849" width="7" style="18" customWidth="1"/>
    <col min="14850" max="14850" width="10.21875" style="18" customWidth="1"/>
    <col min="14851" max="14851" width="9.88671875" style="18" customWidth="1"/>
    <col min="14852" max="14852" width="11.6640625" style="18" customWidth="1"/>
    <col min="14853" max="14855" width="9" style="18"/>
    <col min="14856" max="14856" width="9.33203125" style="18" customWidth="1"/>
    <col min="14857" max="14857" width="11.21875" style="18" customWidth="1"/>
    <col min="14858" max="14862" width="9" style="18"/>
    <col min="14863" max="14864" width="9.109375" style="18" customWidth="1"/>
    <col min="14865" max="14865" width="9.44140625" style="18" customWidth="1"/>
    <col min="14866" max="14866" width="9" style="18"/>
    <col min="14867" max="14870" width="9.109375" style="18" customWidth="1"/>
    <col min="14871" max="15102" width="9" style="18"/>
    <col min="15103" max="15103" width="4.6640625" style="18" customWidth="1"/>
    <col min="15104" max="15104" width="6.33203125" style="18" customWidth="1"/>
    <col min="15105" max="15105" width="7" style="18" customWidth="1"/>
    <col min="15106" max="15106" width="10.21875" style="18" customWidth="1"/>
    <col min="15107" max="15107" width="9.88671875" style="18" customWidth="1"/>
    <col min="15108" max="15108" width="11.6640625" style="18" customWidth="1"/>
    <col min="15109" max="15111" width="9" style="18"/>
    <col min="15112" max="15112" width="9.33203125" style="18" customWidth="1"/>
    <col min="15113" max="15113" width="11.21875" style="18" customWidth="1"/>
    <col min="15114" max="15118" width="9" style="18"/>
    <col min="15119" max="15120" width="9.109375" style="18" customWidth="1"/>
    <col min="15121" max="15121" width="9.44140625" style="18" customWidth="1"/>
    <col min="15122" max="15122" width="9" style="18"/>
    <col min="15123" max="15126" width="9.109375" style="18" customWidth="1"/>
    <col min="15127" max="15358" width="9" style="18"/>
    <col min="15359" max="15359" width="4.6640625" style="18" customWidth="1"/>
    <col min="15360" max="15360" width="6.33203125" style="18" customWidth="1"/>
    <col min="15361" max="15361" width="7" style="18" customWidth="1"/>
    <col min="15362" max="15362" width="10.21875" style="18" customWidth="1"/>
    <col min="15363" max="15363" width="9.88671875" style="18" customWidth="1"/>
    <col min="15364" max="15364" width="11.6640625" style="18" customWidth="1"/>
    <col min="15365" max="15367" width="9" style="18"/>
    <col min="15368" max="15368" width="9.33203125" style="18" customWidth="1"/>
    <col min="15369" max="15369" width="11.21875" style="18" customWidth="1"/>
    <col min="15370" max="15374" width="9" style="18"/>
    <col min="15375" max="15376" width="9.109375" style="18" customWidth="1"/>
    <col min="15377" max="15377" width="9.44140625" style="18" customWidth="1"/>
    <col min="15378" max="15378" width="9" style="18"/>
    <col min="15379" max="15382" width="9.109375" style="18" customWidth="1"/>
    <col min="15383" max="15614" width="9" style="18"/>
    <col min="15615" max="15615" width="4.6640625" style="18" customWidth="1"/>
    <col min="15616" max="15616" width="6.33203125" style="18" customWidth="1"/>
    <col min="15617" max="15617" width="7" style="18" customWidth="1"/>
    <col min="15618" max="15618" width="10.21875" style="18" customWidth="1"/>
    <col min="15619" max="15619" width="9.88671875" style="18" customWidth="1"/>
    <col min="15620" max="15620" width="11.6640625" style="18" customWidth="1"/>
    <col min="15621" max="15623" width="9" style="18"/>
    <col min="15624" max="15624" width="9.33203125" style="18" customWidth="1"/>
    <col min="15625" max="15625" width="11.21875" style="18" customWidth="1"/>
    <col min="15626" max="15630" width="9" style="18"/>
    <col min="15631" max="15632" width="9.109375" style="18" customWidth="1"/>
    <col min="15633" max="15633" width="9.44140625" style="18" customWidth="1"/>
    <col min="15634" max="15634" width="9" style="18"/>
    <col min="15635" max="15638" width="9.109375" style="18" customWidth="1"/>
    <col min="15639" max="15870" width="9" style="18"/>
    <col min="15871" max="15871" width="4.6640625" style="18" customWidth="1"/>
    <col min="15872" max="15872" width="6.33203125" style="18" customWidth="1"/>
    <col min="15873" max="15873" width="7" style="18" customWidth="1"/>
    <col min="15874" max="15874" width="10.21875" style="18" customWidth="1"/>
    <col min="15875" max="15875" width="9.88671875" style="18" customWidth="1"/>
    <col min="15876" max="15876" width="11.6640625" style="18" customWidth="1"/>
    <col min="15877" max="15879" width="9" style="18"/>
    <col min="15880" max="15880" width="9.33203125" style="18" customWidth="1"/>
    <col min="15881" max="15881" width="11.21875" style="18" customWidth="1"/>
    <col min="15882" max="15886" width="9" style="18"/>
    <col min="15887" max="15888" width="9.109375" style="18" customWidth="1"/>
    <col min="15889" max="15889" width="9.44140625" style="18" customWidth="1"/>
    <col min="15890" max="15890" width="9" style="18"/>
    <col min="15891" max="15894" width="9.109375" style="18" customWidth="1"/>
    <col min="15895" max="16126" width="9" style="18"/>
    <col min="16127" max="16127" width="4.6640625" style="18" customWidth="1"/>
    <col min="16128" max="16128" width="6.33203125" style="18" customWidth="1"/>
    <col min="16129" max="16129" width="7" style="18" customWidth="1"/>
    <col min="16130" max="16130" width="10.21875" style="18" customWidth="1"/>
    <col min="16131" max="16131" width="9.88671875" style="18" customWidth="1"/>
    <col min="16132" max="16132" width="11.6640625" style="18" customWidth="1"/>
    <col min="16133" max="16135" width="9" style="18"/>
    <col min="16136" max="16136" width="9.33203125" style="18" customWidth="1"/>
    <col min="16137" max="16137" width="11.21875" style="18" customWidth="1"/>
    <col min="16138" max="16142" width="9" style="18"/>
    <col min="16143" max="16144" width="9.109375" style="18" customWidth="1"/>
    <col min="16145" max="16145" width="9.44140625" style="18" customWidth="1"/>
    <col min="16146" max="16146" width="9" style="18"/>
    <col min="16147" max="16150" width="9.109375" style="18" customWidth="1"/>
    <col min="16151" max="16384" width="9" style="18"/>
  </cols>
  <sheetData>
    <row r="2" spans="2:39" ht="14.25" customHeight="1">
      <c r="B2" s="696" t="s">
        <v>74</v>
      </c>
      <c r="C2" s="696"/>
      <c r="D2" s="696"/>
      <c r="E2" s="696"/>
      <c r="F2" s="696"/>
      <c r="G2" s="696"/>
      <c r="H2" s="696"/>
      <c r="I2" s="696"/>
      <c r="J2" s="696"/>
      <c r="K2" s="696"/>
      <c r="L2" s="696"/>
      <c r="O2" s="31" t="e">
        <f>(J13+K17)/(J7+K7)*100</f>
        <v>#DIV/0!</v>
      </c>
    </row>
    <row r="3" spans="2:39"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O3" s="31" t="e">
        <f>(J14+K18)/(J8+K8)*100</f>
        <v>#DIV/0!</v>
      </c>
    </row>
    <row r="4" spans="2:39">
      <c r="B4" s="19"/>
      <c r="C4" s="693"/>
      <c r="D4" s="693"/>
      <c r="E4" s="694"/>
      <c r="F4" s="694"/>
      <c r="G4" s="694"/>
      <c r="H4" s="694"/>
      <c r="I4" s="694"/>
      <c r="J4" s="675">
        <f>基础数据!A2</f>
        <v>45836</v>
      </c>
      <c r="K4" s="675"/>
      <c r="L4" s="26"/>
      <c r="O4" s="31" t="e">
        <f>(J15+K19)/(J9+K9)*100</f>
        <v>#DIV/0!</v>
      </c>
    </row>
    <row r="5" spans="2:39" ht="20.100000000000001" customHeight="1">
      <c r="B5" s="679" t="s">
        <v>42</v>
      </c>
      <c r="C5" s="679" t="s">
        <v>43</v>
      </c>
      <c r="D5" s="679" t="s">
        <v>44</v>
      </c>
      <c r="E5" s="679" t="s">
        <v>45</v>
      </c>
      <c r="F5" s="680" t="s">
        <v>50</v>
      </c>
      <c r="G5" s="680" t="s">
        <v>104</v>
      </c>
      <c r="H5" s="680"/>
      <c r="I5" s="680"/>
      <c r="J5" s="680" t="s">
        <v>105</v>
      </c>
      <c r="K5" s="680"/>
      <c r="L5" s="680"/>
      <c r="M5" s="695" t="s">
        <v>0</v>
      </c>
      <c r="N5" s="695" t="s">
        <v>0</v>
      </c>
      <c r="O5" s="31" t="e">
        <f>(J16+K20)/(J10+K10)*100</f>
        <v>#DIV/0!</v>
      </c>
    </row>
    <row r="6" spans="2:39" ht="20.100000000000001" customHeight="1">
      <c r="B6" s="679"/>
      <c r="C6" s="679"/>
      <c r="D6" s="679"/>
      <c r="E6" s="679"/>
      <c r="F6" s="680"/>
      <c r="G6" s="20" t="s">
        <v>6</v>
      </c>
      <c r="H6" s="20" t="s">
        <v>7</v>
      </c>
      <c r="I6" s="20" t="s">
        <v>51</v>
      </c>
      <c r="J6" s="20" t="s">
        <v>53</v>
      </c>
      <c r="K6" s="20" t="s">
        <v>54</v>
      </c>
      <c r="L6" s="20" t="s">
        <v>55</v>
      </c>
      <c r="M6" s="695"/>
      <c r="N6" s="695"/>
    </row>
    <row r="7" spans="2:39" ht="20.100000000000001" customHeight="1">
      <c r="B7" s="679" t="s">
        <v>10</v>
      </c>
      <c r="C7" s="20" t="s">
        <v>106</v>
      </c>
      <c r="D7" s="23" t="str">
        <f>IF(ISERROR((D32*F32+'2车间表1'!D7*'2车间表1'!H7)/'2车间表2'!F7),"0.00",(D32*F32+'2车间表1'!D7*'2车间表1'!H7)/'2车间表2'!F7)</f>
        <v>0.00</v>
      </c>
      <c r="E7" s="23">
        <f>E32+'2车间表1'!E7</f>
        <v>0</v>
      </c>
      <c r="F7" s="23">
        <f>F32+'2车间表1'!H7</f>
        <v>0</v>
      </c>
      <c r="G7" s="23" t="str">
        <f>IF(ISERROR(J7/F7*100),"0.00",J7/F7*100)</f>
        <v>0.00</v>
      </c>
      <c r="H7" s="23"/>
      <c r="I7" s="27" t="str">
        <f>IF(ISERROR(L7/F7*1000),"0",L7/F7*1000)</f>
        <v>0</v>
      </c>
      <c r="J7" s="23">
        <f>J32+'2车间表1'!M7</f>
        <v>0</v>
      </c>
      <c r="K7" s="23"/>
      <c r="L7" s="23">
        <f>L32+'2车间表1'!O7</f>
        <v>0</v>
      </c>
      <c r="N7" s="31" t="str">
        <f>D7</f>
        <v>0.00</v>
      </c>
      <c r="O7" s="31" t="e">
        <f>F7/E7</f>
        <v>#DIV/0!</v>
      </c>
      <c r="P7" s="31" t="e">
        <f>#REF!</f>
        <v>#REF!</v>
      </c>
      <c r="Q7" s="31" t="str">
        <f t="shared" ref="Q7:S10" si="0">G7</f>
        <v>0.00</v>
      </c>
      <c r="R7" s="31">
        <f t="shared" si="0"/>
        <v>0</v>
      </c>
      <c r="S7" s="31" t="str">
        <f t="shared" si="0"/>
        <v>0</v>
      </c>
      <c r="T7" s="31" t="e">
        <f>#REF!</f>
        <v>#REF!</v>
      </c>
      <c r="U7" s="31" t="e">
        <f>#REF!</f>
        <v>#REF!</v>
      </c>
      <c r="V7" s="31" t="e">
        <f>#REF!</f>
        <v>#REF!</v>
      </c>
      <c r="W7" s="34" t="e">
        <f>#REF!</f>
        <v>#REF!</v>
      </c>
      <c r="X7" s="31" t="e">
        <f>#REF!</f>
        <v>#REF!</v>
      </c>
      <c r="Y7" s="31" t="str">
        <f t="shared" ref="Y7:AA10" si="1">G13</f>
        <v>0.00</v>
      </c>
      <c r="Z7" s="31">
        <f t="shared" si="1"/>
        <v>0</v>
      </c>
      <c r="AA7" s="34" t="str">
        <f t="shared" si="1"/>
        <v>0</v>
      </c>
      <c r="AB7" s="31" t="e">
        <f>#REF!</f>
        <v>#REF!</v>
      </c>
      <c r="AC7" s="31">
        <f t="shared" ref="AC7:AE10" si="2">G17</f>
        <v>0</v>
      </c>
      <c r="AD7" s="31">
        <f t="shared" si="2"/>
        <v>0</v>
      </c>
      <c r="AE7" s="34">
        <f t="shared" si="2"/>
        <v>0</v>
      </c>
      <c r="AF7" s="31" t="e">
        <f>#REF!</f>
        <v>#REF!</v>
      </c>
      <c r="AG7" s="31" t="str">
        <f t="shared" ref="AG7:AI10" si="3">G21</f>
        <v>0.00</v>
      </c>
      <c r="AH7" s="31">
        <f t="shared" si="3"/>
        <v>0</v>
      </c>
      <c r="AI7" s="34" t="str">
        <f t="shared" si="3"/>
        <v>0</v>
      </c>
      <c r="AJ7" s="31" t="e">
        <f>#REF!</f>
        <v>#REF!</v>
      </c>
      <c r="AK7" s="31" t="str">
        <f>D13</f>
        <v>0.00</v>
      </c>
      <c r="AL7" s="31">
        <f>D17</f>
        <v>0</v>
      </c>
      <c r="AM7" s="31">
        <f>E21</f>
        <v>0</v>
      </c>
    </row>
    <row r="8" spans="2:39" ht="20.100000000000001" customHeight="1">
      <c r="B8" s="679"/>
      <c r="C8" s="20" t="s">
        <v>107</v>
      </c>
      <c r="D8" s="23" t="str">
        <f>IF(ISERROR((D33*F33+'2车间表1'!D8*'2车间表1'!H8)/'2车间表2'!F8),"0.00",(D33*F33+'2车间表1'!D8*'2车间表1'!H8)/'2车间表2'!F8)</f>
        <v>0.00</v>
      </c>
      <c r="E8" s="23">
        <f>E33+'2车间表1'!E8</f>
        <v>0</v>
      </c>
      <c r="F8" s="23">
        <f>F33+'2车间表1'!H8</f>
        <v>0</v>
      </c>
      <c r="G8" s="23" t="str">
        <f>IF(ISERROR(J8/F8*100),"0.00",J8/F8*100)</f>
        <v>0.00</v>
      </c>
      <c r="H8" s="23"/>
      <c r="I8" s="27" t="str">
        <f>IF(ISERROR(L8/F8*1000),"0",L8/F8*1000)</f>
        <v>0</v>
      </c>
      <c r="J8" s="23">
        <f>J33+'2车间表1'!M8</f>
        <v>0</v>
      </c>
      <c r="K8" s="23"/>
      <c r="L8" s="23">
        <f>L33+'2车间表1'!O8</f>
        <v>0</v>
      </c>
      <c r="N8" s="31" t="str">
        <f>D8</f>
        <v>0.00</v>
      </c>
      <c r="O8" s="31" t="e">
        <f>F8/E8</f>
        <v>#DIV/0!</v>
      </c>
      <c r="P8" s="31" t="e">
        <f>#REF!</f>
        <v>#REF!</v>
      </c>
      <c r="Q8" s="31" t="str">
        <f t="shared" si="0"/>
        <v>0.00</v>
      </c>
      <c r="R8" s="31">
        <f t="shared" si="0"/>
        <v>0</v>
      </c>
      <c r="S8" s="31" t="str">
        <f t="shared" si="0"/>
        <v>0</v>
      </c>
      <c r="T8" s="31" t="e">
        <f>#REF!</f>
        <v>#REF!</v>
      </c>
      <c r="U8" s="31" t="e">
        <f>#REF!</f>
        <v>#REF!</v>
      </c>
      <c r="V8" s="31" t="e">
        <f>#REF!</f>
        <v>#REF!</v>
      </c>
      <c r="W8" s="34" t="e">
        <f>#REF!</f>
        <v>#REF!</v>
      </c>
      <c r="X8" s="31" t="e">
        <f>#REF!</f>
        <v>#REF!</v>
      </c>
      <c r="Y8" s="31" t="str">
        <f t="shared" si="1"/>
        <v>0.00</v>
      </c>
      <c r="Z8" s="31">
        <f t="shared" si="1"/>
        <v>0</v>
      </c>
      <c r="AA8" s="34" t="str">
        <f t="shared" si="1"/>
        <v>0</v>
      </c>
      <c r="AB8" s="31" t="e">
        <f>#REF!</f>
        <v>#REF!</v>
      </c>
      <c r="AC8" s="31">
        <f t="shared" si="2"/>
        <v>0</v>
      </c>
      <c r="AD8" s="31">
        <f t="shared" si="2"/>
        <v>0</v>
      </c>
      <c r="AE8" s="34">
        <f t="shared" si="2"/>
        <v>0</v>
      </c>
      <c r="AF8" s="31" t="e">
        <f>#REF!</f>
        <v>#REF!</v>
      </c>
      <c r="AG8" s="31" t="str">
        <f t="shared" si="3"/>
        <v>0.00</v>
      </c>
      <c r="AH8" s="31">
        <f t="shared" si="3"/>
        <v>0</v>
      </c>
      <c r="AI8" s="34" t="str">
        <f t="shared" si="3"/>
        <v>0</v>
      </c>
      <c r="AJ8" s="31" t="e">
        <f>#REF!</f>
        <v>#REF!</v>
      </c>
      <c r="AK8" s="31" t="str">
        <f>D14</f>
        <v>0.00</v>
      </c>
      <c r="AL8" s="31">
        <f>D18</f>
        <v>0</v>
      </c>
      <c r="AM8" s="31">
        <f>E22</f>
        <v>0</v>
      </c>
    </row>
    <row r="9" spans="2:39" ht="20.100000000000001" customHeight="1">
      <c r="B9" s="679"/>
      <c r="C9" s="20" t="s">
        <v>108</v>
      </c>
      <c r="D9" s="23" t="str">
        <f>IF(ISERROR((D34*F34+'2车间表1'!D9*'2车间表1'!H9)/'2车间表2'!F9),"0.00",(D34*F34+'2车间表1'!D9*'2车间表1'!H9)/'2车间表2'!F9)</f>
        <v>0.00</v>
      </c>
      <c r="E9" s="23">
        <f>E34+'2车间表1'!E9</f>
        <v>0</v>
      </c>
      <c r="F9" s="23">
        <f>F34+'2车间表1'!H9</f>
        <v>0</v>
      </c>
      <c r="G9" s="23" t="str">
        <f>IF(ISERROR(J9/F9*100),"0.00",J9/F9*100)</f>
        <v>0.00</v>
      </c>
      <c r="H9" s="23"/>
      <c r="I9" s="27" t="str">
        <f>IF(ISERROR(L9/F9*1000),"0",L9/F9*1000)</f>
        <v>0</v>
      </c>
      <c r="J9" s="23">
        <f>J34+'2车间表1'!M9</f>
        <v>0</v>
      </c>
      <c r="K9" s="23"/>
      <c r="L9" s="23">
        <f>L34+'2车间表1'!O9</f>
        <v>0</v>
      </c>
      <c r="N9" s="31" t="str">
        <f>D9</f>
        <v>0.00</v>
      </c>
      <c r="O9" s="31" t="e">
        <f>F9/E9</f>
        <v>#DIV/0!</v>
      </c>
      <c r="P9" s="31" t="e">
        <f>#REF!</f>
        <v>#REF!</v>
      </c>
      <c r="Q9" s="31" t="str">
        <f t="shared" si="0"/>
        <v>0.00</v>
      </c>
      <c r="R9" s="31">
        <f t="shared" si="0"/>
        <v>0</v>
      </c>
      <c r="S9" s="31" t="str">
        <f t="shared" si="0"/>
        <v>0</v>
      </c>
      <c r="T9" s="31" t="e">
        <f>#REF!</f>
        <v>#REF!</v>
      </c>
      <c r="U9" s="31" t="e">
        <f>#REF!</f>
        <v>#REF!</v>
      </c>
      <c r="V9" s="31" t="e">
        <f>#REF!</f>
        <v>#REF!</v>
      </c>
      <c r="W9" s="34" t="e">
        <f>#REF!</f>
        <v>#REF!</v>
      </c>
      <c r="X9" s="31" t="e">
        <f>#REF!</f>
        <v>#REF!</v>
      </c>
      <c r="Y9" s="31" t="str">
        <f t="shared" si="1"/>
        <v>0.00</v>
      </c>
      <c r="Z9" s="31">
        <f t="shared" si="1"/>
        <v>0</v>
      </c>
      <c r="AA9" s="34" t="str">
        <f t="shared" si="1"/>
        <v>0</v>
      </c>
      <c r="AB9" s="31" t="e">
        <f>#REF!</f>
        <v>#REF!</v>
      </c>
      <c r="AC9" s="31">
        <f t="shared" si="2"/>
        <v>0</v>
      </c>
      <c r="AD9" s="31">
        <f t="shared" si="2"/>
        <v>0</v>
      </c>
      <c r="AE9" s="34">
        <f t="shared" si="2"/>
        <v>0</v>
      </c>
      <c r="AF9" s="31" t="e">
        <f>#REF!</f>
        <v>#REF!</v>
      </c>
      <c r="AG9" s="31" t="str">
        <f t="shared" si="3"/>
        <v>0.00</v>
      </c>
      <c r="AH9" s="31">
        <f t="shared" si="3"/>
        <v>0</v>
      </c>
      <c r="AI9" s="34" t="str">
        <f t="shared" si="3"/>
        <v>0</v>
      </c>
      <c r="AJ9" s="31" t="e">
        <f>#REF!</f>
        <v>#REF!</v>
      </c>
      <c r="AK9" s="31" t="str">
        <f>D15</f>
        <v>0.00</v>
      </c>
      <c r="AL9" s="31">
        <f>D19</f>
        <v>0</v>
      </c>
      <c r="AM9" s="31">
        <f>E23</f>
        <v>0</v>
      </c>
    </row>
    <row r="10" spans="2:39" ht="20.100000000000001" customHeight="1">
      <c r="B10" s="679"/>
      <c r="C10" s="20" t="s">
        <v>57</v>
      </c>
      <c r="D10" s="23" t="str">
        <f>IF(ISERROR((D7*F7+D8*F8+D9*F9)/F10),"0.00",(D7*F7+D8*F8+D9*F9)/F10)</f>
        <v>0.00</v>
      </c>
      <c r="E10" s="23">
        <f>E7+E8+E9</f>
        <v>0</v>
      </c>
      <c r="F10" s="23">
        <f>F7+F8+F9</f>
        <v>0</v>
      </c>
      <c r="G10" s="23" t="str">
        <f>IF(ISERROR(J10/F10*100),"0.00",J10/F10*100)</f>
        <v>0.00</v>
      </c>
      <c r="H10" s="23"/>
      <c r="I10" s="27" t="str">
        <f>IF(ISERROR(L10/F10*1000),"0",L10/F10*1000)</f>
        <v>0</v>
      </c>
      <c r="J10" s="23">
        <f>J7+J8+J9</f>
        <v>0</v>
      </c>
      <c r="K10" s="23"/>
      <c r="L10" s="23">
        <f>L7+L8+L9</f>
        <v>0</v>
      </c>
      <c r="N10" s="31" t="str">
        <f>D10</f>
        <v>0.00</v>
      </c>
      <c r="O10" s="31" t="e">
        <f>F10/E10</f>
        <v>#DIV/0!</v>
      </c>
      <c r="P10" s="31" t="e">
        <f>#REF!</f>
        <v>#REF!</v>
      </c>
      <c r="Q10" s="31" t="str">
        <f t="shared" si="0"/>
        <v>0.00</v>
      </c>
      <c r="R10" s="31">
        <f t="shared" si="0"/>
        <v>0</v>
      </c>
      <c r="S10" s="31" t="str">
        <f t="shared" si="0"/>
        <v>0</v>
      </c>
      <c r="T10" s="31" t="e">
        <f>#REF!</f>
        <v>#REF!</v>
      </c>
      <c r="U10" s="31" t="e">
        <f>#REF!</f>
        <v>#REF!</v>
      </c>
      <c r="V10" s="31" t="e">
        <f>#REF!</f>
        <v>#REF!</v>
      </c>
      <c r="W10" s="34" t="e">
        <f>#REF!</f>
        <v>#REF!</v>
      </c>
      <c r="X10" s="31" t="e">
        <f>#REF!</f>
        <v>#REF!</v>
      </c>
      <c r="Y10" s="31" t="str">
        <f t="shared" si="1"/>
        <v>0.00</v>
      </c>
      <c r="Z10" s="31">
        <f t="shared" si="1"/>
        <v>0</v>
      </c>
      <c r="AA10" s="34" t="str">
        <f t="shared" si="1"/>
        <v>0</v>
      </c>
      <c r="AB10" s="31" t="e">
        <f>#REF!</f>
        <v>#REF!</v>
      </c>
      <c r="AC10" s="31">
        <f t="shared" si="2"/>
        <v>0</v>
      </c>
      <c r="AD10" s="31">
        <f t="shared" si="2"/>
        <v>0</v>
      </c>
      <c r="AE10" s="34">
        <f t="shared" si="2"/>
        <v>0</v>
      </c>
      <c r="AF10" s="31" t="e">
        <f>#REF!</f>
        <v>#REF!</v>
      </c>
      <c r="AG10" s="31" t="str">
        <f t="shared" si="3"/>
        <v>0.00</v>
      </c>
      <c r="AH10" s="31">
        <f t="shared" si="3"/>
        <v>0</v>
      </c>
      <c r="AI10" s="34" t="str">
        <f t="shared" si="3"/>
        <v>0</v>
      </c>
      <c r="AJ10" s="31" t="e">
        <f>#REF!</f>
        <v>#REF!</v>
      </c>
      <c r="AK10" s="31" t="str">
        <f>D16</f>
        <v>0.00</v>
      </c>
      <c r="AL10" s="31">
        <f>D20</f>
        <v>0</v>
      </c>
      <c r="AM10" s="31">
        <f>E24</f>
        <v>0</v>
      </c>
    </row>
    <row r="11" spans="2:39" ht="20.100000000000001" customHeight="1">
      <c r="B11" s="679" t="s">
        <v>42</v>
      </c>
      <c r="C11" s="679" t="s">
        <v>43</v>
      </c>
      <c r="D11" s="680" t="s">
        <v>59</v>
      </c>
      <c r="E11" s="680"/>
      <c r="F11" s="680" t="s">
        <v>50</v>
      </c>
      <c r="G11" s="680" t="s">
        <v>80</v>
      </c>
      <c r="H11" s="680"/>
      <c r="I11" s="680"/>
      <c r="J11" s="680" t="s">
        <v>76</v>
      </c>
      <c r="K11" s="680"/>
      <c r="L11" s="680"/>
      <c r="N11" s="31"/>
      <c r="O11" s="31"/>
      <c r="P11" s="31"/>
      <c r="Q11" s="31"/>
      <c r="R11" s="31"/>
      <c r="S11" s="31"/>
      <c r="T11" s="31"/>
      <c r="U11" s="31"/>
      <c r="V11" s="31"/>
      <c r="W11" s="34"/>
      <c r="X11" s="31"/>
      <c r="Y11" s="31"/>
      <c r="Z11" s="31"/>
      <c r="AA11" s="34"/>
      <c r="AB11" s="31"/>
      <c r="AC11" s="31"/>
      <c r="AD11" s="31"/>
      <c r="AE11" s="34"/>
      <c r="AF11" s="31"/>
      <c r="AG11" s="31"/>
      <c r="AH11" s="31"/>
      <c r="AI11" s="34"/>
    </row>
    <row r="12" spans="2:39" ht="20.100000000000001" customHeight="1">
      <c r="B12" s="679"/>
      <c r="C12" s="679"/>
      <c r="D12" s="20" t="s">
        <v>63</v>
      </c>
      <c r="E12" s="20" t="s">
        <v>14</v>
      </c>
      <c r="F12" s="680"/>
      <c r="G12" s="20" t="s">
        <v>6</v>
      </c>
      <c r="H12" s="20" t="s">
        <v>7</v>
      </c>
      <c r="I12" s="20" t="s">
        <v>51</v>
      </c>
      <c r="J12" s="20" t="s">
        <v>53</v>
      </c>
      <c r="K12" s="20"/>
      <c r="L12" s="20" t="s">
        <v>55</v>
      </c>
      <c r="W12" s="34"/>
      <c r="AA12" s="34"/>
      <c r="AE12" s="34"/>
      <c r="AI12" s="34"/>
    </row>
    <row r="13" spans="2:39" ht="20.100000000000001" customHeight="1">
      <c r="B13" s="679" t="s">
        <v>23</v>
      </c>
      <c r="C13" s="20" t="s">
        <v>106</v>
      </c>
      <c r="D13" s="23" t="str">
        <f>IF(ISERROR(J13/J7*100),"0.00",J13/J7*100)</f>
        <v>0.00</v>
      </c>
      <c r="E13" s="23" t="str">
        <f>IF(ISERROR(L13/L7*100),"0.00",L13/L7*100)</f>
        <v>0.00</v>
      </c>
      <c r="F13" s="23">
        <f>F35+'2车间表1'!D14</f>
        <v>0</v>
      </c>
      <c r="G13" s="23" t="str">
        <f t="shared" ref="G13:G24" si="4">IF(ISERROR(J13/F13*100),"0.00",J13/F13*100)</f>
        <v>0.00</v>
      </c>
      <c r="H13" s="23"/>
      <c r="I13" s="27" t="str">
        <f t="shared" ref="I13:I24" si="5">IF(ISERROR(L13/F13*1000),"0",L13/F13*1000)</f>
        <v>0</v>
      </c>
      <c r="J13" s="23">
        <f>J35+'2车间表1'!I14</f>
        <v>0</v>
      </c>
      <c r="K13" s="23"/>
      <c r="L13" s="23">
        <f>L35+'2车间表1'!K14</f>
        <v>0</v>
      </c>
      <c r="N13" s="31" t="e">
        <f>#REF!/#REF!*100</f>
        <v>#REF!</v>
      </c>
      <c r="O13" s="31" t="e">
        <f t="shared" ref="O13:Q16" si="6">J13/J7*100</f>
        <v>#DIV/0!</v>
      </c>
      <c r="P13" s="31" t="e">
        <f t="shared" si="6"/>
        <v>#DIV/0!</v>
      </c>
      <c r="Q13" s="31" t="e">
        <f t="shared" si="6"/>
        <v>#DIV/0!</v>
      </c>
      <c r="S13" s="31" t="e">
        <f>P13</f>
        <v>#DIV/0!</v>
      </c>
      <c r="T13" s="31" t="e">
        <f>P17</f>
        <v>#DIV/0!</v>
      </c>
      <c r="U13" s="31" t="e">
        <f>#REF!</f>
        <v>#REF!</v>
      </c>
      <c r="V13" s="31" t="e">
        <f>P21</f>
        <v>#DIV/0!</v>
      </c>
      <c r="W13" s="31" t="e">
        <f t="shared" ref="W13:W24" si="7">S13+T13+U13+V13</f>
        <v>#DIV/0!</v>
      </c>
      <c r="X13" s="31"/>
      <c r="Y13" s="31"/>
      <c r="Z13" s="31"/>
      <c r="AA13" s="31"/>
      <c r="AB13" s="31"/>
      <c r="AE13" s="34"/>
      <c r="AI13" s="34"/>
    </row>
    <row r="14" spans="2:39" ht="20.100000000000001" customHeight="1">
      <c r="B14" s="679"/>
      <c r="C14" s="20" t="s">
        <v>107</v>
      </c>
      <c r="D14" s="23" t="str">
        <f>IF(ISERROR(J14/J8*100),"0.00",J14/J8*100)</f>
        <v>0.00</v>
      </c>
      <c r="E14" s="23" t="str">
        <f>IF(ISERROR(L14/L8*100),"0.00",L14/L8*100)</f>
        <v>0.00</v>
      </c>
      <c r="F14" s="23">
        <f>F36+'2车间表1'!D15</f>
        <v>0</v>
      </c>
      <c r="G14" s="23" t="str">
        <f t="shared" si="4"/>
        <v>0.00</v>
      </c>
      <c r="H14" s="23"/>
      <c r="I14" s="27" t="str">
        <f t="shared" si="5"/>
        <v>0</v>
      </c>
      <c r="J14" s="23">
        <f>J36+'2车间表1'!I15</f>
        <v>0</v>
      </c>
      <c r="K14" s="23"/>
      <c r="L14" s="23">
        <f>L36+'2车间表1'!K15</f>
        <v>0</v>
      </c>
      <c r="N14" s="31" t="e">
        <f>#REF!/#REF!*100</f>
        <v>#REF!</v>
      </c>
      <c r="O14" s="31" t="e">
        <f t="shared" si="6"/>
        <v>#DIV/0!</v>
      </c>
      <c r="P14" s="31" t="e">
        <f t="shared" si="6"/>
        <v>#DIV/0!</v>
      </c>
      <c r="Q14" s="31" t="e">
        <f t="shared" si="6"/>
        <v>#DIV/0!</v>
      </c>
      <c r="S14" s="31" t="e">
        <f>P14</f>
        <v>#DIV/0!</v>
      </c>
      <c r="T14" s="31" t="e">
        <f>P18</f>
        <v>#DIV/0!</v>
      </c>
      <c r="U14" s="31" t="e">
        <f>#REF!</f>
        <v>#REF!</v>
      </c>
      <c r="V14" s="31" t="e">
        <f>P22</f>
        <v>#DIV/0!</v>
      </c>
      <c r="W14" s="31" t="e">
        <f t="shared" si="7"/>
        <v>#DIV/0!</v>
      </c>
      <c r="AA14" s="34"/>
      <c r="AE14" s="34"/>
      <c r="AI14" s="34"/>
    </row>
    <row r="15" spans="2:39" ht="20.100000000000001" customHeight="1">
      <c r="B15" s="679"/>
      <c r="C15" s="20" t="s">
        <v>108</v>
      </c>
      <c r="D15" s="23" t="str">
        <f>IF(ISERROR(J15/J9*100),"0.00",J15/J9*100)</f>
        <v>0.00</v>
      </c>
      <c r="E15" s="23" t="str">
        <f>IF(ISERROR(L15/L9*100),"0.00",L15/L9*100)</f>
        <v>0.00</v>
      </c>
      <c r="F15" s="23">
        <f>F37+'2车间表1'!D16</f>
        <v>0</v>
      </c>
      <c r="G15" s="23" t="str">
        <f t="shared" si="4"/>
        <v>0.00</v>
      </c>
      <c r="H15" s="23"/>
      <c r="I15" s="27" t="str">
        <f t="shared" si="5"/>
        <v>0</v>
      </c>
      <c r="J15" s="23">
        <f>J37+'2车间表1'!I16</f>
        <v>0</v>
      </c>
      <c r="K15" s="23"/>
      <c r="L15" s="23">
        <f>L37+'2车间表1'!K16</f>
        <v>0</v>
      </c>
      <c r="N15" s="31" t="e">
        <f>#REF!/#REF!*100</f>
        <v>#REF!</v>
      </c>
      <c r="O15" s="31" t="e">
        <f t="shared" si="6"/>
        <v>#DIV/0!</v>
      </c>
      <c r="P15" s="31" t="e">
        <f t="shared" si="6"/>
        <v>#DIV/0!</v>
      </c>
      <c r="Q15" s="31" t="e">
        <f t="shared" si="6"/>
        <v>#DIV/0!</v>
      </c>
      <c r="S15" s="31" t="e">
        <f>P15</f>
        <v>#DIV/0!</v>
      </c>
      <c r="T15" s="31" t="e">
        <f>P19</f>
        <v>#DIV/0!</v>
      </c>
      <c r="U15" s="31" t="e">
        <f>#REF!</f>
        <v>#REF!</v>
      </c>
      <c r="V15" s="31" t="e">
        <f>P23</f>
        <v>#DIV/0!</v>
      </c>
      <c r="W15" s="31" t="e">
        <f t="shared" si="7"/>
        <v>#DIV/0!</v>
      </c>
      <c r="AA15" s="34"/>
      <c r="AE15" s="34"/>
      <c r="AI15" s="34"/>
    </row>
    <row r="16" spans="2:39" ht="20.100000000000001" customHeight="1">
      <c r="B16" s="679"/>
      <c r="C16" s="20" t="s">
        <v>57</v>
      </c>
      <c r="D16" s="23" t="str">
        <f>IF(ISERROR(J16/J10*100),"0.00",J16/J10*100)</f>
        <v>0.00</v>
      </c>
      <c r="E16" s="23" t="str">
        <f>IF(ISERROR(L16/L10*100),"0.00",L16/L10*100)</f>
        <v>0.00</v>
      </c>
      <c r="F16" s="23">
        <f>F13+F14+F15</f>
        <v>0</v>
      </c>
      <c r="G16" s="23" t="str">
        <f t="shared" si="4"/>
        <v>0.00</v>
      </c>
      <c r="H16" s="23"/>
      <c r="I16" s="27" t="str">
        <f t="shared" si="5"/>
        <v>0</v>
      </c>
      <c r="J16" s="23">
        <f>J13+J14+J15</f>
        <v>0</v>
      </c>
      <c r="K16" s="23"/>
      <c r="L16" s="23">
        <f>L13+L14+L15</f>
        <v>0</v>
      </c>
      <c r="N16" s="31" t="e">
        <f>#REF!/#REF!*100</f>
        <v>#REF!</v>
      </c>
      <c r="O16" s="31" t="e">
        <f t="shared" si="6"/>
        <v>#DIV/0!</v>
      </c>
      <c r="P16" s="31" t="e">
        <f t="shared" si="6"/>
        <v>#DIV/0!</v>
      </c>
      <c r="Q16" s="31" t="e">
        <f t="shared" si="6"/>
        <v>#DIV/0!</v>
      </c>
      <c r="S16" s="31" t="e">
        <f>P16</f>
        <v>#DIV/0!</v>
      </c>
      <c r="T16" s="31" t="e">
        <f>P20</f>
        <v>#DIV/0!</v>
      </c>
      <c r="U16" s="31" t="e">
        <f>#REF!</f>
        <v>#REF!</v>
      </c>
      <c r="V16" s="31" t="e">
        <f>P24</f>
        <v>#DIV/0!</v>
      </c>
      <c r="W16" s="31" t="e">
        <f t="shared" si="7"/>
        <v>#DIV/0!</v>
      </c>
      <c r="AA16" s="34"/>
      <c r="AE16" s="34"/>
      <c r="AI16" s="34"/>
    </row>
    <row r="17" spans="2:35" ht="20.100000000000001" customHeight="1">
      <c r="B17" s="679" t="s">
        <v>25</v>
      </c>
      <c r="C17" s="20" t="s">
        <v>106</v>
      </c>
      <c r="D17" s="23"/>
      <c r="E17" s="23"/>
      <c r="F17" s="23"/>
      <c r="G17" s="23"/>
      <c r="H17" s="23"/>
      <c r="I17" s="27"/>
      <c r="J17" s="23"/>
      <c r="K17" s="23"/>
      <c r="L17" s="23"/>
      <c r="N17" s="31" t="e">
        <f>#REF!/#REF!*100</f>
        <v>#REF!</v>
      </c>
      <c r="O17" s="31" t="e">
        <f t="shared" ref="O17:Q20" si="8">J17/J7*100</f>
        <v>#DIV/0!</v>
      </c>
      <c r="P17" s="31" t="e">
        <f t="shared" si="8"/>
        <v>#DIV/0!</v>
      </c>
      <c r="Q17" s="31" t="e">
        <f t="shared" si="8"/>
        <v>#DIV/0!</v>
      </c>
      <c r="S17" s="31" t="e">
        <f>N13</f>
        <v>#REF!</v>
      </c>
      <c r="T17" s="31" t="e">
        <f>N17</f>
        <v>#REF!</v>
      </c>
      <c r="U17" s="31" t="e">
        <f>#REF!</f>
        <v>#REF!</v>
      </c>
      <c r="V17" s="31" t="e">
        <f>N21</f>
        <v>#REF!</v>
      </c>
      <c r="W17" s="31" t="e">
        <f t="shared" si="7"/>
        <v>#REF!</v>
      </c>
      <c r="AA17" s="34"/>
      <c r="AE17" s="34"/>
      <c r="AI17" s="34"/>
    </row>
    <row r="18" spans="2:35" ht="20.100000000000001" customHeight="1">
      <c r="B18" s="679"/>
      <c r="C18" s="20" t="s">
        <v>107</v>
      </c>
      <c r="D18" s="23"/>
      <c r="E18" s="23"/>
      <c r="F18" s="23"/>
      <c r="G18" s="23"/>
      <c r="H18" s="23"/>
      <c r="I18" s="27"/>
      <c r="J18" s="23"/>
      <c r="K18" s="23"/>
      <c r="L18" s="23"/>
      <c r="N18" s="31" t="e">
        <f>#REF!/#REF!*100</f>
        <v>#REF!</v>
      </c>
      <c r="O18" s="31" t="e">
        <f t="shared" si="8"/>
        <v>#DIV/0!</v>
      </c>
      <c r="P18" s="31" t="e">
        <f t="shared" si="8"/>
        <v>#DIV/0!</v>
      </c>
      <c r="Q18" s="31" t="e">
        <f t="shared" si="8"/>
        <v>#DIV/0!</v>
      </c>
      <c r="S18" s="31" t="e">
        <f>N14</f>
        <v>#REF!</v>
      </c>
      <c r="T18" s="31" t="e">
        <f>N18</f>
        <v>#REF!</v>
      </c>
      <c r="U18" s="31" t="e">
        <f>#REF!</f>
        <v>#REF!</v>
      </c>
      <c r="V18" s="31" t="e">
        <f>N22</f>
        <v>#REF!</v>
      </c>
      <c r="W18" s="31" t="e">
        <f t="shared" si="7"/>
        <v>#REF!</v>
      </c>
      <c r="AA18" s="34"/>
      <c r="AE18" s="34"/>
      <c r="AI18" s="34"/>
    </row>
    <row r="19" spans="2:35" ht="20.100000000000001" customHeight="1">
      <c r="B19" s="679"/>
      <c r="C19" s="20" t="s">
        <v>108</v>
      </c>
      <c r="D19" s="23"/>
      <c r="E19" s="23"/>
      <c r="F19" s="23"/>
      <c r="G19" s="23"/>
      <c r="H19" s="23"/>
      <c r="I19" s="27"/>
      <c r="J19" s="23"/>
      <c r="K19" s="23"/>
      <c r="L19" s="23"/>
      <c r="N19" s="31" t="e">
        <f>#REF!/#REF!*100</f>
        <v>#REF!</v>
      </c>
      <c r="O19" s="31" t="e">
        <f t="shared" si="8"/>
        <v>#DIV/0!</v>
      </c>
      <c r="P19" s="31" t="e">
        <f t="shared" si="8"/>
        <v>#DIV/0!</v>
      </c>
      <c r="Q19" s="31" t="e">
        <f t="shared" si="8"/>
        <v>#DIV/0!</v>
      </c>
      <c r="S19" s="31" t="e">
        <f>N15</f>
        <v>#REF!</v>
      </c>
      <c r="T19" s="31" t="e">
        <f>N19</f>
        <v>#REF!</v>
      </c>
      <c r="U19" s="31" t="e">
        <f>#REF!</f>
        <v>#REF!</v>
      </c>
      <c r="V19" s="31" t="e">
        <f>N23</f>
        <v>#REF!</v>
      </c>
      <c r="W19" s="31" t="e">
        <f t="shared" si="7"/>
        <v>#REF!</v>
      </c>
      <c r="AA19" s="34"/>
      <c r="AE19" s="34"/>
      <c r="AI19" s="34"/>
    </row>
    <row r="20" spans="2:35" ht="20.100000000000001" customHeight="1">
      <c r="B20" s="679"/>
      <c r="C20" s="20" t="s">
        <v>57</v>
      </c>
      <c r="D20" s="23"/>
      <c r="E20" s="23"/>
      <c r="F20" s="23"/>
      <c r="G20" s="23"/>
      <c r="H20" s="23"/>
      <c r="I20" s="27"/>
      <c r="J20" s="23"/>
      <c r="K20" s="23"/>
      <c r="L20" s="23"/>
      <c r="N20" s="31" t="e">
        <f>#REF!/#REF!*100</f>
        <v>#REF!</v>
      </c>
      <c r="O20" s="31" t="e">
        <f t="shared" si="8"/>
        <v>#DIV/0!</v>
      </c>
      <c r="P20" s="31" t="e">
        <f t="shared" si="8"/>
        <v>#DIV/0!</v>
      </c>
      <c r="Q20" s="31" t="e">
        <f t="shared" si="8"/>
        <v>#DIV/0!</v>
      </c>
      <c r="S20" s="31" t="e">
        <f>N16</f>
        <v>#REF!</v>
      </c>
      <c r="T20" s="31" t="e">
        <f>N20</f>
        <v>#REF!</v>
      </c>
      <c r="U20" s="31" t="e">
        <f>#REF!</f>
        <v>#REF!</v>
      </c>
      <c r="V20" s="31" t="e">
        <f>N24</f>
        <v>#REF!</v>
      </c>
      <c r="W20" s="31" t="e">
        <f t="shared" si="7"/>
        <v>#REF!</v>
      </c>
      <c r="AA20" s="34"/>
      <c r="AE20" s="34"/>
      <c r="AI20" s="34"/>
    </row>
    <row r="21" spans="2:35" ht="20.100000000000001" customHeight="1">
      <c r="B21" s="679" t="s">
        <v>26</v>
      </c>
      <c r="C21" s="20" t="s">
        <v>106</v>
      </c>
      <c r="D21" s="23"/>
      <c r="E21" s="23"/>
      <c r="F21" s="23">
        <f>F41+'2车间表1'!D24</f>
        <v>0</v>
      </c>
      <c r="G21" s="23" t="str">
        <f t="shared" si="4"/>
        <v>0.00</v>
      </c>
      <c r="H21" s="23"/>
      <c r="I21" s="27" t="str">
        <f t="shared" si="5"/>
        <v>0</v>
      </c>
      <c r="J21" s="23">
        <f>J41+'2车间表1'!I24</f>
        <v>0</v>
      </c>
      <c r="K21" s="23"/>
      <c r="L21" s="23">
        <f>L41+'2车间表1'!K24</f>
        <v>0</v>
      </c>
      <c r="N21" s="31" t="e">
        <f>#REF!/#REF!*100</f>
        <v>#REF!</v>
      </c>
      <c r="O21" s="31" t="e">
        <f t="shared" ref="O21:Q24" si="9">J21/J7*100</f>
        <v>#DIV/0!</v>
      </c>
      <c r="P21" s="31" t="e">
        <f t="shared" si="9"/>
        <v>#DIV/0!</v>
      </c>
      <c r="Q21" s="31" t="e">
        <f t="shared" si="9"/>
        <v>#DIV/0!</v>
      </c>
      <c r="S21" s="31" t="e">
        <f>Q13</f>
        <v>#DIV/0!</v>
      </c>
      <c r="T21" s="31" t="e">
        <f>Q17</f>
        <v>#DIV/0!</v>
      </c>
      <c r="U21" s="31" t="e">
        <f>#REF!</f>
        <v>#REF!</v>
      </c>
      <c r="V21" s="31" t="e">
        <f>Q21</f>
        <v>#DIV/0!</v>
      </c>
      <c r="W21" s="31" t="e">
        <f t="shared" si="7"/>
        <v>#DIV/0!</v>
      </c>
      <c r="AA21" s="34"/>
      <c r="AE21" s="34"/>
      <c r="AI21" s="34"/>
    </row>
    <row r="22" spans="2:35" ht="20.100000000000001" customHeight="1">
      <c r="B22" s="679"/>
      <c r="C22" s="20" t="s">
        <v>107</v>
      </c>
      <c r="D22" s="23"/>
      <c r="E22" s="23"/>
      <c r="F22" s="23">
        <f>F42+'2车间表1'!D25</f>
        <v>0</v>
      </c>
      <c r="G22" s="23" t="str">
        <f t="shared" si="4"/>
        <v>0.00</v>
      </c>
      <c r="H22" s="23"/>
      <c r="I22" s="27" t="str">
        <f t="shared" si="5"/>
        <v>0</v>
      </c>
      <c r="J22" s="23">
        <f>J42+'2车间表1'!I25</f>
        <v>0</v>
      </c>
      <c r="K22" s="23"/>
      <c r="L22" s="23">
        <f>L42+'2车间表1'!K25</f>
        <v>0</v>
      </c>
      <c r="N22" s="31" t="e">
        <f>#REF!/#REF!*100</f>
        <v>#REF!</v>
      </c>
      <c r="O22" s="31" t="e">
        <f t="shared" si="9"/>
        <v>#DIV/0!</v>
      </c>
      <c r="P22" s="31" t="e">
        <f t="shared" si="9"/>
        <v>#DIV/0!</v>
      </c>
      <c r="Q22" s="31" t="e">
        <f t="shared" si="9"/>
        <v>#DIV/0!</v>
      </c>
      <c r="S22" s="31" t="e">
        <f>Q14</f>
        <v>#DIV/0!</v>
      </c>
      <c r="T22" s="31" t="e">
        <f>Q18</f>
        <v>#DIV/0!</v>
      </c>
      <c r="U22" s="31" t="e">
        <f>#REF!</f>
        <v>#REF!</v>
      </c>
      <c r="V22" s="31" t="e">
        <f>Q22</f>
        <v>#DIV/0!</v>
      </c>
      <c r="W22" s="31" t="e">
        <f t="shared" si="7"/>
        <v>#DIV/0!</v>
      </c>
      <c r="AA22" s="34"/>
      <c r="AE22" s="34"/>
      <c r="AI22" s="34"/>
    </row>
    <row r="23" spans="2:35" ht="20.100000000000001" customHeight="1">
      <c r="B23" s="679"/>
      <c r="C23" s="20" t="s">
        <v>108</v>
      </c>
      <c r="D23" s="23"/>
      <c r="E23" s="23"/>
      <c r="F23" s="23">
        <f>F43+'2车间表1'!D26</f>
        <v>0</v>
      </c>
      <c r="G23" s="23" t="str">
        <f t="shared" si="4"/>
        <v>0.00</v>
      </c>
      <c r="H23" s="23"/>
      <c r="I23" s="27" t="str">
        <f t="shared" si="5"/>
        <v>0</v>
      </c>
      <c r="J23" s="23">
        <f>J43+'2车间表1'!I26</f>
        <v>0</v>
      </c>
      <c r="K23" s="23"/>
      <c r="L23" s="23">
        <f>L43+'2车间表1'!K26</f>
        <v>0</v>
      </c>
      <c r="N23" s="31" t="e">
        <f>#REF!/#REF!*100</f>
        <v>#REF!</v>
      </c>
      <c r="O23" s="31" t="e">
        <f t="shared" si="9"/>
        <v>#DIV/0!</v>
      </c>
      <c r="P23" s="31" t="e">
        <f t="shared" si="9"/>
        <v>#DIV/0!</v>
      </c>
      <c r="Q23" s="31" t="e">
        <f t="shared" si="9"/>
        <v>#DIV/0!</v>
      </c>
      <c r="S23" s="31" t="e">
        <f>Q15</f>
        <v>#DIV/0!</v>
      </c>
      <c r="T23" s="31" t="e">
        <f>Q19</f>
        <v>#DIV/0!</v>
      </c>
      <c r="U23" s="31" t="e">
        <f>#REF!</f>
        <v>#REF!</v>
      </c>
      <c r="V23" s="31" t="e">
        <f>Q23</f>
        <v>#DIV/0!</v>
      </c>
      <c r="W23" s="31" t="e">
        <f t="shared" si="7"/>
        <v>#DIV/0!</v>
      </c>
      <c r="AA23" s="34"/>
      <c r="AE23" s="34"/>
      <c r="AI23" s="34"/>
    </row>
    <row r="24" spans="2:35" ht="20.100000000000001" customHeight="1">
      <c r="B24" s="679"/>
      <c r="C24" s="20" t="s">
        <v>57</v>
      </c>
      <c r="D24" s="23"/>
      <c r="E24" s="23"/>
      <c r="F24" s="23">
        <f>F21+F22+F23</f>
        <v>0</v>
      </c>
      <c r="G24" s="23" t="str">
        <f t="shared" si="4"/>
        <v>0.00</v>
      </c>
      <c r="H24" s="23"/>
      <c r="I24" s="27" t="str">
        <f t="shared" si="5"/>
        <v>0</v>
      </c>
      <c r="J24" s="23">
        <f>J21+J22+J23</f>
        <v>0</v>
      </c>
      <c r="K24" s="23"/>
      <c r="L24" s="23">
        <f>L21+L22+L23</f>
        <v>0</v>
      </c>
      <c r="N24" s="31" t="e">
        <f>#REF!/#REF!*100</f>
        <v>#REF!</v>
      </c>
      <c r="O24" s="31" t="e">
        <f t="shared" si="9"/>
        <v>#DIV/0!</v>
      </c>
      <c r="P24" s="31" t="e">
        <f t="shared" si="9"/>
        <v>#DIV/0!</v>
      </c>
      <c r="Q24" s="31" t="e">
        <f t="shared" si="9"/>
        <v>#DIV/0!</v>
      </c>
      <c r="S24" s="31" t="e">
        <f>Q16</f>
        <v>#DIV/0!</v>
      </c>
      <c r="T24" s="31" t="e">
        <f>Q20</f>
        <v>#DIV/0!</v>
      </c>
      <c r="U24" s="31" t="e">
        <f>#REF!</f>
        <v>#REF!</v>
      </c>
      <c r="V24" s="31" t="e">
        <f>Q24</f>
        <v>#DIV/0!</v>
      </c>
      <c r="W24" s="31" t="e">
        <f t="shared" si="7"/>
        <v>#DIV/0!</v>
      </c>
      <c r="AA24" s="34"/>
      <c r="AE24" s="34"/>
      <c r="AI24" s="34"/>
    </row>
    <row r="25" spans="2:35">
      <c r="B25" s="19"/>
      <c r="C25" s="694" t="s">
        <v>66</v>
      </c>
      <c r="D25" s="694"/>
      <c r="E25" s="694"/>
      <c r="F25" s="19"/>
      <c r="G25" s="19"/>
      <c r="H25" s="19"/>
      <c r="I25" s="19"/>
      <c r="J25" s="694"/>
      <c r="K25" s="694"/>
      <c r="L25" s="19"/>
    </row>
    <row r="26" spans="2:3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9" spans="2:35">
      <c r="D29" s="18" t="s">
        <v>68</v>
      </c>
    </row>
    <row r="30" spans="2:35">
      <c r="B30" s="679" t="s">
        <v>42</v>
      </c>
      <c r="C30" s="679" t="s">
        <v>43</v>
      </c>
      <c r="D30" s="679" t="s">
        <v>44</v>
      </c>
      <c r="E30" s="679" t="s">
        <v>45</v>
      </c>
      <c r="F30" s="680" t="s">
        <v>50</v>
      </c>
      <c r="G30" s="680" t="s">
        <v>109</v>
      </c>
      <c r="H30" s="680"/>
      <c r="I30" s="680"/>
      <c r="J30" s="680" t="s">
        <v>109</v>
      </c>
      <c r="K30" s="680"/>
      <c r="L30" s="680"/>
    </row>
    <row r="31" spans="2:35">
      <c r="B31" s="679"/>
      <c r="C31" s="679"/>
      <c r="D31" s="679"/>
      <c r="E31" s="679"/>
      <c r="F31" s="680"/>
      <c r="G31" s="20" t="s">
        <v>6</v>
      </c>
      <c r="H31" s="20" t="s">
        <v>7</v>
      </c>
      <c r="I31" s="20" t="s">
        <v>51</v>
      </c>
      <c r="J31" s="20" t="s">
        <v>53</v>
      </c>
      <c r="K31" s="20" t="s">
        <v>54</v>
      </c>
      <c r="L31" s="20" t="s">
        <v>55</v>
      </c>
    </row>
    <row r="32" spans="2:35">
      <c r="B32" s="679" t="s">
        <v>10</v>
      </c>
      <c r="C32" s="20" t="s">
        <v>81</v>
      </c>
      <c r="D32" s="573"/>
      <c r="E32" s="573"/>
      <c r="F32" s="573"/>
      <c r="G32" s="574"/>
      <c r="H32" s="574"/>
      <c r="I32" s="574"/>
      <c r="J32" s="576"/>
      <c r="K32" s="576"/>
      <c r="L32" s="577"/>
      <c r="O32" s="578"/>
      <c r="P32" s="578"/>
      <c r="Q32" s="578"/>
      <c r="R32" s="578"/>
      <c r="S32" s="578"/>
      <c r="T32" s="578"/>
      <c r="U32" s="578"/>
      <c r="V32" s="578"/>
    </row>
    <row r="33" spans="2:22">
      <c r="B33" s="679"/>
      <c r="C33" s="20" t="s">
        <v>82</v>
      </c>
      <c r="D33" s="573"/>
      <c r="E33" s="573"/>
      <c r="F33" s="573"/>
      <c r="G33" s="574"/>
      <c r="H33" s="574"/>
      <c r="I33" s="574"/>
      <c r="J33" s="576"/>
      <c r="K33" s="576"/>
      <c r="L33" s="577"/>
      <c r="O33" s="578"/>
      <c r="P33" s="578"/>
      <c r="Q33" s="578"/>
      <c r="R33" s="578"/>
      <c r="S33" s="578"/>
      <c r="T33" s="578"/>
      <c r="U33" s="578"/>
      <c r="V33" s="578"/>
    </row>
    <row r="34" spans="2:22">
      <c r="B34" s="679"/>
      <c r="C34" s="20" t="s">
        <v>83</v>
      </c>
      <c r="D34" s="573"/>
      <c r="E34" s="573"/>
      <c r="F34" s="573"/>
      <c r="G34" s="574"/>
      <c r="H34" s="574"/>
      <c r="I34" s="574"/>
      <c r="J34" s="576"/>
      <c r="K34" s="576"/>
      <c r="L34" s="577"/>
      <c r="O34" s="578"/>
      <c r="P34" s="578"/>
      <c r="Q34" s="578"/>
      <c r="R34" s="578"/>
      <c r="S34" s="578"/>
      <c r="T34" s="578"/>
      <c r="U34" s="578"/>
      <c r="V34" s="578"/>
    </row>
    <row r="35" spans="2:22">
      <c r="B35" s="679" t="s">
        <v>23</v>
      </c>
      <c r="C35" s="20" t="s">
        <v>81</v>
      </c>
      <c r="D35" s="574"/>
      <c r="E35" s="574"/>
      <c r="F35" s="573"/>
      <c r="G35" s="574"/>
      <c r="H35" s="574"/>
      <c r="I35" s="574"/>
      <c r="J35" s="576"/>
      <c r="K35" s="576"/>
      <c r="L35" s="577"/>
      <c r="O35" s="578"/>
      <c r="P35" s="578"/>
      <c r="Q35" s="578"/>
      <c r="R35" s="578"/>
      <c r="S35" s="578"/>
      <c r="T35" s="578"/>
      <c r="U35" s="578"/>
      <c r="V35" s="578"/>
    </row>
    <row r="36" spans="2:22">
      <c r="B36" s="679"/>
      <c r="C36" s="20" t="s">
        <v>82</v>
      </c>
      <c r="D36" s="574"/>
      <c r="E36" s="574"/>
      <c r="F36" s="573"/>
      <c r="G36" s="574"/>
      <c r="H36" s="574"/>
      <c r="I36" s="574"/>
      <c r="J36" s="576"/>
      <c r="K36" s="576"/>
      <c r="L36" s="577"/>
      <c r="O36" s="578"/>
      <c r="P36" s="578"/>
      <c r="Q36" s="578"/>
      <c r="R36" s="578"/>
      <c r="S36" s="578"/>
      <c r="T36" s="578"/>
      <c r="U36" s="578"/>
      <c r="V36" s="578"/>
    </row>
    <row r="37" spans="2:22">
      <c r="B37" s="679"/>
      <c r="C37" s="20" t="s">
        <v>83</v>
      </c>
      <c r="D37" s="574"/>
      <c r="E37" s="574"/>
      <c r="F37" s="573"/>
      <c r="G37" s="574"/>
      <c r="H37" s="574"/>
      <c r="I37" s="574"/>
      <c r="J37" s="576"/>
      <c r="K37" s="576"/>
      <c r="L37" s="577"/>
      <c r="O37" s="578"/>
      <c r="P37" s="578"/>
      <c r="Q37" s="578"/>
      <c r="R37" s="578"/>
      <c r="S37" s="578"/>
      <c r="T37" s="578"/>
      <c r="U37" s="578"/>
      <c r="V37" s="578"/>
    </row>
    <row r="38" spans="2:22">
      <c r="B38" s="679" t="s">
        <v>25</v>
      </c>
      <c r="C38" s="20" t="s">
        <v>81</v>
      </c>
      <c r="D38" s="574"/>
      <c r="E38" s="574"/>
      <c r="F38" s="573"/>
      <c r="G38" s="574"/>
      <c r="H38" s="574"/>
      <c r="I38" s="574"/>
      <c r="J38" s="576"/>
      <c r="K38" s="576"/>
      <c r="L38" s="577"/>
      <c r="O38" s="578"/>
      <c r="P38" s="578"/>
      <c r="Q38" s="578"/>
      <c r="R38" s="578"/>
      <c r="S38" s="578"/>
      <c r="T38" s="578"/>
      <c r="U38" s="578"/>
      <c r="V38" s="578"/>
    </row>
    <row r="39" spans="2:22">
      <c r="B39" s="679"/>
      <c r="C39" s="20" t="s">
        <v>82</v>
      </c>
      <c r="D39" s="574"/>
      <c r="E39" s="574"/>
      <c r="F39" s="573"/>
      <c r="G39" s="574"/>
      <c r="H39" s="574"/>
      <c r="I39" s="574"/>
      <c r="J39" s="576"/>
      <c r="K39" s="576"/>
      <c r="L39" s="577"/>
      <c r="O39" s="578"/>
      <c r="P39" s="578"/>
      <c r="Q39" s="578"/>
      <c r="R39" s="578"/>
      <c r="S39" s="578"/>
      <c r="T39" s="578"/>
      <c r="U39" s="578"/>
      <c r="V39" s="578"/>
    </row>
    <row r="40" spans="2:22">
      <c r="B40" s="679"/>
      <c r="C40" s="20" t="s">
        <v>83</v>
      </c>
      <c r="D40" s="574"/>
      <c r="E40" s="574"/>
      <c r="F40" s="573"/>
      <c r="G40" s="574"/>
      <c r="H40" s="574"/>
      <c r="I40" s="574"/>
      <c r="J40" s="576"/>
      <c r="K40" s="576"/>
      <c r="L40" s="577"/>
      <c r="O40" s="578"/>
      <c r="P40" s="578"/>
      <c r="Q40" s="578"/>
      <c r="R40" s="578"/>
      <c r="S40" s="578"/>
      <c r="T40" s="578"/>
      <c r="U40" s="578"/>
      <c r="V40" s="578"/>
    </row>
    <row r="41" spans="2:22">
      <c r="B41" s="679" t="s">
        <v>26</v>
      </c>
      <c r="C41" s="20" t="s">
        <v>81</v>
      </c>
      <c r="D41" s="574"/>
      <c r="E41" s="574"/>
      <c r="F41" s="573"/>
      <c r="G41" s="574"/>
      <c r="H41" s="574"/>
      <c r="I41" s="574"/>
      <c r="J41" s="576"/>
      <c r="K41" s="576"/>
      <c r="L41" s="577"/>
      <c r="O41" s="578"/>
      <c r="P41" s="578"/>
      <c r="Q41" s="578"/>
      <c r="R41" s="578"/>
      <c r="S41" s="578"/>
      <c r="T41" s="578"/>
      <c r="U41" s="578"/>
      <c r="V41" s="578"/>
    </row>
    <row r="42" spans="2:22">
      <c r="B42" s="679"/>
      <c r="C42" s="20" t="s">
        <v>82</v>
      </c>
      <c r="D42" s="574"/>
      <c r="E42" s="574"/>
      <c r="F42" s="573"/>
      <c r="G42" s="574"/>
      <c r="H42" s="574"/>
      <c r="I42" s="574"/>
      <c r="J42" s="576"/>
      <c r="K42" s="576"/>
      <c r="L42" s="577"/>
      <c r="O42" s="578"/>
      <c r="P42" s="578"/>
      <c r="Q42" s="578"/>
      <c r="R42" s="578"/>
      <c r="S42" s="578"/>
      <c r="T42" s="578"/>
      <c r="U42" s="578"/>
      <c r="V42" s="578"/>
    </row>
    <row r="43" spans="2:22">
      <c r="B43" s="679"/>
      <c r="C43" s="20" t="s">
        <v>83</v>
      </c>
      <c r="D43" s="574"/>
      <c r="E43" s="574"/>
      <c r="F43" s="573"/>
      <c r="G43" s="574"/>
      <c r="H43" s="574"/>
      <c r="I43" s="574"/>
      <c r="J43" s="576"/>
      <c r="K43" s="576"/>
      <c r="L43" s="577"/>
    </row>
    <row r="45" spans="2:22">
      <c r="B45" s="580"/>
      <c r="C45" s="580"/>
      <c r="D45" s="580"/>
      <c r="E45" s="580"/>
      <c r="F45" s="580"/>
      <c r="G45" s="580"/>
      <c r="H45" s="580"/>
      <c r="I45" s="580"/>
      <c r="J45" s="580"/>
      <c r="K45" s="580"/>
      <c r="L45" s="580"/>
      <c r="M45" s="580"/>
      <c r="N45" s="580"/>
    </row>
    <row r="46" spans="2:22">
      <c r="D46" s="18" t="s">
        <v>73</v>
      </c>
    </row>
    <row r="47" spans="2:22">
      <c r="B47" s="679" t="s">
        <v>42</v>
      </c>
      <c r="C47" s="679" t="s">
        <v>43</v>
      </c>
      <c r="D47" s="679" t="s">
        <v>44</v>
      </c>
      <c r="E47" s="679" t="s">
        <v>45</v>
      </c>
      <c r="F47" s="680" t="s">
        <v>50</v>
      </c>
      <c r="G47" s="680" t="s">
        <v>109</v>
      </c>
      <c r="H47" s="680"/>
      <c r="I47" s="680"/>
      <c r="J47" s="680" t="s">
        <v>109</v>
      </c>
      <c r="K47" s="680"/>
      <c r="L47" s="680"/>
    </row>
    <row r="48" spans="2:22">
      <c r="B48" s="679"/>
      <c r="C48" s="679"/>
      <c r="D48" s="679"/>
      <c r="E48" s="679"/>
      <c r="F48" s="680"/>
      <c r="G48" s="20" t="s">
        <v>6</v>
      </c>
      <c r="H48" s="20" t="s">
        <v>7</v>
      </c>
      <c r="I48" s="20" t="s">
        <v>51</v>
      </c>
      <c r="J48" s="20" t="s">
        <v>53</v>
      </c>
      <c r="K48" s="20" t="s">
        <v>54</v>
      </c>
      <c r="L48" s="20" t="s">
        <v>55</v>
      </c>
    </row>
    <row r="49" spans="2:12">
      <c r="B49" s="679" t="s">
        <v>10</v>
      </c>
      <c r="C49" s="20" t="s">
        <v>81</v>
      </c>
      <c r="D49" s="23" t="str">
        <f t="shared" ref="D49:F51" si="10">D7</f>
        <v>0.00</v>
      </c>
      <c r="E49" s="23">
        <f t="shared" si="10"/>
        <v>0</v>
      </c>
      <c r="F49" s="23">
        <f t="shared" si="10"/>
        <v>0</v>
      </c>
      <c r="G49" s="575"/>
      <c r="H49" s="575"/>
      <c r="I49" s="575"/>
      <c r="J49" s="28">
        <f t="shared" ref="J49:L51" si="11">J7</f>
        <v>0</v>
      </c>
      <c r="K49" s="28">
        <f t="shared" si="11"/>
        <v>0</v>
      </c>
      <c r="L49" s="32">
        <f t="shared" si="11"/>
        <v>0</v>
      </c>
    </row>
    <row r="50" spans="2:12">
      <c r="B50" s="679"/>
      <c r="C50" s="20" t="s">
        <v>82</v>
      </c>
      <c r="D50" s="23" t="str">
        <f t="shared" si="10"/>
        <v>0.00</v>
      </c>
      <c r="E50" s="23">
        <f t="shared" si="10"/>
        <v>0</v>
      </c>
      <c r="F50" s="23">
        <f t="shared" si="10"/>
        <v>0</v>
      </c>
      <c r="G50" s="575"/>
      <c r="H50" s="575"/>
      <c r="I50" s="575"/>
      <c r="J50" s="28">
        <f t="shared" si="11"/>
        <v>0</v>
      </c>
      <c r="K50" s="28">
        <f t="shared" si="11"/>
        <v>0</v>
      </c>
      <c r="L50" s="32">
        <f t="shared" si="11"/>
        <v>0</v>
      </c>
    </row>
    <row r="51" spans="2:12">
      <c r="B51" s="679"/>
      <c r="C51" s="20" t="s">
        <v>83</v>
      </c>
      <c r="D51" s="23" t="str">
        <f t="shared" si="10"/>
        <v>0.00</v>
      </c>
      <c r="E51" s="23">
        <f t="shared" si="10"/>
        <v>0</v>
      </c>
      <c r="F51" s="23">
        <f t="shared" si="10"/>
        <v>0</v>
      </c>
      <c r="G51" s="575"/>
      <c r="H51" s="575"/>
      <c r="I51" s="575"/>
      <c r="J51" s="28">
        <f t="shared" si="11"/>
        <v>0</v>
      </c>
      <c r="K51" s="28">
        <f t="shared" si="11"/>
        <v>0</v>
      </c>
      <c r="L51" s="32">
        <f t="shared" si="11"/>
        <v>0</v>
      </c>
    </row>
    <row r="52" spans="2:12">
      <c r="B52" s="679" t="s">
        <v>23</v>
      </c>
      <c r="C52" s="20" t="s">
        <v>81</v>
      </c>
      <c r="D52" s="575"/>
      <c r="E52" s="575"/>
      <c r="F52" s="23">
        <f>F13</f>
        <v>0</v>
      </c>
      <c r="G52" s="575"/>
      <c r="H52" s="575"/>
      <c r="I52" s="575"/>
      <c r="J52" s="28">
        <f t="shared" ref="J52:L54" si="12">J13</f>
        <v>0</v>
      </c>
      <c r="K52" s="28">
        <f t="shared" si="12"/>
        <v>0</v>
      </c>
      <c r="L52" s="32">
        <f t="shared" si="12"/>
        <v>0</v>
      </c>
    </row>
    <row r="53" spans="2:12">
      <c r="B53" s="679"/>
      <c r="C53" s="20" t="s">
        <v>82</v>
      </c>
      <c r="D53" s="575"/>
      <c r="E53" s="575"/>
      <c r="F53" s="23">
        <f>F14</f>
        <v>0</v>
      </c>
      <c r="G53" s="575"/>
      <c r="H53" s="575"/>
      <c r="I53" s="575"/>
      <c r="J53" s="28">
        <f t="shared" si="12"/>
        <v>0</v>
      </c>
      <c r="K53" s="28">
        <f t="shared" si="12"/>
        <v>0</v>
      </c>
      <c r="L53" s="32">
        <f t="shared" si="12"/>
        <v>0</v>
      </c>
    </row>
    <row r="54" spans="2:12">
      <c r="B54" s="679"/>
      <c r="C54" s="20" t="s">
        <v>83</v>
      </c>
      <c r="D54" s="575"/>
      <c r="E54" s="575"/>
      <c r="F54" s="23">
        <f>F15</f>
        <v>0</v>
      </c>
      <c r="G54" s="575"/>
      <c r="H54" s="575"/>
      <c r="I54" s="575"/>
      <c r="J54" s="28">
        <f t="shared" si="12"/>
        <v>0</v>
      </c>
      <c r="K54" s="28">
        <f t="shared" si="12"/>
        <v>0</v>
      </c>
      <c r="L54" s="32">
        <f t="shared" si="12"/>
        <v>0</v>
      </c>
    </row>
    <row r="55" spans="2:12">
      <c r="B55" s="679" t="s">
        <v>25</v>
      </c>
      <c r="C55" s="20" t="s">
        <v>81</v>
      </c>
      <c r="D55" s="575"/>
      <c r="E55" s="575"/>
      <c r="F55" s="23">
        <f>F17</f>
        <v>0</v>
      </c>
      <c r="G55" s="575"/>
      <c r="H55" s="575"/>
      <c r="I55" s="575"/>
      <c r="J55" s="28">
        <f t="shared" ref="J55:L57" si="13">J17</f>
        <v>0</v>
      </c>
      <c r="K55" s="28">
        <f t="shared" si="13"/>
        <v>0</v>
      </c>
      <c r="L55" s="32">
        <f t="shared" si="13"/>
        <v>0</v>
      </c>
    </row>
    <row r="56" spans="2:12">
      <c r="B56" s="679"/>
      <c r="C56" s="20" t="s">
        <v>82</v>
      </c>
      <c r="D56" s="575"/>
      <c r="E56" s="575"/>
      <c r="F56" s="23">
        <f>F18</f>
        <v>0</v>
      </c>
      <c r="G56" s="575"/>
      <c r="H56" s="575"/>
      <c r="I56" s="575"/>
      <c r="J56" s="28">
        <f t="shared" si="13"/>
        <v>0</v>
      </c>
      <c r="K56" s="28">
        <f t="shared" si="13"/>
        <v>0</v>
      </c>
      <c r="L56" s="32">
        <f t="shared" si="13"/>
        <v>0</v>
      </c>
    </row>
    <row r="57" spans="2:12">
      <c r="B57" s="679"/>
      <c r="C57" s="20" t="s">
        <v>83</v>
      </c>
      <c r="D57" s="575"/>
      <c r="E57" s="575"/>
      <c r="F57" s="23">
        <f>F19</f>
        <v>0</v>
      </c>
      <c r="G57" s="575"/>
      <c r="H57" s="575"/>
      <c r="I57" s="575"/>
      <c r="J57" s="28">
        <f t="shared" si="13"/>
        <v>0</v>
      </c>
      <c r="K57" s="28">
        <f t="shared" si="13"/>
        <v>0</v>
      </c>
      <c r="L57" s="32">
        <f t="shared" si="13"/>
        <v>0</v>
      </c>
    </row>
    <row r="58" spans="2:12">
      <c r="B58" s="679" t="s">
        <v>26</v>
      </c>
      <c r="C58" s="20" t="s">
        <v>81</v>
      </c>
      <c r="D58" s="575"/>
      <c r="E58" s="575"/>
      <c r="F58" s="23">
        <f>F21</f>
        <v>0</v>
      </c>
      <c r="G58" s="575"/>
      <c r="H58" s="575"/>
      <c r="I58" s="575"/>
      <c r="J58" s="28">
        <f t="shared" ref="J58:L60" si="14">J21</f>
        <v>0</v>
      </c>
      <c r="K58" s="28">
        <f t="shared" si="14"/>
        <v>0</v>
      </c>
      <c r="L58" s="32">
        <f t="shared" si="14"/>
        <v>0</v>
      </c>
    </row>
    <row r="59" spans="2:12">
      <c r="B59" s="679"/>
      <c r="C59" s="20" t="s">
        <v>82</v>
      </c>
      <c r="D59" s="575"/>
      <c r="E59" s="575"/>
      <c r="F59" s="23">
        <f>F22</f>
        <v>0</v>
      </c>
      <c r="G59" s="575"/>
      <c r="H59" s="575"/>
      <c r="I59" s="575"/>
      <c r="J59" s="28">
        <f t="shared" si="14"/>
        <v>0</v>
      </c>
      <c r="K59" s="28">
        <f t="shared" si="14"/>
        <v>0</v>
      </c>
      <c r="L59" s="32">
        <f t="shared" si="14"/>
        <v>0</v>
      </c>
    </row>
    <row r="60" spans="2:12">
      <c r="B60" s="679"/>
      <c r="C60" s="20" t="s">
        <v>83</v>
      </c>
      <c r="D60" s="575"/>
      <c r="E60" s="575"/>
      <c r="F60" s="23">
        <f>F23</f>
        <v>0</v>
      </c>
      <c r="G60" s="575"/>
      <c r="H60" s="575"/>
      <c r="I60" s="575"/>
      <c r="J60" s="28">
        <f t="shared" si="14"/>
        <v>0</v>
      </c>
      <c r="K60" s="28">
        <f t="shared" si="14"/>
        <v>0</v>
      </c>
      <c r="L60" s="32">
        <f t="shared" si="14"/>
        <v>0</v>
      </c>
    </row>
  </sheetData>
  <sheetProtection sheet="1" objects="1"/>
  <mergeCells count="48">
    <mergeCell ref="M5:M6"/>
    <mergeCell ref="N5:N6"/>
    <mergeCell ref="B2:L3"/>
    <mergeCell ref="D30:D31"/>
    <mergeCell ref="D47:D48"/>
    <mergeCell ref="E5:E6"/>
    <mergeCell ref="E30:E31"/>
    <mergeCell ref="E47:E48"/>
    <mergeCell ref="G30:I30"/>
    <mergeCell ref="J30:L30"/>
    <mergeCell ref="G47:I47"/>
    <mergeCell ref="J47:L47"/>
    <mergeCell ref="B35:B37"/>
    <mergeCell ref="B38:B40"/>
    <mergeCell ref="B41:B43"/>
    <mergeCell ref="B47:B48"/>
    <mergeCell ref="B52:B54"/>
    <mergeCell ref="B55:B57"/>
    <mergeCell ref="B58:B60"/>
    <mergeCell ref="C5:C6"/>
    <mergeCell ref="C11:C12"/>
    <mergeCell ref="C30:C31"/>
    <mergeCell ref="C47:C48"/>
    <mergeCell ref="B5:B6"/>
    <mergeCell ref="B7:B10"/>
    <mergeCell ref="B11:B12"/>
    <mergeCell ref="B13:B16"/>
    <mergeCell ref="B17:B20"/>
    <mergeCell ref="B21:B24"/>
    <mergeCell ref="B30:B31"/>
    <mergeCell ref="B32:B34"/>
    <mergeCell ref="J11:L11"/>
    <mergeCell ref="C25:E25"/>
    <mergeCell ref="J25:K25"/>
    <mergeCell ref="F11:F12"/>
    <mergeCell ref="B49:B51"/>
    <mergeCell ref="F30:F31"/>
    <mergeCell ref="F47:F48"/>
    <mergeCell ref="C4:D4"/>
    <mergeCell ref="E4:F4"/>
    <mergeCell ref="G4:I4"/>
    <mergeCell ref="D11:E11"/>
    <mergeCell ref="G11:I11"/>
    <mergeCell ref="J4:K4"/>
    <mergeCell ref="G5:I5"/>
    <mergeCell ref="J5:L5"/>
    <mergeCell ref="D5:D6"/>
    <mergeCell ref="F5:F6"/>
  </mergeCells>
  <phoneticPr fontId="54" type="noConversion"/>
  <printOptions horizontalCentered="1" verticalCentered="1"/>
  <pageMargins left="0" right="0" top="0" bottom="0" header="0" footer="0"/>
  <pageSetup paperSize="9" orientation="landscape" horizontalDpi="180" verticalDpi="18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indexed="12"/>
  </sheetPr>
  <dimension ref="B2:AM60"/>
  <sheetViews>
    <sheetView workbookViewId="0">
      <selection activeCell="AO13" sqref="AO13"/>
    </sheetView>
  </sheetViews>
  <sheetFormatPr defaultColWidth="9" defaultRowHeight="15.6"/>
  <cols>
    <col min="1" max="1" width="4.6640625" style="18" customWidth="1"/>
    <col min="2" max="2" width="6.33203125" style="18" customWidth="1"/>
    <col min="3" max="3" width="7" style="18" customWidth="1"/>
    <col min="4" max="4" width="10.21875" style="18" customWidth="1"/>
    <col min="5" max="5" width="9.88671875" style="18" customWidth="1"/>
    <col min="6" max="6" width="11.6640625" style="18" customWidth="1"/>
    <col min="7" max="8" width="9" style="18"/>
    <col min="9" max="9" width="9.33203125" style="18" customWidth="1"/>
    <col min="10" max="11" width="9.21875" style="18"/>
    <col min="12" max="12" width="11.44140625" style="18" customWidth="1"/>
    <col min="13" max="13" width="9" style="18"/>
    <col min="14" max="16" width="9" style="18" hidden="1" customWidth="1"/>
    <col min="17" max="17" width="9.77734375" style="18" hidden="1" customWidth="1"/>
    <col min="18" max="18" width="9" style="18" hidden="1" customWidth="1"/>
    <col min="19" max="19" width="9.109375" style="18" hidden="1" customWidth="1"/>
    <col min="20" max="20" width="9.44140625" style="18" hidden="1" customWidth="1"/>
    <col min="21" max="21" width="10.77734375" style="18" hidden="1" customWidth="1"/>
    <col min="22" max="22" width="10.21875" style="18" hidden="1" customWidth="1"/>
    <col min="23" max="39" width="9" style="18" hidden="1" customWidth="1"/>
    <col min="40" max="254" width="9" style="18"/>
    <col min="255" max="255" width="4.6640625" style="18" customWidth="1"/>
    <col min="256" max="256" width="6.33203125" style="18" customWidth="1"/>
    <col min="257" max="257" width="7" style="18" customWidth="1"/>
    <col min="258" max="258" width="10.21875" style="18" customWidth="1"/>
    <col min="259" max="259" width="9.88671875" style="18" customWidth="1"/>
    <col min="260" max="260" width="11.6640625" style="18" customWidth="1"/>
    <col min="261" max="263" width="9" style="18"/>
    <col min="264" max="264" width="9.33203125" style="18" customWidth="1"/>
    <col min="265" max="265" width="11.21875" style="18" customWidth="1"/>
    <col min="266" max="267" width="9" style="18"/>
    <col min="268" max="268" width="10.109375" style="18" customWidth="1"/>
    <col min="269" max="272" width="9" style="18"/>
    <col min="273" max="273" width="9.77734375" style="18" customWidth="1"/>
    <col min="274" max="274" width="9" style="18"/>
    <col min="275" max="275" width="9.109375" style="18" customWidth="1"/>
    <col min="276" max="276" width="9.44140625" style="18" customWidth="1"/>
    <col min="277" max="277" width="10.77734375" style="18" customWidth="1"/>
    <col min="278" max="278" width="10.21875" style="18" customWidth="1"/>
    <col min="279" max="510" width="9" style="18"/>
    <col min="511" max="511" width="4.6640625" style="18" customWidth="1"/>
    <col min="512" max="512" width="6.33203125" style="18" customWidth="1"/>
    <col min="513" max="513" width="7" style="18" customWidth="1"/>
    <col min="514" max="514" width="10.21875" style="18" customWidth="1"/>
    <col min="515" max="515" width="9.88671875" style="18" customWidth="1"/>
    <col min="516" max="516" width="11.6640625" style="18" customWidth="1"/>
    <col min="517" max="519" width="9" style="18"/>
    <col min="520" max="520" width="9.33203125" style="18" customWidth="1"/>
    <col min="521" max="521" width="11.21875" style="18" customWidth="1"/>
    <col min="522" max="523" width="9" style="18"/>
    <col min="524" max="524" width="10.109375" style="18" customWidth="1"/>
    <col min="525" max="528" width="9" style="18"/>
    <col min="529" max="529" width="9.77734375" style="18" customWidth="1"/>
    <col min="530" max="530" width="9" style="18"/>
    <col min="531" max="531" width="9.109375" style="18" customWidth="1"/>
    <col min="532" max="532" width="9.44140625" style="18" customWidth="1"/>
    <col min="533" max="533" width="10.77734375" style="18" customWidth="1"/>
    <col min="534" max="534" width="10.21875" style="18" customWidth="1"/>
    <col min="535" max="766" width="9" style="18"/>
    <col min="767" max="767" width="4.6640625" style="18" customWidth="1"/>
    <col min="768" max="768" width="6.33203125" style="18" customWidth="1"/>
    <col min="769" max="769" width="7" style="18" customWidth="1"/>
    <col min="770" max="770" width="10.21875" style="18" customWidth="1"/>
    <col min="771" max="771" width="9.88671875" style="18" customWidth="1"/>
    <col min="772" max="772" width="11.6640625" style="18" customWidth="1"/>
    <col min="773" max="775" width="9" style="18"/>
    <col min="776" max="776" width="9.33203125" style="18" customWidth="1"/>
    <col min="777" max="777" width="11.21875" style="18" customWidth="1"/>
    <col min="778" max="779" width="9" style="18"/>
    <col min="780" max="780" width="10.109375" style="18" customWidth="1"/>
    <col min="781" max="784" width="9" style="18"/>
    <col min="785" max="785" width="9.77734375" style="18" customWidth="1"/>
    <col min="786" max="786" width="9" style="18"/>
    <col min="787" max="787" width="9.109375" style="18" customWidth="1"/>
    <col min="788" max="788" width="9.44140625" style="18" customWidth="1"/>
    <col min="789" max="789" width="10.77734375" style="18" customWidth="1"/>
    <col min="790" max="790" width="10.21875" style="18" customWidth="1"/>
    <col min="791" max="1022" width="9" style="18"/>
    <col min="1023" max="1023" width="4.6640625" style="18" customWidth="1"/>
    <col min="1024" max="1024" width="6.33203125" style="18" customWidth="1"/>
    <col min="1025" max="1025" width="7" style="18" customWidth="1"/>
    <col min="1026" max="1026" width="10.21875" style="18" customWidth="1"/>
    <col min="1027" max="1027" width="9.88671875" style="18" customWidth="1"/>
    <col min="1028" max="1028" width="11.6640625" style="18" customWidth="1"/>
    <col min="1029" max="1031" width="9" style="18"/>
    <col min="1032" max="1032" width="9.33203125" style="18" customWidth="1"/>
    <col min="1033" max="1033" width="11.21875" style="18" customWidth="1"/>
    <col min="1034" max="1035" width="9" style="18"/>
    <col min="1036" max="1036" width="10.109375" style="18" customWidth="1"/>
    <col min="1037" max="1040" width="9" style="18"/>
    <col min="1041" max="1041" width="9.77734375" style="18" customWidth="1"/>
    <col min="1042" max="1042" width="9" style="18"/>
    <col min="1043" max="1043" width="9.109375" style="18" customWidth="1"/>
    <col min="1044" max="1044" width="9.44140625" style="18" customWidth="1"/>
    <col min="1045" max="1045" width="10.77734375" style="18" customWidth="1"/>
    <col min="1046" max="1046" width="10.21875" style="18" customWidth="1"/>
    <col min="1047" max="1278" width="9" style="18"/>
    <col min="1279" max="1279" width="4.6640625" style="18" customWidth="1"/>
    <col min="1280" max="1280" width="6.33203125" style="18" customWidth="1"/>
    <col min="1281" max="1281" width="7" style="18" customWidth="1"/>
    <col min="1282" max="1282" width="10.21875" style="18" customWidth="1"/>
    <col min="1283" max="1283" width="9.88671875" style="18" customWidth="1"/>
    <col min="1284" max="1284" width="11.6640625" style="18" customWidth="1"/>
    <col min="1285" max="1287" width="9" style="18"/>
    <col min="1288" max="1288" width="9.33203125" style="18" customWidth="1"/>
    <col min="1289" max="1289" width="11.21875" style="18" customWidth="1"/>
    <col min="1290" max="1291" width="9" style="18"/>
    <col min="1292" max="1292" width="10.109375" style="18" customWidth="1"/>
    <col min="1293" max="1296" width="9" style="18"/>
    <col min="1297" max="1297" width="9.77734375" style="18" customWidth="1"/>
    <col min="1298" max="1298" width="9" style="18"/>
    <col min="1299" max="1299" width="9.109375" style="18" customWidth="1"/>
    <col min="1300" max="1300" width="9.44140625" style="18" customWidth="1"/>
    <col min="1301" max="1301" width="10.77734375" style="18" customWidth="1"/>
    <col min="1302" max="1302" width="10.21875" style="18" customWidth="1"/>
    <col min="1303" max="1534" width="9" style="18"/>
    <col min="1535" max="1535" width="4.6640625" style="18" customWidth="1"/>
    <col min="1536" max="1536" width="6.33203125" style="18" customWidth="1"/>
    <col min="1537" max="1537" width="7" style="18" customWidth="1"/>
    <col min="1538" max="1538" width="10.21875" style="18" customWidth="1"/>
    <col min="1539" max="1539" width="9.88671875" style="18" customWidth="1"/>
    <col min="1540" max="1540" width="11.6640625" style="18" customWidth="1"/>
    <col min="1541" max="1543" width="9" style="18"/>
    <col min="1544" max="1544" width="9.33203125" style="18" customWidth="1"/>
    <col min="1545" max="1545" width="11.21875" style="18" customWidth="1"/>
    <col min="1546" max="1547" width="9" style="18"/>
    <col min="1548" max="1548" width="10.109375" style="18" customWidth="1"/>
    <col min="1549" max="1552" width="9" style="18"/>
    <col min="1553" max="1553" width="9.77734375" style="18" customWidth="1"/>
    <col min="1554" max="1554" width="9" style="18"/>
    <col min="1555" max="1555" width="9.109375" style="18" customWidth="1"/>
    <col min="1556" max="1556" width="9.44140625" style="18" customWidth="1"/>
    <col min="1557" max="1557" width="10.77734375" style="18" customWidth="1"/>
    <col min="1558" max="1558" width="10.21875" style="18" customWidth="1"/>
    <col min="1559" max="1790" width="9" style="18"/>
    <col min="1791" max="1791" width="4.6640625" style="18" customWidth="1"/>
    <col min="1792" max="1792" width="6.33203125" style="18" customWidth="1"/>
    <col min="1793" max="1793" width="7" style="18" customWidth="1"/>
    <col min="1794" max="1794" width="10.21875" style="18" customWidth="1"/>
    <col min="1795" max="1795" width="9.88671875" style="18" customWidth="1"/>
    <col min="1796" max="1796" width="11.6640625" style="18" customWidth="1"/>
    <col min="1797" max="1799" width="9" style="18"/>
    <col min="1800" max="1800" width="9.33203125" style="18" customWidth="1"/>
    <col min="1801" max="1801" width="11.21875" style="18" customWidth="1"/>
    <col min="1802" max="1803" width="9" style="18"/>
    <col min="1804" max="1804" width="10.109375" style="18" customWidth="1"/>
    <col min="1805" max="1808" width="9" style="18"/>
    <col min="1809" max="1809" width="9.77734375" style="18" customWidth="1"/>
    <col min="1810" max="1810" width="9" style="18"/>
    <col min="1811" max="1811" width="9.109375" style="18" customWidth="1"/>
    <col min="1812" max="1812" width="9.44140625" style="18" customWidth="1"/>
    <col min="1813" max="1813" width="10.77734375" style="18" customWidth="1"/>
    <col min="1814" max="1814" width="10.21875" style="18" customWidth="1"/>
    <col min="1815" max="2046" width="9" style="18"/>
    <col min="2047" max="2047" width="4.6640625" style="18" customWidth="1"/>
    <col min="2048" max="2048" width="6.33203125" style="18" customWidth="1"/>
    <col min="2049" max="2049" width="7" style="18" customWidth="1"/>
    <col min="2050" max="2050" width="10.21875" style="18" customWidth="1"/>
    <col min="2051" max="2051" width="9.88671875" style="18" customWidth="1"/>
    <col min="2052" max="2052" width="11.6640625" style="18" customWidth="1"/>
    <col min="2053" max="2055" width="9" style="18"/>
    <col min="2056" max="2056" width="9.33203125" style="18" customWidth="1"/>
    <col min="2057" max="2057" width="11.21875" style="18" customWidth="1"/>
    <col min="2058" max="2059" width="9" style="18"/>
    <col min="2060" max="2060" width="10.109375" style="18" customWidth="1"/>
    <col min="2061" max="2064" width="9" style="18"/>
    <col min="2065" max="2065" width="9.77734375" style="18" customWidth="1"/>
    <col min="2066" max="2066" width="9" style="18"/>
    <col min="2067" max="2067" width="9.109375" style="18" customWidth="1"/>
    <col min="2068" max="2068" width="9.44140625" style="18" customWidth="1"/>
    <col min="2069" max="2069" width="10.77734375" style="18" customWidth="1"/>
    <col min="2070" max="2070" width="10.21875" style="18" customWidth="1"/>
    <col min="2071" max="2302" width="9" style="18"/>
    <col min="2303" max="2303" width="4.6640625" style="18" customWidth="1"/>
    <col min="2304" max="2304" width="6.33203125" style="18" customWidth="1"/>
    <col min="2305" max="2305" width="7" style="18" customWidth="1"/>
    <col min="2306" max="2306" width="10.21875" style="18" customWidth="1"/>
    <col min="2307" max="2307" width="9.88671875" style="18" customWidth="1"/>
    <col min="2308" max="2308" width="11.6640625" style="18" customWidth="1"/>
    <col min="2309" max="2311" width="9" style="18"/>
    <col min="2312" max="2312" width="9.33203125" style="18" customWidth="1"/>
    <col min="2313" max="2313" width="11.21875" style="18" customWidth="1"/>
    <col min="2314" max="2315" width="9" style="18"/>
    <col min="2316" max="2316" width="10.109375" style="18" customWidth="1"/>
    <col min="2317" max="2320" width="9" style="18"/>
    <col min="2321" max="2321" width="9.77734375" style="18" customWidth="1"/>
    <col min="2322" max="2322" width="9" style="18"/>
    <col min="2323" max="2323" width="9.109375" style="18" customWidth="1"/>
    <col min="2324" max="2324" width="9.44140625" style="18" customWidth="1"/>
    <col min="2325" max="2325" width="10.77734375" style="18" customWidth="1"/>
    <col min="2326" max="2326" width="10.21875" style="18" customWidth="1"/>
    <col min="2327" max="2558" width="9" style="18"/>
    <col min="2559" max="2559" width="4.6640625" style="18" customWidth="1"/>
    <col min="2560" max="2560" width="6.33203125" style="18" customWidth="1"/>
    <col min="2561" max="2561" width="7" style="18" customWidth="1"/>
    <col min="2562" max="2562" width="10.21875" style="18" customWidth="1"/>
    <col min="2563" max="2563" width="9.88671875" style="18" customWidth="1"/>
    <col min="2564" max="2564" width="11.6640625" style="18" customWidth="1"/>
    <col min="2565" max="2567" width="9" style="18"/>
    <col min="2568" max="2568" width="9.33203125" style="18" customWidth="1"/>
    <col min="2569" max="2569" width="11.21875" style="18" customWidth="1"/>
    <col min="2570" max="2571" width="9" style="18"/>
    <col min="2572" max="2572" width="10.109375" style="18" customWidth="1"/>
    <col min="2573" max="2576" width="9" style="18"/>
    <col min="2577" max="2577" width="9.77734375" style="18" customWidth="1"/>
    <col min="2578" max="2578" width="9" style="18"/>
    <col min="2579" max="2579" width="9.109375" style="18" customWidth="1"/>
    <col min="2580" max="2580" width="9.44140625" style="18" customWidth="1"/>
    <col min="2581" max="2581" width="10.77734375" style="18" customWidth="1"/>
    <col min="2582" max="2582" width="10.21875" style="18" customWidth="1"/>
    <col min="2583" max="2814" width="9" style="18"/>
    <col min="2815" max="2815" width="4.6640625" style="18" customWidth="1"/>
    <col min="2816" max="2816" width="6.33203125" style="18" customWidth="1"/>
    <col min="2817" max="2817" width="7" style="18" customWidth="1"/>
    <col min="2818" max="2818" width="10.21875" style="18" customWidth="1"/>
    <col min="2819" max="2819" width="9.88671875" style="18" customWidth="1"/>
    <col min="2820" max="2820" width="11.6640625" style="18" customWidth="1"/>
    <col min="2821" max="2823" width="9" style="18"/>
    <col min="2824" max="2824" width="9.33203125" style="18" customWidth="1"/>
    <col min="2825" max="2825" width="11.21875" style="18" customWidth="1"/>
    <col min="2826" max="2827" width="9" style="18"/>
    <col min="2828" max="2828" width="10.109375" style="18" customWidth="1"/>
    <col min="2829" max="2832" width="9" style="18"/>
    <col min="2833" max="2833" width="9.77734375" style="18" customWidth="1"/>
    <col min="2834" max="2834" width="9" style="18"/>
    <col min="2835" max="2835" width="9.109375" style="18" customWidth="1"/>
    <col min="2836" max="2836" width="9.44140625" style="18" customWidth="1"/>
    <col min="2837" max="2837" width="10.77734375" style="18" customWidth="1"/>
    <col min="2838" max="2838" width="10.21875" style="18" customWidth="1"/>
    <col min="2839" max="3070" width="9" style="18"/>
    <col min="3071" max="3071" width="4.6640625" style="18" customWidth="1"/>
    <col min="3072" max="3072" width="6.33203125" style="18" customWidth="1"/>
    <col min="3073" max="3073" width="7" style="18" customWidth="1"/>
    <col min="3074" max="3074" width="10.21875" style="18" customWidth="1"/>
    <col min="3075" max="3075" width="9.88671875" style="18" customWidth="1"/>
    <col min="3076" max="3076" width="11.6640625" style="18" customWidth="1"/>
    <col min="3077" max="3079" width="9" style="18"/>
    <col min="3080" max="3080" width="9.33203125" style="18" customWidth="1"/>
    <col min="3081" max="3081" width="11.21875" style="18" customWidth="1"/>
    <col min="3082" max="3083" width="9" style="18"/>
    <col min="3084" max="3084" width="10.109375" style="18" customWidth="1"/>
    <col min="3085" max="3088" width="9" style="18"/>
    <col min="3089" max="3089" width="9.77734375" style="18" customWidth="1"/>
    <col min="3090" max="3090" width="9" style="18"/>
    <col min="3091" max="3091" width="9.109375" style="18" customWidth="1"/>
    <col min="3092" max="3092" width="9.44140625" style="18" customWidth="1"/>
    <col min="3093" max="3093" width="10.77734375" style="18" customWidth="1"/>
    <col min="3094" max="3094" width="10.21875" style="18" customWidth="1"/>
    <col min="3095" max="3326" width="9" style="18"/>
    <col min="3327" max="3327" width="4.6640625" style="18" customWidth="1"/>
    <col min="3328" max="3328" width="6.33203125" style="18" customWidth="1"/>
    <col min="3329" max="3329" width="7" style="18" customWidth="1"/>
    <col min="3330" max="3330" width="10.21875" style="18" customWidth="1"/>
    <col min="3331" max="3331" width="9.88671875" style="18" customWidth="1"/>
    <col min="3332" max="3332" width="11.6640625" style="18" customWidth="1"/>
    <col min="3333" max="3335" width="9" style="18"/>
    <col min="3336" max="3336" width="9.33203125" style="18" customWidth="1"/>
    <col min="3337" max="3337" width="11.21875" style="18" customWidth="1"/>
    <col min="3338" max="3339" width="9" style="18"/>
    <col min="3340" max="3340" width="10.109375" style="18" customWidth="1"/>
    <col min="3341" max="3344" width="9" style="18"/>
    <col min="3345" max="3345" width="9.77734375" style="18" customWidth="1"/>
    <col min="3346" max="3346" width="9" style="18"/>
    <col min="3347" max="3347" width="9.109375" style="18" customWidth="1"/>
    <col min="3348" max="3348" width="9.44140625" style="18" customWidth="1"/>
    <col min="3349" max="3349" width="10.77734375" style="18" customWidth="1"/>
    <col min="3350" max="3350" width="10.21875" style="18" customWidth="1"/>
    <col min="3351" max="3582" width="9" style="18"/>
    <col min="3583" max="3583" width="4.6640625" style="18" customWidth="1"/>
    <col min="3584" max="3584" width="6.33203125" style="18" customWidth="1"/>
    <col min="3585" max="3585" width="7" style="18" customWidth="1"/>
    <col min="3586" max="3586" width="10.21875" style="18" customWidth="1"/>
    <col min="3587" max="3587" width="9.88671875" style="18" customWidth="1"/>
    <col min="3588" max="3588" width="11.6640625" style="18" customWidth="1"/>
    <col min="3589" max="3591" width="9" style="18"/>
    <col min="3592" max="3592" width="9.33203125" style="18" customWidth="1"/>
    <col min="3593" max="3593" width="11.21875" style="18" customWidth="1"/>
    <col min="3594" max="3595" width="9" style="18"/>
    <col min="3596" max="3596" width="10.109375" style="18" customWidth="1"/>
    <col min="3597" max="3600" width="9" style="18"/>
    <col min="3601" max="3601" width="9.77734375" style="18" customWidth="1"/>
    <col min="3602" max="3602" width="9" style="18"/>
    <col min="3603" max="3603" width="9.109375" style="18" customWidth="1"/>
    <col min="3604" max="3604" width="9.44140625" style="18" customWidth="1"/>
    <col min="3605" max="3605" width="10.77734375" style="18" customWidth="1"/>
    <col min="3606" max="3606" width="10.21875" style="18" customWidth="1"/>
    <col min="3607" max="3838" width="9" style="18"/>
    <col min="3839" max="3839" width="4.6640625" style="18" customWidth="1"/>
    <col min="3840" max="3840" width="6.33203125" style="18" customWidth="1"/>
    <col min="3841" max="3841" width="7" style="18" customWidth="1"/>
    <col min="3842" max="3842" width="10.21875" style="18" customWidth="1"/>
    <col min="3843" max="3843" width="9.88671875" style="18" customWidth="1"/>
    <col min="3844" max="3844" width="11.6640625" style="18" customWidth="1"/>
    <col min="3845" max="3847" width="9" style="18"/>
    <col min="3848" max="3848" width="9.33203125" style="18" customWidth="1"/>
    <col min="3849" max="3849" width="11.21875" style="18" customWidth="1"/>
    <col min="3850" max="3851" width="9" style="18"/>
    <col min="3852" max="3852" width="10.109375" style="18" customWidth="1"/>
    <col min="3853" max="3856" width="9" style="18"/>
    <col min="3857" max="3857" width="9.77734375" style="18" customWidth="1"/>
    <col min="3858" max="3858" width="9" style="18"/>
    <col min="3859" max="3859" width="9.109375" style="18" customWidth="1"/>
    <col min="3860" max="3860" width="9.44140625" style="18" customWidth="1"/>
    <col min="3861" max="3861" width="10.77734375" style="18" customWidth="1"/>
    <col min="3862" max="3862" width="10.21875" style="18" customWidth="1"/>
    <col min="3863" max="4094" width="9" style="18"/>
    <col min="4095" max="4095" width="4.6640625" style="18" customWidth="1"/>
    <col min="4096" max="4096" width="6.33203125" style="18" customWidth="1"/>
    <col min="4097" max="4097" width="7" style="18" customWidth="1"/>
    <col min="4098" max="4098" width="10.21875" style="18" customWidth="1"/>
    <col min="4099" max="4099" width="9.88671875" style="18" customWidth="1"/>
    <col min="4100" max="4100" width="11.6640625" style="18" customWidth="1"/>
    <col min="4101" max="4103" width="9" style="18"/>
    <col min="4104" max="4104" width="9.33203125" style="18" customWidth="1"/>
    <col min="4105" max="4105" width="11.21875" style="18" customWidth="1"/>
    <col min="4106" max="4107" width="9" style="18"/>
    <col min="4108" max="4108" width="10.109375" style="18" customWidth="1"/>
    <col min="4109" max="4112" width="9" style="18"/>
    <col min="4113" max="4113" width="9.77734375" style="18" customWidth="1"/>
    <col min="4114" max="4114" width="9" style="18"/>
    <col min="4115" max="4115" width="9.109375" style="18" customWidth="1"/>
    <col min="4116" max="4116" width="9.44140625" style="18" customWidth="1"/>
    <col min="4117" max="4117" width="10.77734375" style="18" customWidth="1"/>
    <col min="4118" max="4118" width="10.21875" style="18" customWidth="1"/>
    <col min="4119" max="4350" width="9" style="18"/>
    <col min="4351" max="4351" width="4.6640625" style="18" customWidth="1"/>
    <col min="4352" max="4352" width="6.33203125" style="18" customWidth="1"/>
    <col min="4353" max="4353" width="7" style="18" customWidth="1"/>
    <col min="4354" max="4354" width="10.21875" style="18" customWidth="1"/>
    <col min="4355" max="4355" width="9.88671875" style="18" customWidth="1"/>
    <col min="4356" max="4356" width="11.6640625" style="18" customWidth="1"/>
    <col min="4357" max="4359" width="9" style="18"/>
    <col min="4360" max="4360" width="9.33203125" style="18" customWidth="1"/>
    <col min="4361" max="4361" width="11.21875" style="18" customWidth="1"/>
    <col min="4362" max="4363" width="9" style="18"/>
    <col min="4364" max="4364" width="10.109375" style="18" customWidth="1"/>
    <col min="4365" max="4368" width="9" style="18"/>
    <col min="4369" max="4369" width="9.77734375" style="18" customWidth="1"/>
    <col min="4370" max="4370" width="9" style="18"/>
    <col min="4371" max="4371" width="9.109375" style="18" customWidth="1"/>
    <col min="4372" max="4372" width="9.44140625" style="18" customWidth="1"/>
    <col min="4373" max="4373" width="10.77734375" style="18" customWidth="1"/>
    <col min="4374" max="4374" width="10.21875" style="18" customWidth="1"/>
    <col min="4375" max="4606" width="9" style="18"/>
    <col min="4607" max="4607" width="4.6640625" style="18" customWidth="1"/>
    <col min="4608" max="4608" width="6.33203125" style="18" customWidth="1"/>
    <col min="4609" max="4609" width="7" style="18" customWidth="1"/>
    <col min="4610" max="4610" width="10.21875" style="18" customWidth="1"/>
    <col min="4611" max="4611" width="9.88671875" style="18" customWidth="1"/>
    <col min="4612" max="4612" width="11.6640625" style="18" customWidth="1"/>
    <col min="4613" max="4615" width="9" style="18"/>
    <col min="4616" max="4616" width="9.33203125" style="18" customWidth="1"/>
    <col min="4617" max="4617" width="11.21875" style="18" customWidth="1"/>
    <col min="4618" max="4619" width="9" style="18"/>
    <col min="4620" max="4620" width="10.109375" style="18" customWidth="1"/>
    <col min="4621" max="4624" width="9" style="18"/>
    <col min="4625" max="4625" width="9.77734375" style="18" customWidth="1"/>
    <col min="4626" max="4626" width="9" style="18"/>
    <col min="4627" max="4627" width="9.109375" style="18" customWidth="1"/>
    <col min="4628" max="4628" width="9.44140625" style="18" customWidth="1"/>
    <col min="4629" max="4629" width="10.77734375" style="18" customWidth="1"/>
    <col min="4630" max="4630" width="10.21875" style="18" customWidth="1"/>
    <col min="4631" max="4862" width="9" style="18"/>
    <col min="4863" max="4863" width="4.6640625" style="18" customWidth="1"/>
    <col min="4864" max="4864" width="6.33203125" style="18" customWidth="1"/>
    <col min="4865" max="4865" width="7" style="18" customWidth="1"/>
    <col min="4866" max="4866" width="10.21875" style="18" customWidth="1"/>
    <col min="4867" max="4867" width="9.88671875" style="18" customWidth="1"/>
    <col min="4868" max="4868" width="11.6640625" style="18" customWidth="1"/>
    <col min="4869" max="4871" width="9" style="18"/>
    <col min="4872" max="4872" width="9.33203125" style="18" customWidth="1"/>
    <col min="4873" max="4873" width="11.21875" style="18" customWidth="1"/>
    <col min="4874" max="4875" width="9" style="18"/>
    <col min="4876" max="4876" width="10.109375" style="18" customWidth="1"/>
    <col min="4877" max="4880" width="9" style="18"/>
    <col min="4881" max="4881" width="9.77734375" style="18" customWidth="1"/>
    <col min="4882" max="4882" width="9" style="18"/>
    <col min="4883" max="4883" width="9.109375" style="18" customWidth="1"/>
    <col min="4884" max="4884" width="9.44140625" style="18" customWidth="1"/>
    <col min="4885" max="4885" width="10.77734375" style="18" customWidth="1"/>
    <col min="4886" max="4886" width="10.21875" style="18" customWidth="1"/>
    <col min="4887" max="5118" width="9" style="18"/>
    <col min="5119" max="5119" width="4.6640625" style="18" customWidth="1"/>
    <col min="5120" max="5120" width="6.33203125" style="18" customWidth="1"/>
    <col min="5121" max="5121" width="7" style="18" customWidth="1"/>
    <col min="5122" max="5122" width="10.21875" style="18" customWidth="1"/>
    <col min="5123" max="5123" width="9.88671875" style="18" customWidth="1"/>
    <col min="5124" max="5124" width="11.6640625" style="18" customWidth="1"/>
    <col min="5125" max="5127" width="9" style="18"/>
    <col min="5128" max="5128" width="9.33203125" style="18" customWidth="1"/>
    <col min="5129" max="5129" width="11.21875" style="18" customWidth="1"/>
    <col min="5130" max="5131" width="9" style="18"/>
    <col min="5132" max="5132" width="10.109375" style="18" customWidth="1"/>
    <col min="5133" max="5136" width="9" style="18"/>
    <col min="5137" max="5137" width="9.77734375" style="18" customWidth="1"/>
    <col min="5138" max="5138" width="9" style="18"/>
    <col min="5139" max="5139" width="9.109375" style="18" customWidth="1"/>
    <col min="5140" max="5140" width="9.44140625" style="18" customWidth="1"/>
    <col min="5141" max="5141" width="10.77734375" style="18" customWidth="1"/>
    <col min="5142" max="5142" width="10.21875" style="18" customWidth="1"/>
    <col min="5143" max="5374" width="9" style="18"/>
    <col min="5375" max="5375" width="4.6640625" style="18" customWidth="1"/>
    <col min="5376" max="5376" width="6.33203125" style="18" customWidth="1"/>
    <col min="5377" max="5377" width="7" style="18" customWidth="1"/>
    <col min="5378" max="5378" width="10.21875" style="18" customWidth="1"/>
    <col min="5379" max="5379" width="9.88671875" style="18" customWidth="1"/>
    <col min="5380" max="5380" width="11.6640625" style="18" customWidth="1"/>
    <col min="5381" max="5383" width="9" style="18"/>
    <col min="5384" max="5384" width="9.33203125" style="18" customWidth="1"/>
    <col min="5385" max="5385" width="11.21875" style="18" customWidth="1"/>
    <col min="5386" max="5387" width="9" style="18"/>
    <col min="5388" max="5388" width="10.109375" style="18" customWidth="1"/>
    <col min="5389" max="5392" width="9" style="18"/>
    <col min="5393" max="5393" width="9.77734375" style="18" customWidth="1"/>
    <col min="5394" max="5394" width="9" style="18"/>
    <col min="5395" max="5395" width="9.109375" style="18" customWidth="1"/>
    <col min="5396" max="5396" width="9.44140625" style="18" customWidth="1"/>
    <col min="5397" max="5397" width="10.77734375" style="18" customWidth="1"/>
    <col min="5398" max="5398" width="10.21875" style="18" customWidth="1"/>
    <col min="5399" max="5630" width="9" style="18"/>
    <col min="5631" max="5631" width="4.6640625" style="18" customWidth="1"/>
    <col min="5632" max="5632" width="6.33203125" style="18" customWidth="1"/>
    <col min="5633" max="5633" width="7" style="18" customWidth="1"/>
    <col min="5634" max="5634" width="10.21875" style="18" customWidth="1"/>
    <col min="5635" max="5635" width="9.88671875" style="18" customWidth="1"/>
    <col min="5636" max="5636" width="11.6640625" style="18" customWidth="1"/>
    <col min="5637" max="5639" width="9" style="18"/>
    <col min="5640" max="5640" width="9.33203125" style="18" customWidth="1"/>
    <col min="5641" max="5641" width="11.21875" style="18" customWidth="1"/>
    <col min="5642" max="5643" width="9" style="18"/>
    <col min="5644" max="5644" width="10.109375" style="18" customWidth="1"/>
    <col min="5645" max="5648" width="9" style="18"/>
    <col min="5649" max="5649" width="9.77734375" style="18" customWidth="1"/>
    <col min="5650" max="5650" width="9" style="18"/>
    <col min="5651" max="5651" width="9.109375" style="18" customWidth="1"/>
    <col min="5652" max="5652" width="9.44140625" style="18" customWidth="1"/>
    <col min="5653" max="5653" width="10.77734375" style="18" customWidth="1"/>
    <col min="5654" max="5654" width="10.21875" style="18" customWidth="1"/>
    <col min="5655" max="5886" width="9" style="18"/>
    <col min="5887" max="5887" width="4.6640625" style="18" customWidth="1"/>
    <col min="5888" max="5888" width="6.33203125" style="18" customWidth="1"/>
    <col min="5889" max="5889" width="7" style="18" customWidth="1"/>
    <col min="5890" max="5890" width="10.21875" style="18" customWidth="1"/>
    <col min="5891" max="5891" width="9.88671875" style="18" customWidth="1"/>
    <col min="5892" max="5892" width="11.6640625" style="18" customWidth="1"/>
    <col min="5893" max="5895" width="9" style="18"/>
    <col min="5896" max="5896" width="9.33203125" style="18" customWidth="1"/>
    <col min="5897" max="5897" width="11.21875" style="18" customWidth="1"/>
    <col min="5898" max="5899" width="9" style="18"/>
    <col min="5900" max="5900" width="10.109375" style="18" customWidth="1"/>
    <col min="5901" max="5904" width="9" style="18"/>
    <col min="5905" max="5905" width="9.77734375" style="18" customWidth="1"/>
    <col min="5906" max="5906" width="9" style="18"/>
    <col min="5907" max="5907" width="9.109375" style="18" customWidth="1"/>
    <col min="5908" max="5908" width="9.44140625" style="18" customWidth="1"/>
    <col min="5909" max="5909" width="10.77734375" style="18" customWidth="1"/>
    <col min="5910" max="5910" width="10.21875" style="18" customWidth="1"/>
    <col min="5911" max="6142" width="9" style="18"/>
    <col min="6143" max="6143" width="4.6640625" style="18" customWidth="1"/>
    <col min="6144" max="6144" width="6.33203125" style="18" customWidth="1"/>
    <col min="6145" max="6145" width="7" style="18" customWidth="1"/>
    <col min="6146" max="6146" width="10.21875" style="18" customWidth="1"/>
    <col min="6147" max="6147" width="9.88671875" style="18" customWidth="1"/>
    <col min="6148" max="6148" width="11.6640625" style="18" customWidth="1"/>
    <col min="6149" max="6151" width="9" style="18"/>
    <col min="6152" max="6152" width="9.33203125" style="18" customWidth="1"/>
    <col min="6153" max="6153" width="11.21875" style="18" customWidth="1"/>
    <col min="6154" max="6155" width="9" style="18"/>
    <col min="6156" max="6156" width="10.109375" style="18" customWidth="1"/>
    <col min="6157" max="6160" width="9" style="18"/>
    <col min="6161" max="6161" width="9.77734375" style="18" customWidth="1"/>
    <col min="6162" max="6162" width="9" style="18"/>
    <col min="6163" max="6163" width="9.109375" style="18" customWidth="1"/>
    <col min="6164" max="6164" width="9.44140625" style="18" customWidth="1"/>
    <col min="6165" max="6165" width="10.77734375" style="18" customWidth="1"/>
    <col min="6166" max="6166" width="10.21875" style="18" customWidth="1"/>
    <col min="6167" max="6398" width="9" style="18"/>
    <col min="6399" max="6399" width="4.6640625" style="18" customWidth="1"/>
    <col min="6400" max="6400" width="6.33203125" style="18" customWidth="1"/>
    <col min="6401" max="6401" width="7" style="18" customWidth="1"/>
    <col min="6402" max="6402" width="10.21875" style="18" customWidth="1"/>
    <col min="6403" max="6403" width="9.88671875" style="18" customWidth="1"/>
    <col min="6404" max="6404" width="11.6640625" style="18" customWidth="1"/>
    <col min="6405" max="6407" width="9" style="18"/>
    <col min="6408" max="6408" width="9.33203125" style="18" customWidth="1"/>
    <col min="6409" max="6409" width="11.21875" style="18" customWidth="1"/>
    <col min="6410" max="6411" width="9" style="18"/>
    <col min="6412" max="6412" width="10.109375" style="18" customWidth="1"/>
    <col min="6413" max="6416" width="9" style="18"/>
    <col min="6417" max="6417" width="9.77734375" style="18" customWidth="1"/>
    <col min="6418" max="6418" width="9" style="18"/>
    <col min="6419" max="6419" width="9.109375" style="18" customWidth="1"/>
    <col min="6420" max="6420" width="9.44140625" style="18" customWidth="1"/>
    <col min="6421" max="6421" width="10.77734375" style="18" customWidth="1"/>
    <col min="6422" max="6422" width="10.21875" style="18" customWidth="1"/>
    <col min="6423" max="6654" width="9" style="18"/>
    <col min="6655" max="6655" width="4.6640625" style="18" customWidth="1"/>
    <col min="6656" max="6656" width="6.33203125" style="18" customWidth="1"/>
    <col min="6657" max="6657" width="7" style="18" customWidth="1"/>
    <col min="6658" max="6658" width="10.21875" style="18" customWidth="1"/>
    <col min="6659" max="6659" width="9.88671875" style="18" customWidth="1"/>
    <col min="6660" max="6660" width="11.6640625" style="18" customWidth="1"/>
    <col min="6661" max="6663" width="9" style="18"/>
    <col min="6664" max="6664" width="9.33203125" style="18" customWidth="1"/>
    <col min="6665" max="6665" width="11.21875" style="18" customWidth="1"/>
    <col min="6666" max="6667" width="9" style="18"/>
    <col min="6668" max="6668" width="10.109375" style="18" customWidth="1"/>
    <col min="6669" max="6672" width="9" style="18"/>
    <col min="6673" max="6673" width="9.77734375" style="18" customWidth="1"/>
    <col min="6674" max="6674" width="9" style="18"/>
    <col min="6675" max="6675" width="9.109375" style="18" customWidth="1"/>
    <col min="6676" max="6676" width="9.44140625" style="18" customWidth="1"/>
    <col min="6677" max="6677" width="10.77734375" style="18" customWidth="1"/>
    <col min="6678" max="6678" width="10.21875" style="18" customWidth="1"/>
    <col min="6679" max="6910" width="9" style="18"/>
    <col min="6911" max="6911" width="4.6640625" style="18" customWidth="1"/>
    <col min="6912" max="6912" width="6.33203125" style="18" customWidth="1"/>
    <col min="6913" max="6913" width="7" style="18" customWidth="1"/>
    <col min="6914" max="6914" width="10.21875" style="18" customWidth="1"/>
    <col min="6915" max="6915" width="9.88671875" style="18" customWidth="1"/>
    <col min="6916" max="6916" width="11.6640625" style="18" customWidth="1"/>
    <col min="6917" max="6919" width="9" style="18"/>
    <col min="6920" max="6920" width="9.33203125" style="18" customWidth="1"/>
    <col min="6921" max="6921" width="11.21875" style="18" customWidth="1"/>
    <col min="6922" max="6923" width="9" style="18"/>
    <col min="6924" max="6924" width="10.109375" style="18" customWidth="1"/>
    <col min="6925" max="6928" width="9" style="18"/>
    <col min="6929" max="6929" width="9.77734375" style="18" customWidth="1"/>
    <col min="6930" max="6930" width="9" style="18"/>
    <col min="6931" max="6931" width="9.109375" style="18" customWidth="1"/>
    <col min="6932" max="6932" width="9.44140625" style="18" customWidth="1"/>
    <col min="6933" max="6933" width="10.77734375" style="18" customWidth="1"/>
    <col min="6934" max="6934" width="10.21875" style="18" customWidth="1"/>
    <col min="6935" max="7166" width="9" style="18"/>
    <col min="7167" max="7167" width="4.6640625" style="18" customWidth="1"/>
    <col min="7168" max="7168" width="6.33203125" style="18" customWidth="1"/>
    <col min="7169" max="7169" width="7" style="18" customWidth="1"/>
    <col min="7170" max="7170" width="10.21875" style="18" customWidth="1"/>
    <col min="7171" max="7171" width="9.88671875" style="18" customWidth="1"/>
    <col min="7172" max="7172" width="11.6640625" style="18" customWidth="1"/>
    <col min="7173" max="7175" width="9" style="18"/>
    <col min="7176" max="7176" width="9.33203125" style="18" customWidth="1"/>
    <col min="7177" max="7177" width="11.21875" style="18" customWidth="1"/>
    <col min="7178" max="7179" width="9" style="18"/>
    <col min="7180" max="7180" width="10.109375" style="18" customWidth="1"/>
    <col min="7181" max="7184" width="9" style="18"/>
    <col min="7185" max="7185" width="9.77734375" style="18" customWidth="1"/>
    <col min="7186" max="7186" width="9" style="18"/>
    <col min="7187" max="7187" width="9.109375" style="18" customWidth="1"/>
    <col min="7188" max="7188" width="9.44140625" style="18" customWidth="1"/>
    <col min="7189" max="7189" width="10.77734375" style="18" customWidth="1"/>
    <col min="7190" max="7190" width="10.21875" style="18" customWidth="1"/>
    <col min="7191" max="7422" width="9" style="18"/>
    <col min="7423" max="7423" width="4.6640625" style="18" customWidth="1"/>
    <col min="7424" max="7424" width="6.33203125" style="18" customWidth="1"/>
    <col min="7425" max="7425" width="7" style="18" customWidth="1"/>
    <col min="7426" max="7426" width="10.21875" style="18" customWidth="1"/>
    <col min="7427" max="7427" width="9.88671875" style="18" customWidth="1"/>
    <col min="7428" max="7428" width="11.6640625" style="18" customWidth="1"/>
    <col min="7429" max="7431" width="9" style="18"/>
    <col min="7432" max="7432" width="9.33203125" style="18" customWidth="1"/>
    <col min="7433" max="7433" width="11.21875" style="18" customWidth="1"/>
    <col min="7434" max="7435" width="9" style="18"/>
    <col min="7436" max="7436" width="10.109375" style="18" customWidth="1"/>
    <col min="7437" max="7440" width="9" style="18"/>
    <col min="7441" max="7441" width="9.77734375" style="18" customWidth="1"/>
    <col min="7442" max="7442" width="9" style="18"/>
    <col min="7443" max="7443" width="9.109375" style="18" customWidth="1"/>
    <col min="7444" max="7444" width="9.44140625" style="18" customWidth="1"/>
    <col min="7445" max="7445" width="10.77734375" style="18" customWidth="1"/>
    <col min="7446" max="7446" width="10.21875" style="18" customWidth="1"/>
    <col min="7447" max="7678" width="9" style="18"/>
    <col min="7679" max="7679" width="4.6640625" style="18" customWidth="1"/>
    <col min="7680" max="7680" width="6.33203125" style="18" customWidth="1"/>
    <col min="7681" max="7681" width="7" style="18" customWidth="1"/>
    <col min="7682" max="7682" width="10.21875" style="18" customWidth="1"/>
    <col min="7683" max="7683" width="9.88671875" style="18" customWidth="1"/>
    <col min="7684" max="7684" width="11.6640625" style="18" customWidth="1"/>
    <col min="7685" max="7687" width="9" style="18"/>
    <col min="7688" max="7688" width="9.33203125" style="18" customWidth="1"/>
    <col min="7689" max="7689" width="11.21875" style="18" customWidth="1"/>
    <col min="7690" max="7691" width="9" style="18"/>
    <col min="7692" max="7692" width="10.109375" style="18" customWidth="1"/>
    <col min="7693" max="7696" width="9" style="18"/>
    <col min="7697" max="7697" width="9.77734375" style="18" customWidth="1"/>
    <col min="7698" max="7698" width="9" style="18"/>
    <col min="7699" max="7699" width="9.109375" style="18" customWidth="1"/>
    <col min="7700" max="7700" width="9.44140625" style="18" customWidth="1"/>
    <col min="7701" max="7701" width="10.77734375" style="18" customWidth="1"/>
    <col min="7702" max="7702" width="10.21875" style="18" customWidth="1"/>
    <col min="7703" max="7934" width="9" style="18"/>
    <col min="7935" max="7935" width="4.6640625" style="18" customWidth="1"/>
    <col min="7936" max="7936" width="6.33203125" style="18" customWidth="1"/>
    <col min="7937" max="7937" width="7" style="18" customWidth="1"/>
    <col min="7938" max="7938" width="10.21875" style="18" customWidth="1"/>
    <col min="7939" max="7939" width="9.88671875" style="18" customWidth="1"/>
    <col min="7940" max="7940" width="11.6640625" style="18" customWidth="1"/>
    <col min="7941" max="7943" width="9" style="18"/>
    <col min="7944" max="7944" width="9.33203125" style="18" customWidth="1"/>
    <col min="7945" max="7945" width="11.21875" style="18" customWidth="1"/>
    <col min="7946" max="7947" width="9" style="18"/>
    <col min="7948" max="7948" width="10.109375" style="18" customWidth="1"/>
    <col min="7949" max="7952" width="9" style="18"/>
    <col min="7953" max="7953" width="9.77734375" style="18" customWidth="1"/>
    <col min="7954" max="7954" width="9" style="18"/>
    <col min="7955" max="7955" width="9.109375" style="18" customWidth="1"/>
    <col min="7956" max="7956" width="9.44140625" style="18" customWidth="1"/>
    <col min="7957" max="7957" width="10.77734375" style="18" customWidth="1"/>
    <col min="7958" max="7958" width="10.21875" style="18" customWidth="1"/>
    <col min="7959" max="8190" width="9" style="18"/>
    <col min="8191" max="8191" width="4.6640625" style="18" customWidth="1"/>
    <col min="8192" max="8192" width="6.33203125" style="18" customWidth="1"/>
    <col min="8193" max="8193" width="7" style="18" customWidth="1"/>
    <col min="8194" max="8194" width="10.21875" style="18" customWidth="1"/>
    <col min="8195" max="8195" width="9.88671875" style="18" customWidth="1"/>
    <col min="8196" max="8196" width="11.6640625" style="18" customWidth="1"/>
    <col min="8197" max="8199" width="9" style="18"/>
    <col min="8200" max="8200" width="9.33203125" style="18" customWidth="1"/>
    <col min="8201" max="8201" width="11.21875" style="18" customWidth="1"/>
    <col min="8202" max="8203" width="9" style="18"/>
    <col min="8204" max="8204" width="10.109375" style="18" customWidth="1"/>
    <col min="8205" max="8208" width="9" style="18"/>
    <col min="8209" max="8209" width="9.77734375" style="18" customWidth="1"/>
    <col min="8210" max="8210" width="9" style="18"/>
    <col min="8211" max="8211" width="9.109375" style="18" customWidth="1"/>
    <col min="8212" max="8212" width="9.44140625" style="18" customWidth="1"/>
    <col min="8213" max="8213" width="10.77734375" style="18" customWidth="1"/>
    <col min="8214" max="8214" width="10.21875" style="18" customWidth="1"/>
    <col min="8215" max="8446" width="9" style="18"/>
    <col min="8447" max="8447" width="4.6640625" style="18" customWidth="1"/>
    <col min="8448" max="8448" width="6.33203125" style="18" customWidth="1"/>
    <col min="8449" max="8449" width="7" style="18" customWidth="1"/>
    <col min="8450" max="8450" width="10.21875" style="18" customWidth="1"/>
    <col min="8451" max="8451" width="9.88671875" style="18" customWidth="1"/>
    <col min="8452" max="8452" width="11.6640625" style="18" customWidth="1"/>
    <col min="8453" max="8455" width="9" style="18"/>
    <col min="8456" max="8456" width="9.33203125" style="18" customWidth="1"/>
    <col min="8457" max="8457" width="11.21875" style="18" customWidth="1"/>
    <col min="8458" max="8459" width="9" style="18"/>
    <col min="8460" max="8460" width="10.109375" style="18" customWidth="1"/>
    <col min="8461" max="8464" width="9" style="18"/>
    <col min="8465" max="8465" width="9.77734375" style="18" customWidth="1"/>
    <col min="8466" max="8466" width="9" style="18"/>
    <col min="8467" max="8467" width="9.109375" style="18" customWidth="1"/>
    <col min="8468" max="8468" width="9.44140625" style="18" customWidth="1"/>
    <col min="8469" max="8469" width="10.77734375" style="18" customWidth="1"/>
    <col min="8470" max="8470" width="10.21875" style="18" customWidth="1"/>
    <col min="8471" max="8702" width="9" style="18"/>
    <col min="8703" max="8703" width="4.6640625" style="18" customWidth="1"/>
    <col min="8704" max="8704" width="6.33203125" style="18" customWidth="1"/>
    <col min="8705" max="8705" width="7" style="18" customWidth="1"/>
    <col min="8706" max="8706" width="10.21875" style="18" customWidth="1"/>
    <col min="8707" max="8707" width="9.88671875" style="18" customWidth="1"/>
    <col min="8708" max="8708" width="11.6640625" style="18" customWidth="1"/>
    <col min="8709" max="8711" width="9" style="18"/>
    <col min="8712" max="8712" width="9.33203125" style="18" customWidth="1"/>
    <col min="8713" max="8713" width="11.21875" style="18" customWidth="1"/>
    <col min="8714" max="8715" width="9" style="18"/>
    <col min="8716" max="8716" width="10.109375" style="18" customWidth="1"/>
    <col min="8717" max="8720" width="9" style="18"/>
    <col min="8721" max="8721" width="9.77734375" style="18" customWidth="1"/>
    <col min="8722" max="8722" width="9" style="18"/>
    <col min="8723" max="8723" width="9.109375" style="18" customWidth="1"/>
    <col min="8724" max="8724" width="9.44140625" style="18" customWidth="1"/>
    <col min="8725" max="8725" width="10.77734375" style="18" customWidth="1"/>
    <col min="8726" max="8726" width="10.21875" style="18" customWidth="1"/>
    <col min="8727" max="8958" width="9" style="18"/>
    <col min="8959" max="8959" width="4.6640625" style="18" customWidth="1"/>
    <col min="8960" max="8960" width="6.33203125" style="18" customWidth="1"/>
    <col min="8961" max="8961" width="7" style="18" customWidth="1"/>
    <col min="8962" max="8962" width="10.21875" style="18" customWidth="1"/>
    <col min="8963" max="8963" width="9.88671875" style="18" customWidth="1"/>
    <col min="8964" max="8964" width="11.6640625" style="18" customWidth="1"/>
    <col min="8965" max="8967" width="9" style="18"/>
    <col min="8968" max="8968" width="9.33203125" style="18" customWidth="1"/>
    <col min="8969" max="8969" width="11.21875" style="18" customWidth="1"/>
    <col min="8970" max="8971" width="9" style="18"/>
    <col min="8972" max="8972" width="10.109375" style="18" customWidth="1"/>
    <col min="8973" max="8976" width="9" style="18"/>
    <col min="8977" max="8977" width="9.77734375" style="18" customWidth="1"/>
    <col min="8978" max="8978" width="9" style="18"/>
    <col min="8979" max="8979" width="9.109375" style="18" customWidth="1"/>
    <col min="8980" max="8980" width="9.44140625" style="18" customWidth="1"/>
    <col min="8981" max="8981" width="10.77734375" style="18" customWidth="1"/>
    <col min="8982" max="8982" width="10.21875" style="18" customWidth="1"/>
    <col min="8983" max="9214" width="9" style="18"/>
    <col min="9215" max="9215" width="4.6640625" style="18" customWidth="1"/>
    <col min="9216" max="9216" width="6.33203125" style="18" customWidth="1"/>
    <col min="9217" max="9217" width="7" style="18" customWidth="1"/>
    <col min="9218" max="9218" width="10.21875" style="18" customWidth="1"/>
    <col min="9219" max="9219" width="9.88671875" style="18" customWidth="1"/>
    <col min="9220" max="9220" width="11.6640625" style="18" customWidth="1"/>
    <col min="9221" max="9223" width="9" style="18"/>
    <col min="9224" max="9224" width="9.33203125" style="18" customWidth="1"/>
    <col min="9225" max="9225" width="11.21875" style="18" customWidth="1"/>
    <col min="9226" max="9227" width="9" style="18"/>
    <col min="9228" max="9228" width="10.109375" style="18" customWidth="1"/>
    <col min="9229" max="9232" width="9" style="18"/>
    <col min="9233" max="9233" width="9.77734375" style="18" customWidth="1"/>
    <col min="9234" max="9234" width="9" style="18"/>
    <col min="9235" max="9235" width="9.109375" style="18" customWidth="1"/>
    <col min="9236" max="9236" width="9.44140625" style="18" customWidth="1"/>
    <col min="9237" max="9237" width="10.77734375" style="18" customWidth="1"/>
    <col min="9238" max="9238" width="10.21875" style="18" customWidth="1"/>
    <col min="9239" max="9470" width="9" style="18"/>
    <col min="9471" max="9471" width="4.6640625" style="18" customWidth="1"/>
    <col min="9472" max="9472" width="6.33203125" style="18" customWidth="1"/>
    <col min="9473" max="9473" width="7" style="18" customWidth="1"/>
    <col min="9474" max="9474" width="10.21875" style="18" customWidth="1"/>
    <col min="9475" max="9475" width="9.88671875" style="18" customWidth="1"/>
    <col min="9476" max="9476" width="11.6640625" style="18" customWidth="1"/>
    <col min="9477" max="9479" width="9" style="18"/>
    <col min="9480" max="9480" width="9.33203125" style="18" customWidth="1"/>
    <col min="9481" max="9481" width="11.21875" style="18" customWidth="1"/>
    <col min="9482" max="9483" width="9" style="18"/>
    <col min="9484" max="9484" width="10.109375" style="18" customWidth="1"/>
    <col min="9485" max="9488" width="9" style="18"/>
    <col min="9489" max="9489" width="9.77734375" style="18" customWidth="1"/>
    <col min="9490" max="9490" width="9" style="18"/>
    <col min="9491" max="9491" width="9.109375" style="18" customWidth="1"/>
    <col min="9492" max="9492" width="9.44140625" style="18" customWidth="1"/>
    <col min="9493" max="9493" width="10.77734375" style="18" customWidth="1"/>
    <col min="9494" max="9494" width="10.21875" style="18" customWidth="1"/>
    <col min="9495" max="9726" width="9" style="18"/>
    <col min="9727" max="9727" width="4.6640625" style="18" customWidth="1"/>
    <col min="9728" max="9728" width="6.33203125" style="18" customWidth="1"/>
    <col min="9729" max="9729" width="7" style="18" customWidth="1"/>
    <col min="9730" max="9730" width="10.21875" style="18" customWidth="1"/>
    <col min="9731" max="9731" width="9.88671875" style="18" customWidth="1"/>
    <col min="9732" max="9732" width="11.6640625" style="18" customWidth="1"/>
    <col min="9733" max="9735" width="9" style="18"/>
    <col min="9736" max="9736" width="9.33203125" style="18" customWidth="1"/>
    <col min="9737" max="9737" width="11.21875" style="18" customWidth="1"/>
    <col min="9738" max="9739" width="9" style="18"/>
    <col min="9740" max="9740" width="10.109375" style="18" customWidth="1"/>
    <col min="9741" max="9744" width="9" style="18"/>
    <col min="9745" max="9745" width="9.77734375" style="18" customWidth="1"/>
    <col min="9746" max="9746" width="9" style="18"/>
    <col min="9747" max="9747" width="9.109375" style="18" customWidth="1"/>
    <col min="9748" max="9748" width="9.44140625" style="18" customWidth="1"/>
    <col min="9749" max="9749" width="10.77734375" style="18" customWidth="1"/>
    <col min="9750" max="9750" width="10.21875" style="18" customWidth="1"/>
    <col min="9751" max="9982" width="9" style="18"/>
    <col min="9983" max="9983" width="4.6640625" style="18" customWidth="1"/>
    <col min="9984" max="9984" width="6.33203125" style="18" customWidth="1"/>
    <col min="9985" max="9985" width="7" style="18" customWidth="1"/>
    <col min="9986" max="9986" width="10.21875" style="18" customWidth="1"/>
    <col min="9987" max="9987" width="9.88671875" style="18" customWidth="1"/>
    <col min="9988" max="9988" width="11.6640625" style="18" customWidth="1"/>
    <col min="9989" max="9991" width="9" style="18"/>
    <col min="9992" max="9992" width="9.33203125" style="18" customWidth="1"/>
    <col min="9993" max="9993" width="11.21875" style="18" customWidth="1"/>
    <col min="9994" max="9995" width="9" style="18"/>
    <col min="9996" max="9996" width="10.109375" style="18" customWidth="1"/>
    <col min="9997" max="10000" width="9" style="18"/>
    <col min="10001" max="10001" width="9.77734375" style="18" customWidth="1"/>
    <col min="10002" max="10002" width="9" style="18"/>
    <col min="10003" max="10003" width="9.109375" style="18" customWidth="1"/>
    <col min="10004" max="10004" width="9.44140625" style="18" customWidth="1"/>
    <col min="10005" max="10005" width="10.77734375" style="18" customWidth="1"/>
    <col min="10006" max="10006" width="10.21875" style="18" customWidth="1"/>
    <col min="10007" max="10238" width="9" style="18"/>
    <col min="10239" max="10239" width="4.6640625" style="18" customWidth="1"/>
    <col min="10240" max="10240" width="6.33203125" style="18" customWidth="1"/>
    <col min="10241" max="10241" width="7" style="18" customWidth="1"/>
    <col min="10242" max="10242" width="10.21875" style="18" customWidth="1"/>
    <col min="10243" max="10243" width="9.88671875" style="18" customWidth="1"/>
    <col min="10244" max="10244" width="11.6640625" style="18" customWidth="1"/>
    <col min="10245" max="10247" width="9" style="18"/>
    <col min="10248" max="10248" width="9.33203125" style="18" customWidth="1"/>
    <col min="10249" max="10249" width="11.21875" style="18" customWidth="1"/>
    <col min="10250" max="10251" width="9" style="18"/>
    <col min="10252" max="10252" width="10.109375" style="18" customWidth="1"/>
    <col min="10253" max="10256" width="9" style="18"/>
    <col min="10257" max="10257" width="9.77734375" style="18" customWidth="1"/>
    <col min="10258" max="10258" width="9" style="18"/>
    <col min="10259" max="10259" width="9.109375" style="18" customWidth="1"/>
    <col min="10260" max="10260" width="9.44140625" style="18" customWidth="1"/>
    <col min="10261" max="10261" width="10.77734375" style="18" customWidth="1"/>
    <col min="10262" max="10262" width="10.21875" style="18" customWidth="1"/>
    <col min="10263" max="10494" width="9" style="18"/>
    <col min="10495" max="10495" width="4.6640625" style="18" customWidth="1"/>
    <col min="10496" max="10496" width="6.33203125" style="18" customWidth="1"/>
    <col min="10497" max="10497" width="7" style="18" customWidth="1"/>
    <col min="10498" max="10498" width="10.21875" style="18" customWidth="1"/>
    <col min="10499" max="10499" width="9.88671875" style="18" customWidth="1"/>
    <col min="10500" max="10500" width="11.6640625" style="18" customWidth="1"/>
    <col min="10501" max="10503" width="9" style="18"/>
    <col min="10504" max="10504" width="9.33203125" style="18" customWidth="1"/>
    <col min="10505" max="10505" width="11.21875" style="18" customWidth="1"/>
    <col min="10506" max="10507" width="9" style="18"/>
    <col min="10508" max="10508" width="10.109375" style="18" customWidth="1"/>
    <col min="10509" max="10512" width="9" style="18"/>
    <col min="10513" max="10513" width="9.77734375" style="18" customWidth="1"/>
    <col min="10514" max="10514" width="9" style="18"/>
    <col min="10515" max="10515" width="9.109375" style="18" customWidth="1"/>
    <col min="10516" max="10516" width="9.44140625" style="18" customWidth="1"/>
    <col min="10517" max="10517" width="10.77734375" style="18" customWidth="1"/>
    <col min="10518" max="10518" width="10.21875" style="18" customWidth="1"/>
    <col min="10519" max="10750" width="9" style="18"/>
    <col min="10751" max="10751" width="4.6640625" style="18" customWidth="1"/>
    <col min="10752" max="10752" width="6.33203125" style="18" customWidth="1"/>
    <col min="10753" max="10753" width="7" style="18" customWidth="1"/>
    <col min="10754" max="10754" width="10.21875" style="18" customWidth="1"/>
    <col min="10755" max="10755" width="9.88671875" style="18" customWidth="1"/>
    <col min="10756" max="10756" width="11.6640625" style="18" customWidth="1"/>
    <col min="10757" max="10759" width="9" style="18"/>
    <col min="10760" max="10760" width="9.33203125" style="18" customWidth="1"/>
    <col min="10761" max="10761" width="11.21875" style="18" customWidth="1"/>
    <col min="10762" max="10763" width="9" style="18"/>
    <col min="10764" max="10764" width="10.109375" style="18" customWidth="1"/>
    <col min="10765" max="10768" width="9" style="18"/>
    <col min="10769" max="10769" width="9.77734375" style="18" customWidth="1"/>
    <col min="10770" max="10770" width="9" style="18"/>
    <col min="10771" max="10771" width="9.109375" style="18" customWidth="1"/>
    <col min="10772" max="10772" width="9.44140625" style="18" customWidth="1"/>
    <col min="10773" max="10773" width="10.77734375" style="18" customWidth="1"/>
    <col min="10774" max="10774" width="10.21875" style="18" customWidth="1"/>
    <col min="10775" max="11006" width="9" style="18"/>
    <col min="11007" max="11007" width="4.6640625" style="18" customWidth="1"/>
    <col min="11008" max="11008" width="6.33203125" style="18" customWidth="1"/>
    <col min="11009" max="11009" width="7" style="18" customWidth="1"/>
    <col min="11010" max="11010" width="10.21875" style="18" customWidth="1"/>
    <col min="11011" max="11011" width="9.88671875" style="18" customWidth="1"/>
    <col min="11012" max="11012" width="11.6640625" style="18" customWidth="1"/>
    <col min="11013" max="11015" width="9" style="18"/>
    <col min="11016" max="11016" width="9.33203125" style="18" customWidth="1"/>
    <col min="11017" max="11017" width="11.21875" style="18" customWidth="1"/>
    <col min="11018" max="11019" width="9" style="18"/>
    <col min="11020" max="11020" width="10.109375" style="18" customWidth="1"/>
    <col min="11021" max="11024" width="9" style="18"/>
    <col min="11025" max="11025" width="9.77734375" style="18" customWidth="1"/>
    <col min="11026" max="11026" width="9" style="18"/>
    <col min="11027" max="11027" width="9.109375" style="18" customWidth="1"/>
    <col min="11028" max="11028" width="9.44140625" style="18" customWidth="1"/>
    <col min="11029" max="11029" width="10.77734375" style="18" customWidth="1"/>
    <col min="11030" max="11030" width="10.21875" style="18" customWidth="1"/>
    <col min="11031" max="11262" width="9" style="18"/>
    <col min="11263" max="11263" width="4.6640625" style="18" customWidth="1"/>
    <col min="11264" max="11264" width="6.33203125" style="18" customWidth="1"/>
    <col min="11265" max="11265" width="7" style="18" customWidth="1"/>
    <col min="11266" max="11266" width="10.21875" style="18" customWidth="1"/>
    <col min="11267" max="11267" width="9.88671875" style="18" customWidth="1"/>
    <col min="11268" max="11268" width="11.6640625" style="18" customWidth="1"/>
    <col min="11269" max="11271" width="9" style="18"/>
    <col min="11272" max="11272" width="9.33203125" style="18" customWidth="1"/>
    <col min="11273" max="11273" width="11.21875" style="18" customWidth="1"/>
    <col min="11274" max="11275" width="9" style="18"/>
    <col min="11276" max="11276" width="10.109375" style="18" customWidth="1"/>
    <col min="11277" max="11280" width="9" style="18"/>
    <col min="11281" max="11281" width="9.77734375" style="18" customWidth="1"/>
    <col min="11282" max="11282" width="9" style="18"/>
    <col min="11283" max="11283" width="9.109375" style="18" customWidth="1"/>
    <col min="11284" max="11284" width="9.44140625" style="18" customWidth="1"/>
    <col min="11285" max="11285" width="10.77734375" style="18" customWidth="1"/>
    <col min="11286" max="11286" width="10.21875" style="18" customWidth="1"/>
    <col min="11287" max="11518" width="9" style="18"/>
    <col min="11519" max="11519" width="4.6640625" style="18" customWidth="1"/>
    <col min="11520" max="11520" width="6.33203125" style="18" customWidth="1"/>
    <col min="11521" max="11521" width="7" style="18" customWidth="1"/>
    <col min="11522" max="11522" width="10.21875" style="18" customWidth="1"/>
    <col min="11523" max="11523" width="9.88671875" style="18" customWidth="1"/>
    <col min="11524" max="11524" width="11.6640625" style="18" customWidth="1"/>
    <col min="11525" max="11527" width="9" style="18"/>
    <col min="11528" max="11528" width="9.33203125" style="18" customWidth="1"/>
    <col min="11529" max="11529" width="11.21875" style="18" customWidth="1"/>
    <col min="11530" max="11531" width="9" style="18"/>
    <col min="11532" max="11532" width="10.109375" style="18" customWidth="1"/>
    <col min="11533" max="11536" width="9" style="18"/>
    <col min="11537" max="11537" width="9.77734375" style="18" customWidth="1"/>
    <col min="11538" max="11538" width="9" style="18"/>
    <col min="11539" max="11539" width="9.109375" style="18" customWidth="1"/>
    <col min="11540" max="11540" width="9.44140625" style="18" customWidth="1"/>
    <col min="11541" max="11541" width="10.77734375" style="18" customWidth="1"/>
    <col min="11542" max="11542" width="10.21875" style="18" customWidth="1"/>
    <col min="11543" max="11774" width="9" style="18"/>
    <col min="11775" max="11775" width="4.6640625" style="18" customWidth="1"/>
    <col min="11776" max="11776" width="6.33203125" style="18" customWidth="1"/>
    <col min="11777" max="11777" width="7" style="18" customWidth="1"/>
    <col min="11778" max="11778" width="10.21875" style="18" customWidth="1"/>
    <col min="11779" max="11779" width="9.88671875" style="18" customWidth="1"/>
    <col min="11780" max="11780" width="11.6640625" style="18" customWidth="1"/>
    <col min="11781" max="11783" width="9" style="18"/>
    <col min="11784" max="11784" width="9.33203125" style="18" customWidth="1"/>
    <col min="11785" max="11785" width="11.21875" style="18" customWidth="1"/>
    <col min="11786" max="11787" width="9" style="18"/>
    <col min="11788" max="11788" width="10.109375" style="18" customWidth="1"/>
    <col min="11789" max="11792" width="9" style="18"/>
    <col min="11793" max="11793" width="9.77734375" style="18" customWidth="1"/>
    <col min="11794" max="11794" width="9" style="18"/>
    <col min="11795" max="11795" width="9.109375" style="18" customWidth="1"/>
    <col min="11796" max="11796" width="9.44140625" style="18" customWidth="1"/>
    <col min="11797" max="11797" width="10.77734375" style="18" customWidth="1"/>
    <col min="11798" max="11798" width="10.21875" style="18" customWidth="1"/>
    <col min="11799" max="12030" width="9" style="18"/>
    <col min="12031" max="12031" width="4.6640625" style="18" customWidth="1"/>
    <col min="12032" max="12032" width="6.33203125" style="18" customWidth="1"/>
    <col min="12033" max="12033" width="7" style="18" customWidth="1"/>
    <col min="12034" max="12034" width="10.21875" style="18" customWidth="1"/>
    <col min="12035" max="12035" width="9.88671875" style="18" customWidth="1"/>
    <col min="12036" max="12036" width="11.6640625" style="18" customWidth="1"/>
    <col min="12037" max="12039" width="9" style="18"/>
    <col min="12040" max="12040" width="9.33203125" style="18" customWidth="1"/>
    <col min="12041" max="12041" width="11.21875" style="18" customWidth="1"/>
    <col min="12042" max="12043" width="9" style="18"/>
    <col min="12044" max="12044" width="10.109375" style="18" customWidth="1"/>
    <col min="12045" max="12048" width="9" style="18"/>
    <col min="12049" max="12049" width="9.77734375" style="18" customWidth="1"/>
    <col min="12050" max="12050" width="9" style="18"/>
    <col min="12051" max="12051" width="9.109375" style="18" customWidth="1"/>
    <col min="12052" max="12052" width="9.44140625" style="18" customWidth="1"/>
    <col min="12053" max="12053" width="10.77734375" style="18" customWidth="1"/>
    <col min="12054" max="12054" width="10.21875" style="18" customWidth="1"/>
    <col min="12055" max="12286" width="9" style="18"/>
    <col min="12287" max="12287" width="4.6640625" style="18" customWidth="1"/>
    <col min="12288" max="12288" width="6.33203125" style="18" customWidth="1"/>
    <col min="12289" max="12289" width="7" style="18" customWidth="1"/>
    <col min="12290" max="12290" width="10.21875" style="18" customWidth="1"/>
    <col min="12291" max="12291" width="9.88671875" style="18" customWidth="1"/>
    <col min="12292" max="12292" width="11.6640625" style="18" customWidth="1"/>
    <col min="12293" max="12295" width="9" style="18"/>
    <col min="12296" max="12296" width="9.33203125" style="18" customWidth="1"/>
    <col min="12297" max="12297" width="11.21875" style="18" customWidth="1"/>
    <col min="12298" max="12299" width="9" style="18"/>
    <col min="12300" max="12300" width="10.109375" style="18" customWidth="1"/>
    <col min="12301" max="12304" width="9" style="18"/>
    <col min="12305" max="12305" width="9.77734375" style="18" customWidth="1"/>
    <col min="12306" max="12306" width="9" style="18"/>
    <col min="12307" max="12307" width="9.109375" style="18" customWidth="1"/>
    <col min="12308" max="12308" width="9.44140625" style="18" customWidth="1"/>
    <col min="12309" max="12309" width="10.77734375" style="18" customWidth="1"/>
    <col min="12310" max="12310" width="10.21875" style="18" customWidth="1"/>
    <col min="12311" max="12542" width="9" style="18"/>
    <col min="12543" max="12543" width="4.6640625" style="18" customWidth="1"/>
    <col min="12544" max="12544" width="6.33203125" style="18" customWidth="1"/>
    <col min="12545" max="12545" width="7" style="18" customWidth="1"/>
    <col min="12546" max="12546" width="10.21875" style="18" customWidth="1"/>
    <col min="12547" max="12547" width="9.88671875" style="18" customWidth="1"/>
    <col min="12548" max="12548" width="11.6640625" style="18" customWidth="1"/>
    <col min="12549" max="12551" width="9" style="18"/>
    <col min="12552" max="12552" width="9.33203125" style="18" customWidth="1"/>
    <col min="12553" max="12553" width="11.21875" style="18" customWidth="1"/>
    <col min="12554" max="12555" width="9" style="18"/>
    <col min="12556" max="12556" width="10.109375" style="18" customWidth="1"/>
    <col min="12557" max="12560" width="9" style="18"/>
    <col min="12561" max="12561" width="9.77734375" style="18" customWidth="1"/>
    <col min="12562" max="12562" width="9" style="18"/>
    <col min="12563" max="12563" width="9.109375" style="18" customWidth="1"/>
    <col min="12564" max="12564" width="9.44140625" style="18" customWidth="1"/>
    <col min="12565" max="12565" width="10.77734375" style="18" customWidth="1"/>
    <col min="12566" max="12566" width="10.21875" style="18" customWidth="1"/>
    <col min="12567" max="12798" width="9" style="18"/>
    <col min="12799" max="12799" width="4.6640625" style="18" customWidth="1"/>
    <col min="12800" max="12800" width="6.33203125" style="18" customWidth="1"/>
    <col min="12801" max="12801" width="7" style="18" customWidth="1"/>
    <col min="12802" max="12802" width="10.21875" style="18" customWidth="1"/>
    <col min="12803" max="12803" width="9.88671875" style="18" customWidth="1"/>
    <col min="12804" max="12804" width="11.6640625" style="18" customWidth="1"/>
    <col min="12805" max="12807" width="9" style="18"/>
    <col min="12808" max="12808" width="9.33203125" style="18" customWidth="1"/>
    <col min="12809" max="12809" width="11.21875" style="18" customWidth="1"/>
    <col min="12810" max="12811" width="9" style="18"/>
    <col min="12812" max="12812" width="10.109375" style="18" customWidth="1"/>
    <col min="12813" max="12816" width="9" style="18"/>
    <col min="12817" max="12817" width="9.77734375" style="18" customWidth="1"/>
    <col min="12818" max="12818" width="9" style="18"/>
    <col min="12819" max="12819" width="9.109375" style="18" customWidth="1"/>
    <col min="12820" max="12820" width="9.44140625" style="18" customWidth="1"/>
    <col min="12821" max="12821" width="10.77734375" style="18" customWidth="1"/>
    <col min="12822" max="12822" width="10.21875" style="18" customWidth="1"/>
    <col min="12823" max="13054" width="9" style="18"/>
    <col min="13055" max="13055" width="4.6640625" style="18" customWidth="1"/>
    <col min="13056" max="13056" width="6.33203125" style="18" customWidth="1"/>
    <col min="13057" max="13057" width="7" style="18" customWidth="1"/>
    <col min="13058" max="13058" width="10.21875" style="18" customWidth="1"/>
    <col min="13059" max="13059" width="9.88671875" style="18" customWidth="1"/>
    <col min="13060" max="13060" width="11.6640625" style="18" customWidth="1"/>
    <col min="13061" max="13063" width="9" style="18"/>
    <col min="13064" max="13064" width="9.33203125" style="18" customWidth="1"/>
    <col min="13065" max="13065" width="11.21875" style="18" customWidth="1"/>
    <col min="13066" max="13067" width="9" style="18"/>
    <col min="13068" max="13068" width="10.109375" style="18" customWidth="1"/>
    <col min="13069" max="13072" width="9" style="18"/>
    <col min="13073" max="13073" width="9.77734375" style="18" customWidth="1"/>
    <col min="13074" max="13074" width="9" style="18"/>
    <col min="13075" max="13075" width="9.109375" style="18" customWidth="1"/>
    <col min="13076" max="13076" width="9.44140625" style="18" customWidth="1"/>
    <col min="13077" max="13077" width="10.77734375" style="18" customWidth="1"/>
    <col min="13078" max="13078" width="10.21875" style="18" customWidth="1"/>
    <col min="13079" max="13310" width="9" style="18"/>
    <col min="13311" max="13311" width="4.6640625" style="18" customWidth="1"/>
    <col min="13312" max="13312" width="6.33203125" style="18" customWidth="1"/>
    <col min="13313" max="13313" width="7" style="18" customWidth="1"/>
    <col min="13314" max="13314" width="10.21875" style="18" customWidth="1"/>
    <col min="13315" max="13315" width="9.88671875" style="18" customWidth="1"/>
    <col min="13316" max="13316" width="11.6640625" style="18" customWidth="1"/>
    <col min="13317" max="13319" width="9" style="18"/>
    <col min="13320" max="13320" width="9.33203125" style="18" customWidth="1"/>
    <col min="13321" max="13321" width="11.21875" style="18" customWidth="1"/>
    <col min="13322" max="13323" width="9" style="18"/>
    <col min="13324" max="13324" width="10.109375" style="18" customWidth="1"/>
    <col min="13325" max="13328" width="9" style="18"/>
    <col min="13329" max="13329" width="9.77734375" style="18" customWidth="1"/>
    <col min="13330" max="13330" width="9" style="18"/>
    <col min="13331" max="13331" width="9.109375" style="18" customWidth="1"/>
    <col min="13332" max="13332" width="9.44140625" style="18" customWidth="1"/>
    <col min="13333" max="13333" width="10.77734375" style="18" customWidth="1"/>
    <col min="13334" max="13334" width="10.21875" style="18" customWidth="1"/>
    <col min="13335" max="13566" width="9" style="18"/>
    <col min="13567" max="13567" width="4.6640625" style="18" customWidth="1"/>
    <col min="13568" max="13568" width="6.33203125" style="18" customWidth="1"/>
    <col min="13569" max="13569" width="7" style="18" customWidth="1"/>
    <col min="13570" max="13570" width="10.21875" style="18" customWidth="1"/>
    <col min="13571" max="13571" width="9.88671875" style="18" customWidth="1"/>
    <col min="13572" max="13572" width="11.6640625" style="18" customWidth="1"/>
    <col min="13573" max="13575" width="9" style="18"/>
    <col min="13576" max="13576" width="9.33203125" style="18" customWidth="1"/>
    <col min="13577" max="13577" width="11.21875" style="18" customWidth="1"/>
    <col min="13578" max="13579" width="9" style="18"/>
    <col min="13580" max="13580" width="10.109375" style="18" customWidth="1"/>
    <col min="13581" max="13584" width="9" style="18"/>
    <col min="13585" max="13585" width="9.77734375" style="18" customWidth="1"/>
    <col min="13586" max="13586" width="9" style="18"/>
    <col min="13587" max="13587" width="9.109375" style="18" customWidth="1"/>
    <col min="13588" max="13588" width="9.44140625" style="18" customWidth="1"/>
    <col min="13589" max="13589" width="10.77734375" style="18" customWidth="1"/>
    <col min="13590" max="13590" width="10.21875" style="18" customWidth="1"/>
    <col min="13591" max="13822" width="9" style="18"/>
    <col min="13823" max="13823" width="4.6640625" style="18" customWidth="1"/>
    <col min="13824" max="13824" width="6.33203125" style="18" customWidth="1"/>
    <col min="13825" max="13825" width="7" style="18" customWidth="1"/>
    <col min="13826" max="13826" width="10.21875" style="18" customWidth="1"/>
    <col min="13827" max="13827" width="9.88671875" style="18" customWidth="1"/>
    <col min="13828" max="13828" width="11.6640625" style="18" customWidth="1"/>
    <col min="13829" max="13831" width="9" style="18"/>
    <col min="13832" max="13832" width="9.33203125" style="18" customWidth="1"/>
    <col min="13833" max="13833" width="11.21875" style="18" customWidth="1"/>
    <col min="13834" max="13835" width="9" style="18"/>
    <col min="13836" max="13836" width="10.109375" style="18" customWidth="1"/>
    <col min="13837" max="13840" width="9" style="18"/>
    <col min="13841" max="13841" width="9.77734375" style="18" customWidth="1"/>
    <col min="13842" max="13842" width="9" style="18"/>
    <col min="13843" max="13843" width="9.109375" style="18" customWidth="1"/>
    <col min="13844" max="13844" width="9.44140625" style="18" customWidth="1"/>
    <col min="13845" max="13845" width="10.77734375" style="18" customWidth="1"/>
    <col min="13846" max="13846" width="10.21875" style="18" customWidth="1"/>
    <col min="13847" max="14078" width="9" style="18"/>
    <col min="14079" max="14079" width="4.6640625" style="18" customWidth="1"/>
    <col min="14080" max="14080" width="6.33203125" style="18" customWidth="1"/>
    <col min="14081" max="14081" width="7" style="18" customWidth="1"/>
    <col min="14082" max="14082" width="10.21875" style="18" customWidth="1"/>
    <col min="14083" max="14083" width="9.88671875" style="18" customWidth="1"/>
    <col min="14084" max="14084" width="11.6640625" style="18" customWidth="1"/>
    <col min="14085" max="14087" width="9" style="18"/>
    <col min="14088" max="14088" width="9.33203125" style="18" customWidth="1"/>
    <col min="14089" max="14089" width="11.21875" style="18" customWidth="1"/>
    <col min="14090" max="14091" width="9" style="18"/>
    <col min="14092" max="14092" width="10.109375" style="18" customWidth="1"/>
    <col min="14093" max="14096" width="9" style="18"/>
    <col min="14097" max="14097" width="9.77734375" style="18" customWidth="1"/>
    <col min="14098" max="14098" width="9" style="18"/>
    <col min="14099" max="14099" width="9.109375" style="18" customWidth="1"/>
    <col min="14100" max="14100" width="9.44140625" style="18" customWidth="1"/>
    <col min="14101" max="14101" width="10.77734375" style="18" customWidth="1"/>
    <col min="14102" max="14102" width="10.21875" style="18" customWidth="1"/>
    <col min="14103" max="14334" width="9" style="18"/>
    <col min="14335" max="14335" width="4.6640625" style="18" customWidth="1"/>
    <col min="14336" max="14336" width="6.33203125" style="18" customWidth="1"/>
    <col min="14337" max="14337" width="7" style="18" customWidth="1"/>
    <col min="14338" max="14338" width="10.21875" style="18" customWidth="1"/>
    <col min="14339" max="14339" width="9.88671875" style="18" customWidth="1"/>
    <col min="14340" max="14340" width="11.6640625" style="18" customWidth="1"/>
    <col min="14341" max="14343" width="9" style="18"/>
    <col min="14344" max="14344" width="9.33203125" style="18" customWidth="1"/>
    <col min="14345" max="14345" width="11.21875" style="18" customWidth="1"/>
    <col min="14346" max="14347" width="9" style="18"/>
    <col min="14348" max="14348" width="10.109375" style="18" customWidth="1"/>
    <col min="14349" max="14352" width="9" style="18"/>
    <col min="14353" max="14353" width="9.77734375" style="18" customWidth="1"/>
    <col min="14354" max="14354" width="9" style="18"/>
    <col min="14355" max="14355" width="9.109375" style="18" customWidth="1"/>
    <col min="14356" max="14356" width="9.44140625" style="18" customWidth="1"/>
    <col min="14357" max="14357" width="10.77734375" style="18" customWidth="1"/>
    <col min="14358" max="14358" width="10.21875" style="18" customWidth="1"/>
    <col min="14359" max="14590" width="9" style="18"/>
    <col min="14591" max="14591" width="4.6640625" style="18" customWidth="1"/>
    <col min="14592" max="14592" width="6.33203125" style="18" customWidth="1"/>
    <col min="14593" max="14593" width="7" style="18" customWidth="1"/>
    <col min="14594" max="14594" width="10.21875" style="18" customWidth="1"/>
    <col min="14595" max="14595" width="9.88671875" style="18" customWidth="1"/>
    <col min="14596" max="14596" width="11.6640625" style="18" customWidth="1"/>
    <col min="14597" max="14599" width="9" style="18"/>
    <col min="14600" max="14600" width="9.33203125" style="18" customWidth="1"/>
    <col min="14601" max="14601" width="11.21875" style="18" customWidth="1"/>
    <col min="14602" max="14603" width="9" style="18"/>
    <col min="14604" max="14604" width="10.109375" style="18" customWidth="1"/>
    <col min="14605" max="14608" width="9" style="18"/>
    <col min="14609" max="14609" width="9.77734375" style="18" customWidth="1"/>
    <col min="14610" max="14610" width="9" style="18"/>
    <col min="14611" max="14611" width="9.109375" style="18" customWidth="1"/>
    <col min="14612" max="14612" width="9.44140625" style="18" customWidth="1"/>
    <col min="14613" max="14613" width="10.77734375" style="18" customWidth="1"/>
    <col min="14614" max="14614" width="10.21875" style="18" customWidth="1"/>
    <col min="14615" max="14846" width="9" style="18"/>
    <col min="14847" max="14847" width="4.6640625" style="18" customWidth="1"/>
    <col min="14848" max="14848" width="6.33203125" style="18" customWidth="1"/>
    <col min="14849" max="14849" width="7" style="18" customWidth="1"/>
    <col min="14850" max="14850" width="10.21875" style="18" customWidth="1"/>
    <col min="14851" max="14851" width="9.88671875" style="18" customWidth="1"/>
    <col min="14852" max="14852" width="11.6640625" style="18" customWidth="1"/>
    <col min="14853" max="14855" width="9" style="18"/>
    <col min="14856" max="14856" width="9.33203125" style="18" customWidth="1"/>
    <col min="14857" max="14857" width="11.21875" style="18" customWidth="1"/>
    <col min="14858" max="14859" width="9" style="18"/>
    <col min="14860" max="14860" width="10.109375" style="18" customWidth="1"/>
    <col min="14861" max="14864" width="9" style="18"/>
    <col min="14865" max="14865" width="9.77734375" style="18" customWidth="1"/>
    <col min="14866" max="14866" width="9" style="18"/>
    <col min="14867" max="14867" width="9.109375" style="18" customWidth="1"/>
    <col min="14868" max="14868" width="9.44140625" style="18" customWidth="1"/>
    <col min="14869" max="14869" width="10.77734375" style="18" customWidth="1"/>
    <col min="14870" max="14870" width="10.21875" style="18" customWidth="1"/>
    <col min="14871" max="15102" width="9" style="18"/>
    <col min="15103" max="15103" width="4.6640625" style="18" customWidth="1"/>
    <col min="15104" max="15104" width="6.33203125" style="18" customWidth="1"/>
    <col min="15105" max="15105" width="7" style="18" customWidth="1"/>
    <col min="15106" max="15106" width="10.21875" style="18" customWidth="1"/>
    <col min="15107" max="15107" width="9.88671875" style="18" customWidth="1"/>
    <col min="15108" max="15108" width="11.6640625" style="18" customWidth="1"/>
    <col min="15109" max="15111" width="9" style="18"/>
    <col min="15112" max="15112" width="9.33203125" style="18" customWidth="1"/>
    <col min="15113" max="15113" width="11.21875" style="18" customWidth="1"/>
    <col min="15114" max="15115" width="9" style="18"/>
    <col min="15116" max="15116" width="10.109375" style="18" customWidth="1"/>
    <col min="15117" max="15120" width="9" style="18"/>
    <col min="15121" max="15121" width="9.77734375" style="18" customWidth="1"/>
    <col min="15122" max="15122" width="9" style="18"/>
    <col min="15123" max="15123" width="9.109375" style="18" customWidth="1"/>
    <col min="15124" max="15124" width="9.44140625" style="18" customWidth="1"/>
    <col min="15125" max="15125" width="10.77734375" style="18" customWidth="1"/>
    <col min="15126" max="15126" width="10.21875" style="18" customWidth="1"/>
    <col min="15127" max="15358" width="9" style="18"/>
    <col min="15359" max="15359" width="4.6640625" style="18" customWidth="1"/>
    <col min="15360" max="15360" width="6.33203125" style="18" customWidth="1"/>
    <col min="15361" max="15361" width="7" style="18" customWidth="1"/>
    <col min="15362" max="15362" width="10.21875" style="18" customWidth="1"/>
    <col min="15363" max="15363" width="9.88671875" style="18" customWidth="1"/>
    <col min="15364" max="15364" width="11.6640625" style="18" customWidth="1"/>
    <col min="15365" max="15367" width="9" style="18"/>
    <col min="15368" max="15368" width="9.33203125" style="18" customWidth="1"/>
    <col min="15369" max="15369" width="11.21875" style="18" customWidth="1"/>
    <col min="15370" max="15371" width="9" style="18"/>
    <col min="15372" max="15372" width="10.109375" style="18" customWidth="1"/>
    <col min="15373" max="15376" width="9" style="18"/>
    <col min="15377" max="15377" width="9.77734375" style="18" customWidth="1"/>
    <col min="15378" max="15378" width="9" style="18"/>
    <col min="15379" max="15379" width="9.109375" style="18" customWidth="1"/>
    <col min="15380" max="15380" width="9.44140625" style="18" customWidth="1"/>
    <col min="15381" max="15381" width="10.77734375" style="18" customWidth="1"/>
    <col min="15382" max="15382" width="10.21875" style="18" customWidth="1"/>
    <col min="15383" max="15614" width="9" style="18"/>
    <col min="15615" max="15615" width="4.6640625" style="18" customWidth="1"/>
    <col min="15616" max="15616" width="6.33203125" style="18" customWidth="1"/>
    <col min="15617" max="15617" width="7" style="18" customWidth="1"/>
    <col min="15618" max="15618" width="10.21875" style="18" customWidth="1"/>
    <col min="15619" max="15619" width="9.88671875" style="18" customWidth="1"/>
    <col min="15620" max="15620" width="11.6640625" style="18" customWidth="1"/>
    <col min="15621" max="15623" width="9" style="18"/>
    <col min="15624" max="15624" width="9.33203125" style="18" customWidth="1"/>
    <col min="15625" max="15625" width="11.21875" style="18" customWidth="1"/>
    <col min="15626" max="15627" width="9" style="18"/>
    <col min="15628" max="15628" width="10.109375" style="18" customWidth="1"/>
    <col min="15629" max="15632" width="9" style="18"/>
    <col min="15633" max="15633" width="9.77734375" style="18" customWidth="1"/>
    <col min="15634" max="15634" width="9" style="18"/>
    <col min="15635" max="15635" width="9.109375" style="18" customWidth="1"/>
    <col min="15636" max="15636" width="9.44140625" style="18" customWidth="1"/>
    <col min="15637" max="15637" width="10.77734375" style="18" customWidth="1"/>
    <col min="15638" max="15638" width="10.21875" style="18" customWidth="1"/>
    <col min="15639" max="15870" width="9" style="18"/>
    <col min="15871" max="15871" width="4.6640625" style="18" customWidth="1"/>
    <col min="15872" max="15872" width="6.33203125" style="18" customWidth="1"/>
    <col min="15873" max="15873" width="7" style="18" customWidth="1"/>
    <col min="15874" max="15874" width="10.21875" style="18" customWidth="1"/>
    <col min="15875" max="15875" width="9.88671875" style="18" customWidth="1"/>
    <col min="15876" max="15876" width="11.6640625" style="18" customWidth="1"/>
    <col min="15877" max="15879" width="9" style="18"/>
    <col min="15880" max="15880" width="9.33203125" style="18" customWidth="1"/>
    <col min="15881" max="15881" width="11.21875" style="18" customWidth="1"/>
    <col min="15882" max="15883" width="9" style="18"/>
    <col min="15884" max="15884" width="10.109375" style="18" customWidth="1"/>
    <col min="15885" max="15888" width="9" style="18"/>
    <col min="15889" max="15889" width="9.77734375" style="18" customWidth="1"/>
    <col min="15890" max="15890" width="9" style="18"/>
    <col min="15891" max="15891" width="9.109375" style="18" customWidth="1"/>
    <col min="15892" max="15892" width="9.44140625" style="18" customWidth="1"/>
    <col min="15893" max="15893" width="10.77734375" style="18" customWidth="1"/>
    <col min="15894" max="15894" width="10.21875" style="18" customWidth="1"/>
    <col min="15895" max="16126" width="9" style="18"/>
    <col min="16127" max="16127" width="4.6640625" style="18" customWidth="1"/>
    <col min="16128" max="16128" width="6.33203125" style="18" customWidth="1"/>
    <col min="16129" max="16129" width="7" style="18" customWidth="1"/>
    <col min="16130" max="16130" width="10.21875" style="18" customWidth="1"/>
    <col min="16131" max="16131" width="9.88671875" style="18" customWidth="1"/>
    <col min="16132" max="16132" width="11.6640625" style="18" customWidth="1"/>
    <col min="16133" max="16135" width="9" style="18"/>
    <col min="16136" max="16136" width="9.33203125" style="18" customWidth="1"/>
    <col min="16137" max="16137" width="11.21875" style="18" customWidth="1"/>
    <col min="16138" max="16139" width="9" style="18"/>
    <col min="16140" max="16140" width="10.109375" style="18" customWidth="1"/>
    <col min="16141" max="16144" width="9" style="18"/>
    <col min="16145" max="16145" width="9.77734375" style="18" customWidth="1"/>
    <col min="16146" max="16146" width="9" style="18"/>
    <col min="16147" max="16147" width="9.109375" style="18" customWidth="1"/>
    <col min="16148" max="16148" width="9.44140625" style="18" customWidth="1"/>
    <col min="16149" max="16149" width="10.77734375" style="18" customWidth="1"/>
    <col min="16150" max="16150" width="10.21875" style="18" customWidth="1"/>
    <col min="16151" max="16384" width="9" style="18"/>
  </cols>
  <sheetData>
    <row r="2" spans="2:39" ht="14.25" customHeight="1">
      <c r="B2" s="696" t="s">
        <v>84</v>
      </c>
      <c r="C2" s="696"/>
      <c r="D2" s="696"/>
      <c r="E2" s="696"/>
      <c r="F2" s="696"/>
      <c r="G2" s="696"/>
      <c r="H2" s="696"/>
      <c r="I2" s="696"/>
      <c r="J2" s="696"/>
      <c r="K2" s="696"/>
      <c r="L2" s="696"/>
      <c r="O2" s="31" t="e">
        <f>(J13+K17)/(J7+K7)*100</f>
        <v>#DIV/0!</v>
      </c>
    </row>
    <row r="3" spans="2:39"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O3" s="31" t="e">
        <f>(J14+K18)/(J8+K8)*100</f>
        <v>#DIV/0!</v>
      </c>
    </row>
    <row r="4" spans="2:39">
      <c r="B4" s="19"/>
      <c r="C4" s="693"/>
      <c r="D4" s="693"/>
      <c r="E4" s="694"/>
      <c r="F4" s="694"/>
      <c r="G4" s="694"/>
      <c r="H4" s="694"/>
      <c r="I4" s="694"/>
      <c r="J4" s="675">
        <f>基础数据!A2</f>
        <v>45836</v>
      </c>
      <c r="K4" s="675"/>
      <c r="L4" s="26"/>
      <c r="O4" s="31" t="e">
        <f>(J15+K19)/(J9+K9)*100</f>
        <v>#DIV/0!</v>
      </c>
    </row>
    <row r="5" spans="2:39" ht="20.100000000000001" customHeight="1">
      <c r="B5" s="679" t="s">
        <v>42</v>
      </c>
      <c r="C5" s="679" t="s">
        <v>43</v>
      </c>
      <c r="D5" s="679" t="s">
        <v>44</v>
      </c>
      <c r="E5" s="679" t="s">
        <v>45</v>
      </c>
      <c r="F5" s="680" t="s">
        <v>50</v>
      </c>
      <c r="G5" s="680" t="s">
        <v>104</v>
      </c>
      <c r="H5" s="680"/>
      <c r="I5" s="680"/>
      <c r="J5" s="680" t="s">
        <v>105</v>
      </c>
      <c r="K5" s="680"/>
      <c r="L5" s="680"/>
      <c r="M5" s="695" t="s">
        <v>0</v>
      </c>
      <c r="N5" s="695" t="s">
        <v>0</v>
      </c>
      <c r="O5" s="31" t="e">
        <f>(J16+K20)/(J10+K10)*100</f>
        <v>#DIV/0!</v>
      </c>
    </row>
    <row r="6" spans="2:39" ht="20.100000000000001" customHeight="1">
      <c r="B6" s="679"/>
      <c r="C6" s="679"/>
      <c r="D6" s="679"/>
      <c r="E6" s="679"/>
      <c r="F6" s="680"/>
      <c r="G6" s="20" t="s">
        <v>6</v>
      </c>
      <c r="H6" s="20" t="s">
        <v>7</v>
      </c>
      <c r="I6" s="20" t="s">
        <v>51</v>
      </c>
      <c r="J6" s="20" t="s">
        <v>53</v>
      </c>
      <c r="K6" s="20" t="s">
        <v>54</v>
      </c>
      <c r="L6" s="20" t="s">
        <v>55</v>
      </c>
      <c r="M6" s="695"/>
      <c r="N6" s="695"/>
    </row>
    <row r="7" spans="2:39" ht="20.100000000000001" customHeight="1">
      <c r="B7" s="679" t="s">
        <v>10</v>
      </c>
      <c r="C7" s="21" t="s">
        <v>110</v>
      </c>
      <c r="D7" s="23" t="str">
        <f>IF(ISERROR((D32*F32+'2车间表1'!D7*'2车间表1'!H7)/'2车间表3'!F7),"0.00",(D32*F32+'2车间表1'!D7*'2车间表1'!H7)/'2车间表3'!F7)</f>
        <v>0.00</v>
      </c>
      <c r="E7" s="23">
        <f>E32+'2车间表1'!E7</f>
        <v>0</v>
      </c>
      <c r="F7" s="23">
        <f>F32+'2车间表1'!H7</f>
        <v>0</v>
      </c>
      <c r="G7" s="23" t="str">
        <f>IF(ISERROR(J7/F7*100),"0.00",J7/F7*100)</f>
        <v>0.00</v>
      </c>
      <c r="H7" s="23"/>
      <c r="I7" s="27" t="str">
        <f>IF(ISERROR(L7/F7*1000),"0.00",L7/F7*1000)</f>
        <v>0.00</v>
      </c>
      <c r="J7" s="28">
        <f>J32+'2车间表1'!M7</f>
        <v>0</v>
      </c>
      <c r="K7" s="28"/>
      <c r="L7" s="32">
        <f>L32+'2车间表1'!O7</f>
        <v>0</v>
      </c>
      <c r="N7" s="31" t="str">
        <f>D7</f>
        <v>0.00</v>
      </c>
      <c r="O7" s="31" t="e">
        <f>F7/E7</f>
        <v>#DIV/0!</v>
      </c>
      <c r="P7" s="31" t="e">
        <f>#REF!</f>
        <v>#REF!</v>
      </c>
      <c r="Q7" s="31" t="str">
        <f t="shared" ref="Q7:S10" si="0">G7</f>
        <v>0.00</v>
      </c>
      <c r="R7" s="31">
        <f t="shared" si="0"/>
        <v>0</v>
      </c>
      <c r="S7" s="31" t="str">
        <f t="shared" si="0"/>
        <v>0.00</v>
      </c>
      <c r="T7" s="31" t="e">
        <f>#REF!</f>
        <v>#REF!</v>
      </c>
      <c r="U7" s="31" t="e">
        <f>#REF!</f>
        <v>#REF!</v>
      </c>
      <c r="V7" s="31" t="e">
        <f>#REF!</f>
        <v>#REF!</v>
      </c>
      <c r="W7" s="34" t="e">
        <f>#REF!</f>
        <v>#REF!</v>
      </c>
      <c r="X7" s="31" t="e">
        <f>#REF!</f>
        <v>#REF!</v>
      </c>
      <c r="Y7" s="31" t="str">
        <f t="shared" ref="Y7:AA10" si="1">G13</f>
        <v>0.00</v>
      </c>
      <c r="Z7" s="31">
        <f t="shared" si="1"/>
        <v>0</v>
      </c>
      <c r="AA7" s="34" t="str">
        <f t="shared" si="1"/>
        <v>0.00</v>
      </c>
      <c r="AB7" s="31" t="e">
        <f>#REF!</f>
        <v>#REF!</v>
      </c>
      <c r="AC7" s="31">
        <f t="shared" ref="AC7:AE10" si="2">G17</f>
        <v>0</v>
      </c>
      <c r="AD7" s="31">
        <f t="shared" si="2"/>
        <v>0</v>
      </c>
      <c r="AE7" s="34">
        <f t="shared" si="2"/>
        <v>0</v>
      </c>
      <c r="AF7" s="31" t="e">
        <f>#REF!</f>
        <v>#REF!</v>
      </c>
      <c r="AG7" s="31" t="str">
        <f t="shared" ref="AG7:AI10" si="3">G21</f>
        <v>0.00</v>
      </c>
      <c r="AH7" s="31">
        <f t="shared" si="3"/>
        <v>0</v>
      </c>
      <c r="AI7" s="34" t="str">
        <f t="shared" si="3"/>
        <v>0.00</v>
      </c>
      <c r="AJ7" s="31" t="e">
        <f>#REF!</f>
        <v>#REF!</v>
      </c>
      <c r="AK7" s="31" t="str">
        <f>D13</f>
        <v>0.00</v>
      </c>
      <c r="AL7" s="31">
        <f>D17</f>
        <v>0</v>
      </c>
      <c r="AM7" s="31">
        <f>E21</f>
        <v>0</v>
      </c>
    </row>
    <row r="8" spans="2:39" ht="20.100000000000001" customHeight="1">
      <c r="B8" s="679"/>
      <c r="C8" s="21" t="s">
        <v>111</v>
      </c>
      <c r="D8" s="23" t="str">
        <f>IF(ISERROR((D33*F33+'2车间表1'!D8*'2车间表1'!H8)/'2车间表3'!F8),"0.00",(D33*F33+'2车间表1'!D8*'2车间表1'!H8)/'2车间表3'!F8)</f>
        <v>0.00</v>
      </c>
      <c r="E8" s="23">
        <f>E33+'2车间表1'!E8</f>
        <v>0</v>
      </c>
      <c r="F8" s="23">
        <f>F33+'2车间表1'!H8</f>
        <v>0</v>
      </c>
      <c r="G8" s="23" t="str">
        <f>IF(ISERROR(J8/F8*100),"0.00",J8/F8*100)</f>
        <v>0.00</v>
      </c>
      <c r="H8" s="23"/>
      <c r="I8" s="27" t="str">
        <f>IF(ISERROR(L8/F8*1000),"0.00",L8/F8*1000)</f>
        <v>0.00</v>
      </c>
      <c r="J8" s="28">
        <f>J33+'2车间表1'!M8</f>
        <v>0</v>
      </c>
      <c r="K8" s="28"/>
      <c r="L8" s="32">
        <f>L33+'2车间表1'!O8</f>
        <v>0</v>
      </c>
      <c r="N8" s="31" t="str">
        <f>D8</f>
        <v>0.00</v>
      </c>
      <c r="O8" s="31" t="e">
        <f>F8/E8</f>
        <v>#DIV/0!</v>
      </c>
      <c r="P8" s="31" t="e">
        <f>#REF!</f>
        <v>#REF!</v>
      </c>
      <c r="Q8" s="31" t="str">
        <f t="shared" si="0"/>
        <v>0.00</v>
      </c>
      <c r="R8" s="31">
        <f t="shared" si="0"/>
        <v>0</v>
      </c>
      <c r="S8" s="31" t="str">
        <f t="shared" si="0"/>
        <v>0.00</v>
      </c>
      <c r="T8" s="31" t="e">
        <f>#REF!</f>
        <v>#REF!</v>
      </c>
      <c r="U8" s="31" t="e">
        <f>#REF!</f>
        <v>#REF!</v>
      </c>
      <c r="V8" s="31" t="e">
        <f>#REF!</f>
        <v>#REF!</v>
      </c>
      <c r="W8" s="34" t="e">
        <f>#REF!</f>
        <v>#REF!</v>
      </c>
      <c r="X8" s="31" t="e">
        <f>#REF!</f>
        <v>#REF!</v>
      </c>
      <c r="Y8" s="31" t="str">
        <f t="shared" si="1"/>
        <v>0.00</v>
      </c>
      <c r="Z8" s="31">
        <f t="shared" si="1"/>
        <v>0</v>
      </c>
      <c r="AA8" s="34" t="str">
        <f t="shared" si="1"/>
        <v>0.00</v>
      </c>
      <c r="AB8" s="31" t="e">
        <f>#REF!</f>
        <v>#REF!</v>
      </c>
      <c r="AC8" s="31">
        <f t="shared" si="2"/>
        <v>0</v>
      </c>
      <c r="AD8" s="31">
        <f t="shared" si="2"/>
        <v>0</v>
      </c>
      <c r="AE8" s="34">
        <f t="shared" si="2"/>
        <v>0</v>
      </c>
      <c r="AF8" s="31" t="e">
        <f>#REF!</f>
        <v>#REF!</v>
      </c>
      <c r="AG8" s="31" t="str">
        <f t="shared" si="3"/>
        <v>0.00</v>
      </c>
      <c r="AH8" s="31">
        <f t="shared" si="3"/>
        <v>0</v>
      </c>
      <c r="AI8" s="34" t="str">
        <f t="shared" si="3"/>
        <v>0.00</v>
      </c>
      <c r="AJ8" s="31" t="e">
        <f>#REF!</f>
        <v>#REF!</v>
      </c>
      <c r="AK8" s="31" t="str">
        <f>D14</f>
        <v>0.00</v>
      </c>
      <c r="AL8" s="31">
        <f>D18</f>
        <v>0</v>
      </c>
      <c r="AM8" s="31">
        <f>E22</f>
        <v>0</v>
      </c>
    </row>
    <row r="9" spans="2:39" ht="20.100000000000001" customHeight="1">
      <c r="B9" s="679"/>
      <c r="C9" s="21" t="s">
        <v>112</v>
      </c>
      <c r="D9" s="23" t="str">
        <f>IF(ISERROR((D34*F34+'2车间表1'!D9*'2车间表1'!H9)/'2车间表3'!F9),"0.00",(D34*F34+'2车间表1'!D9*'2车间表1'!H9)/'2车间表3'!F9)</f>
        <v>0.00</v>
      </c>
      <c r="E9" s="23">
        <f>E34+'2车间表1'!E9</f>
        <v>0</v>
      </c>
      <c r="F9" s="23">
        <f>F34+'2车间表1'!H9</f>
        <v>0</v>
      </c>
      <c r="G9" s="23" t="str">
        <f>IF(ISERROR(J9/F9*100),"0.00",J9/F9*100)</f>
        <v>0.00</v>
      </c>
      <c r="H9" s="23"/>
      <c r="I9" s="27" t="str">
        <f>IF(ISERROR(L9/F9*1000),"0.00",L9/F9*1000)</f>
        <v>0.00</v>
      </c>
      <c r="J9" s="28">
        <f>J34+'2车间表1'!M9</f>
        <v>0</v>
      </c>
      <c r="K9" s="28"/>
      <c r="L9" s="32">
        <f>L34+'2车间表1'!O9</f>
        <v>0</v>
      </c>
      <c r="N9" s="31" t="str">
        <f>D9</f>
        <v>0.00</v>
      </c>
      <c r="O9" s="31" t="e">
        <f>F9/E9</f>
        <v>#DIV/0!</v>
      </c>
      <c r="P9" s="31" t="e">
        <f>#REF!</f>
        <v>#REF!</v>
      </c>
      <c r="Q9" s="31" t="str">
        <f t="shared" si="0"/>
        <v>0.00</v>
      </c>
      <c r="R9" s="31">
        <f t="shared" si="0"/>
        <v>0</v>
      </c>
      <c r="S9" s="31" t="str">
        <f t="shared" si="0"/>
        <v>0.00</v>
      </c>
      <c r="T9" s="31" t="e">
        <f>#REF!</f>
        <v>#REF!</v>
      </c>
      <c r="U9" s="31" t="e">
        <f>#REF!</f>
        <v>#REF!</v>
      </c>
      <c r="V9" s="31" t="e">
        <f>#REF!</f>
        <v>#REF!</v>
      </c>
      <c r="W9" s="34" t="e">
        <f>#REF!</f>
        <v>#REF!</v>
      </c>
      <c r="X9" s="31" t="e">
        <f>#REF!</f>
        <v>#REF!</v>
      </c>
      <c r="Y9" s="31" t="str">
        <f t="shared" si="1"/>
        <v>0.00</v>
      </c>
      <c r="Z9" s="31">
        <f t="shared" si="1"/>
        <v>0</v>
      </c>
      <c r="AA9" s="34" t="str">
        <f t="shared" si="1"/>
        <v>0.00</v>
      </c>
      <c r="AB9" s="31" t="e">
        <f>#REF!</f>
        <v>#REF!</v>
      </c>
      <c r="AC9" s="31">
        <f t="shared" si="2"/>
        <v>0</v>
      </c>
      <c r="AD9" s="31">
        <f t="shared" si="2"/>
        <v>0</v>
      </c>
      <c r="AE9" s="34">
        <f t="shared" si="2"/>
        <v>0</v>
      </c>
      <c r="AF9" s="31" t="e">
        <f>#REF!</f>
        <v>#REF!</v>
      </c>
      <c r="AG9" s="31" t="str">
        <f t="shared" si="3"/>
        <v>0.00</v>
      </c>
      <c r="AH9" s="31">
        <f t="shared" si="3"/>
        <v>0</v>
      </c>
      <c r="AI9" s="34" t="str">
        <f t="shared" si="3"/>
        <v>0.00</v>
      </c>
      <c r="AJ9" s="31" t="e">
        <f>#REF!</f>
        <v>#REF!</v>
      </c>
      <c r="AK9" s="31" t="str">
        <f>D15</f>
        <v>0.00</v>
      </c>
      <c r="AL9" s="31">
        <f>D19</f>
        <v>0</v>
      </c>
      <c r="AM9" s="31">
        <f>E23</f>
        <v>0</v>
      </c>
    </row>
    <row r="10" spans="2:39" ht="20.100000000000001" customHeight="1">
      <c r="B10" s="679"/>
      <c r="C10" s="20" t="s">
        <v>89</v>
      </c>
      <c r="D10" s="23" t="str">
        <f>IF(ISERROR((D7*F7+D8*F8+D9*F9)/F10),"0.00",(D7*F7+D8*F8+D9*F9)/F10)</f>
        <v>0.00</v>
      </c>
      <c r="E10" s="23">
        <f>E7+E8+E9</f>
        <v>0</v>
      </c>
      <c r="F10" s="23">
        <f>F7+F8+F9</f>
        <v>0</v>
      </c>
      <c r="G10" s="23" t="str">
        <f>IF(ISERROR(J10/F10*100),"0.00",J10/F10*100)</f>
        <v>0.00</v>
      </c>
      <c r="H10" s="23"/>
      <c r="I10" s="27" t="str">
        <f>IF(ISERROR(L10/F10*1000),"0.00",L10/F10*1000)</f>
        <v>0.00</v>
      </c>
      <c r="J10" s="28">
        <f>J7+J8+J9</f>
        <v>0</v>
      </c>
      <c r="K10" s="28"/>
      <c r="L10" s="32">
        <f>L7+L8+L9</f>
        <v>0</v>
      </c>
      <c r="N10" s="31" t="str">
        <f>D10</f>
        <v>0.00</v>
      </c>
      <c r="O10" s="31" t="e">
        <f>F10/E10</f>
        <v>#DIV/0!</v>
      </c>
      <c r="P10" s="31" t="e">
        <f>#REF!</f>
        <v>#REF!</v>
      </c>
      <c r="Q10" s="31" t="str">
        <f t="shared" si="0"/>
        <v>0.00</v>
      </c>
      <c r="R10" s="31">
        <f t="shared" si="0"/>
        <v>0</v>
      </c>
      <c r="S10" s="31" t="str">
        <f t="shared" si="0"/>
        <v>0.00</v>
      </c>
      <c r="T10" s="31" t="e">
        <f>#REF!</f>
        <v>#REF!</v>
      </c>
      <c r="U10" s="31" t="e">
        <f>#REF!</f>
        <v>#REF!</v>
      </c>
      <c r="V10" s="31" t="e">
        <f>#REF!</f>
        <v>#REF!</v>
      </c>
      <c r="W10" s="34" t="e">
        <f>#REF!</f>
        <v>#REF!</v>
      </c>
      <c r="X10" s="31" t="e">
        <f>#REF!</f>
        <v>#REF!</v>
      </c>
      <c r="Y10" s="31" t="str">
        <f t="shared" si="1"/>
        <v>0.00</v>
      </c>
      <c r="Z10" s="31">
        <f t="shared" si="1"/>
        <v>0</v>
      </c>
      <c r="AA10" s="34" t="str">
        <f t="shared" si="1"/>
        <v>0.00</v>
      </c>
      <c r="AB10" s="31" t="e">
        <f>#REF!</f>
        <v>#REF!</v>
      </c>
      <c r="AC10" s="31">
        <f t="shared" si="2"/>
        <v>0</v>
      </c>
      <c r="AD10" s="31">
        <f t="shared" si="2"/>
        <v>0</v>
      </c>
      <c r="AE10" s="34">
        <f t="shared" si="2"/>
        <v>0</v>
      </c>
      <c r="AF10" s="31" t="e">
        <f>#REF!</f>
        <v>#REF!</v>
      </c>
      <c r="AG10" s="31" t="str">
        <f t="shared" si="3"/>
        <v>0.00</v>
      </c>
      <c r="AH10" s="31">
        <f t="shared" si="3"/>
        <v>0</v>
      </c>
      <c r="AI10" s="34" t="str">
        <f t="shared" si="3"/>
        <v>0.00</v>
      </c>
      <c r="AJ10" s="31" t="e">
        <f>#REF!</f>
        <v>#REF!</v>
      </c>
      <c r="AK10" s="31" t="str">
        <f>D16</f>
        <v>0.00</v>
      </c>
      <c r="AL10" s="31">
        <f>D20</f>
        <v>0</v>
      </c>
      <c r="AM10" s="31">
        <f>E24</f>
        <v>0</v>
      </c>
    </row>
    <row r="11" spans="2:39" ht="20.100000000000001" customHeight="1">
      <c r="B11" s="679" t="s">
        <v>42</v>
      </c>
      <c r="C11" s="679" t="s">
        <v>43</v>
      </c>
      <c r="D11" s="680" t="s">
        <v>59</v>
      </c>
      <c r="E11" s="680"/>
      <c r="F11" s="680" t="s">
        <v>50</v>
      </c>
      <c r="G11" s="680" t="s">
        <v>80</v>
      </c>
      <c r="H11" s="680"/>
      <c r="I11" s="680"/>
      <c r="J11" s="680" t="s">
        <v>76</v>
      </c>
      <c r="K11" s="680"/>
      <c r="L11" s="680"/>
      <c r="N11" s="31"/>
      <c r="O11" s="31"/>
      <c r="P11" s="31"/>
      <c r="Q11" s="31"/>
      <c r="R11" s="31"/>
      <c r="S11" s="31"/>
      <c r="T11" s="31"/>
      <c r="U11" s="31"/>
      <c r="V11" s="31"/>
      <c r="W11" s="34"/>
      <c r="X11" s="31"/>
      <c r="Y11" s="31"/>
      <c r="Z11" s="31"/>
      <c r="AA11" s="34"/>
      <c r="AB11" s="31"/>
      <c r="AC11" s="31"/>
      <c r="AD11" s="31"/>
      <c r="AE11" s="34"/>
      <c r="AF11" s="31"/>
      <c r="AG11" s="31"/>
      <c r="AH11" s="31"/>
      <c r="AI11" s="34"/>
    </row>
    <row r="12" spans="2:39" ht="20.100000000000001" customHeight="1">
      <c r="B12" s="679"/>
      <c r="C12" s="679"/>
      <c r="D12" s="20" t="s">
        <v>63</v>
      </c>
      <c r="E12" s="20" t="s">
        <v>14</v>
      </c>
      <c r="F12" s="680"/>
      <c r="G12" s="20" t="s">
        <v>6</v>
      </c>
      <c r="H12" s="20" t="s">
        <v>7</v>
      </c>
      <c r="I12" s="20" t="s">
        <v>51</v>
      </c>
      <c r="J12" s="20" t="s">
        <v>53</v>
      </c>
      <c r="K12" s="20" t="s">
        <v>54</v>
      </c>
      <c r="L12" s="20" t="s">
        <v>55</v>
      </c>
      <c r="W12" s="34"/>
      <c r="AA12" s="34"/>
      <c r="AE12" s="34"/>
      <c r="AI12" s="34"/>
    </row>
    <row r="13" spans="2:39" ht="20.100000000000001" customHeight="1">
      <c r="B13" s="679" t="s">
        <v>23</v>
      </c>
      <c r="C13" s="21" t="s">
        <v>110</v>
      </c>
      <c r="D13" s="23" t="str">
        <f>IF(ISERROR(J13/J7*100),"0.00",J13/J7*100)</f>
        <v>0.00</v>
      </c>
      <c r="E13" s="23" t="str">
        <f>IF(ISERROR(L13/L7*100),"0.00",L13/L7*100)</f>
        <v>0.00</v>
      </c>
      <c r="F13" s="23">
        <f>F35+'2车间表1'!D14</f>
        <v>0</v>
      </c>
      <c r="G13" s="23" t="str">
        <f t="shared" ref="G13:G24" si="4">IF(ISERROR(J13/F13*100),"0.00",J13/F13*100)</f>
        <v>0.00</v>
      </c>
      <c r="H13" s="23"/>
      <c r="I13" s="27" t="str">
        <f t="shared" ref="I13:I24" si="5">IF(ISERROR(L13/F13*1000),"0.00",L13/F13*1000)</f>
        <v>0.00</v>
      </c>
      <c r="J13" s="28">
        <f>J35+'2车间表1'!I14</f>
        <v>0</v>
      </c>
      <c r="K13" s="28"/>
      <c r="L13" s="32">
        <f>L35+'2车间表1'!K14</f>
        <v>0</v>
      </c>
      <c r="N13" s="31" t="e">
        <f>#REF!/#REF!*100</f>
        <v>#REF!</v>
      </c>
      <c r="O13" s="31" t="e">
        <f t="shared" ref="O13:Q16" si="6">J13/J7*100</f>
        <v>#DIV/0!</v>
      </c>
      <c r="P13" s="31" t="e">
        <f t="shared" si="6"/>
        <v>#DIV/0!</v>
      </c>
      <c r="Q13" s="31" t="e">
        <f t="shared" si="6"/>
        <v>#DIV/0!</v>
      </c>
      <c r="S13" s="31" t="e">
        <f>P13</f>
        <v>#DIV/0!</v>
      </c>
      <c r="T13" s="31" t="e">
        <f>P17</f>
        <v>#DIV/0!</v>
      </c>
      <c r="U13" s="31" t="e">
        <f>#REF!</f>
        <v>#REF!</v>
      </c>
      <c r="V13" s="31" t="e">
        <f>P21</f>
        <v>#DIV/0!</v>
      </c>
      <c r="W13" s="31" t="e">
        <f t="shared" ref="W13:W24" si="7">S13+T13+U13+V13</f>
        <v>#DIV/0!</v>
      </c>
      <c r="X13" s="31"/>
      <c r="Y13" s="31"/>
      <c r="Z13" s="31"/>
      <c r="AA13" s="31"/>
      <c r="AB13" s="31"/>
      <c r="AE13" s="34"/>
      <c r="AI13" s="34"/>
    </row>
    <row r="14" spans="2:39" ht="20.100000000000001" customHeight="1">
      <c r="B14" s="679"/>
      <c r="C14" s="21" t="s">
        <v>111</v>
      </c>
      <c r="D14" s="23" t="str">
        <f>IF(ISERROR(J14/J8*100),"0.00",J14/J8*100)</f>
        <v>0.00</v>
      </c>
      <c r="E14" s="23" t="str">
        <f>IF(ISERROR(L14/L8*100),"0.00",L14/L8*100)</f>
        <v>0.00</v>
      </c>
      <c r="F14" s="23">
        <f>F36+'2车间表1'!D15</f>
        <v>0</v>
      </c>
      <c r="G14" s="23" t="str">
        <f t="shared" si="4"/>
        <v>0.00</v>
      </c>
      <c r="H14" s="23"/>
      <c r="I14" s="27" t="str">
        <f t="shared" si="5"/>
        <v>0.00</v>
      </c>
      <c r="J14" s="28">
        <f>J36+'2车间表1'!I15</f>
        <v>0</v>
      </c>
      <c r="K14" s="28"/>
      <c r="L14" s="32">
        <f>L36+'2车间表1'!K15</f>
        <v>0</v>
      </c>
      <c r="N14" s="31" t="e">
        <f>#REF!/#REF!*100</f>
        <v>#REF!</v>
      </c>
      <c r="O14" s="31" t="e">
        <f t="shared" si="6"/>
        <v>#DIV/0!</v>
      </c>
      <c r="P14" s="31" t="e">
        <f t="shared" si="6"/>
        <v>#DIV/0!</v>
      </c>
      <c r="Q14" s="31" t="e">
        <f t="shared" si="6"/>
        <v>#DIV/0!</v>
      </c>
      <c r="S14" s="31" t="e">
        <f>P14</f>
        <v>#DIV/0!</v>
      </c>
      <c r="T14" s="31" t="e">
        <f>P18</f>
        <v>#DIV/0!</v>
      </c>
      <c r="U14" s="31" t="e">
        <f>#REF!</f>
        <v>#REF!</v>
      </c>
      <c r="V14" s="31" t="e">
        <f>P22</f>
        <v>#DIV/0!</v>
      </c>
      <c r="W14" s="31" t="e">
        <f t="shared" si="7"/>
        <v>#DIV/0!</v>
      </c>
      <c r="AA14" s="34"/>
      <c r="AE14" s="34"/>
      <c r="AI14" s="34"/>
    </row>
    <row r="15" spans="2:39" ht="20.100000000000001" customHeight="1">
      <c r="B15" s="679"/>
      <c r="C15" s="21" t="s">
        <v>112</v>
      </c>
      <c r="D15" s="23" t="str">
        <f>IF(ISERROR(J15/J9*100),"0.00",J15/J9*100)</f>
        <v>0.00</v>
      </c>
      <c r="E15" s="23" t="str">
        <f>IF(ISERROR(L15/L9*100),"0.00",L15/L9*100)</f>
        <v>0.00</v>
      </c>
      <c r="F15" s="23">
        <f>F37+'2车间表1'!D16</f>
        <v>0</v>
      </c>
      <c r="G15" s="23" t="str">
        <f t="shared" si="4"/>
        <v>0.00</v>
      </c>
      <c r="H15" s="23"/>
      <c r="I15" s="27" t="str">
        <f t="shared" si="5"/>
        <v>0.00</v>
      </c>
      <c r="J15" s="28">
        <f>J37+'2车间表1'!I16</f>
        <v>0</v>
      </c>
      <c r="K15" s="28"/>
      <c r="L15" s="32">
        <f>L37+'2车间表1'!K16</f>
        <v>0</v>
      </c>
      <c r="N15" s="31" t="e">
        <f>#REF!/#REF!*100</f>
        <v>#REF!</v>
      </c>
      <c r="O15" s="31" t="e">
        <f t="shared" si="6"/>
        <v>#DIV/0!</v>
      </c>
      <c r="P15" s="31" t="e">
        <f t="shared" si="6"/>
        <v>#DIV/0!</v>
      </c>
      <c r="Q15" s="31" t="e">
        <f t="shared" si="6"/>
        <v>#DIV/0!</v>
      </c>
      <c r="S15" s="31" t="e">
        <f>P15</f>
        <v>#DIV/0!</v>
      </c>
      <c r="T15" s="31" t="e">
        <f>P19</f>
        <v>#DIV/0!</v>
      </c>
      <c r="U15" s="31" t="e">
        <f>#REF!</f>
        <v>#REF!</v>
      </c>
      <c r="V15" s="31" t="e">
        <f>P23</f>
        <v>#DIV/0!</v>
      </c>
      <c r="W15" s="31" t="e">
        <f t="shared" si="7"/>
        <v>#DIV/0!</v>
      </c>
      <c r="AA15" s="34"/>
      <c r="AE15" s="34"/>
      <c r="AI15" s="34"/>
    </row>
    <row r="16" spans="2:39" ht="20.100000000000001" customHeight="1">
      <c r="B16" s="679"/>
      <c r="C16" s="20" t="s">
        <v>89</v>
      </c>
      <c r="D16" s="23" t="str">
        <f>IF(ISERROR(J16/J10*100),"0.00",J16/J10*100)</f>
        <v>0.00</v>
      </c>
      <c r="E16" s="23" t="str">
        <f>IF(ISERROR(L16/L10*100),"0.00",L16/L10*100)</f>
        <v>0.00</v>
      </c>
      <c r="F16" s="23">
        <f>F13+F14+F15</f>
        <v>0</v>
      </c>
      <c r="G16" s="23" t="str">
        <f t="shared" si="4"/>
        <v>0.00</v>
      </c>
      <c r="H16" s="23"/>
      <c r="I16" s="27" t="str">
        <f t="shared" si="5"/>
        <v>0.00</v>
      </c>
      <c r="J16" s="28">
        <f>J13+J14+J15</f>
        <v>0</v>
      </c>
      <c r="K16" s="28"/>
      <c r="L16" s="32">
        <f>L13+L14+L15</f>
        <v>0</v>
      </c>
      <c r="N16" s="31" t="e">
        <f>#REF!/#REF!*100</f>
        <v>#REF!</v>
      </c>
      <c r="O16" s="31" t="e">
        <f t="shared" si="6"/>
        <v>#DIV/0!</v>
      </c>
      <c r="P16" s="31" t="e">
        <f t="shared" si="6"/>
        <v>#DIV/0!</v>
      </c>
      <c r="Q16" s="31" t="e">
        <f t="shared" si="6"/>
        <v>#DIV/0!</v>
      </c>
      <c r="S16" s="31" t="e">
        <f>P16</f>
        <v>#DIV/0!</v>
      </c>
      <c r="T16" s="31" t="e">
        <f>P20</f>
        <v>#DIV/0!</v>
      </c>
      <c r="U16" s="31" t="e">
        <f>#REF!</f>
        <v>#REF!</v>
      </c>
      <c r="V16" s="31" t="e">
        <f>P24</f>
        <v>#DIV/0!</v>
      </c>
      <c r="W16" s="31" t="e">
        <f t="shared" si="7"/>
        <v>#DIV/0!</v>
      </c>
      <c r="AA16" s="34"/>
      <c r="AE16" s="34"/>
      <c r="AI16" s="34"/>
    </row>
    <row r="17" spans="2:35" ht="20.100000000000001" customHeight="1">
      <c r="B17" s="679" t="s">
        <v>25</v>
      </c>
      <c r="C17" s="21" t="s">
        <v>110</v>
      </c>
      <c r="D17" s="23"/>
      <c r="E17" s="23"/>
      <c r="F17" s="23"/>
      <c r="G17" s="23"/>
      <c r="H17" s="23"/>
      <c r="I17" s="27"/>
      <c r="J17" s="28"/>
      <c r="K17" s="28"/>
      <c r="L17" s="32"/>
      <c r="N17" s="31" t="e">
        <f>#REF!/#REF!*100</f>
        <v>#REF!</v>
      </c>
      <c r="O17" s="31" t="e">
        <f t="shared" ref="O17:Q20" si="8">J17/J7*100</f>
        <v>#DIV/0!</v>
      </c>
      <c r="P17" s="31" t="e">
        <f t="shared" si="8"/>
        <v>#DIV/0!</v>
      </c>
      <c r="Q17" s="31" t="e">
        <f t="shared" si="8"/>
        <v>#DIV/0!</v>
      </c>
      <c r="S17" s="31" t="e">
        <f>N13</f>
        <v>#REF!</v>
      </c>
      <c r="T17" s="31" t="e">
        <f>N17</f>
        <v>#REF!</v>
      </c>
      <c r="U17" s="31" t="e">
        <f>#REF!</f>
        <v>#REF!</v>
      </c>
      <c r="V17" s="31" t="e">
        <f>N21</f>
        <v>#REF!</v>
      </c>
      <c r="W17" s="31" t="e">
        <f t="shared" si="7"/>
        <v>#REF!</v>
      </c>
      <c r="AA17" s="34"/>
      <c r="AE17" s="34"/>
      <c r="AI17" s="34"/>
    </row>
    <row r="18" spans="2:35" ht="20.100000000000001" customHeight="1">
      <c r="B18" s="679"/>
      <c r="C18" s="21" t="s">
        <v>111</v>
      </c>
      <c r="D18" s="23"/>
      <c r="E18" s="23"/>
      <c r="F18" s="23"/>
      <c r="G18" s="23"/>
      <c r="H18" s="23"/>
      <c r="I18" s="27"/>
      <c r="J18" s="28"/>
      <c r="K18" s="28"/>
      <c r="L18" s="32"/>
      <c r="N18" s="31" t="e">
        <f>#REF!/#REF!*100</f>
        <v>#REF!</v>
      </c>
      <c r="O18" s="31" t="e">
        <f t="shared" si="8"/>
        <v>#DIV/0!</v>
      </c>
      <c r="P18" s="31" t="e">
        <f t="shared" si="8"/>
        <v>#DIV/0!</v>
      </c>
      <c r="Q18" s="31" t="e">
        <f t="shared" si="8"/>
        <v>#DIV/0!</v>
      </c>
      <c r="S18" s="31" t="e">
        <f>N14</f>
        <v>#REF!</v>
      </c>
      <c r="T18" s="31" t="e">
        <f>N18</f>
        <v>#REF!</v>
      </c>
      <c r="U18" s="31" t="e">
        <f>#REF!</f>
        <v>#REF!</v>
      </c>
      <c r="V18" s="31" t="e">
        <f>N22</f>
        <v>#REF!</v>
      </c>
      <c r="W18" s="31" t="e">
        <f t="shared" si="7"/>
        <v>#REF!</v>
      </c>
      <c r="AA18" s="34"/>
      <c r="AE18" s="34"/>
      <c r="AI18" s="34"/>
    </row>
    <row r="19" spans="2:35" ht="20.100000000000001" customHeight="1">
      <c r="B19" s="679"/>
      <c r="C19" s="21" t="s">
        <v>112</v>
      </c>
      <c r="D19" s="23"/>
      <c r="E19" s="23"/>
      <c r="F19" s="23"/>
      <c r="G19" s="23"/>
      <c r="H19" s="23"/>
      <c r="I19" s="27"/>
      <c r="J19" s="28"/>
      <c r="K19" s="28"/>
      <c r="L19" s="32"/>
      <c r="N19" s="31" t="e">
        <f>#REF!/#REF!*100</f>
        <v>#REF!</v>
      </c>
      <c r="O19" s="31" t="e">
        <f t="shared" si="8"/>
        <v>#DIV/0!</v>
      </c>
      <c r="P19" s="31" t="e">
        <f t="shared" si="8"/>
        <v>#DIV/0!</v>
      </c>
      <c r="Q19" s="31" t="e">
        <f t="shared" si="8"/>
        <v>#DIV/0!</v>
      </c>
      <c r="S19" s="31" t="e">
        <f>N15</f>
        <v>#REF!</v>
      </c>
      <c r="T19" s="31" t="e">
        <f>N19</f>
        <v>#REF!</v>
      </c>
      <c r="U19" s="31" t="e">
        <f>#REF!</f>
        <v>#REF!</v>
      </c>
      <c r="V19" s="31" t="e">
        <f>N23</f>
        <v>#REF!</v>
      </c>
      <c r="W19" s="31" t="e">
        <f t="shared" si="7"/>
        <v>#REF!</v>
      </c>
      <c r="AA19" s="34"/>
      <c r="AE19" s="34"/>
      <c r="AI19" s="34"/>
    </row>
    <row r="20" spans="2:35" ht="20.100000000000001" customHeight="1">
      <c r="B20" s="679"/>
      <c r="C20" s="20" t="s">
        <v>89</v>
      </c>
      <c r="D20" s="23"/>
      <c r="E20" s="23"/>
      <c r="F20" s="23"/>
      <c r="G20" s="23"/>
      <c r="H20" s="23"/>
      <c r="I20" s="27"/>
      <c r="J20" s="28"/>
      <c r="K20" s="28"/>
      <c r="L20" s="32"/>
      <c r="N20" s="31" t="e">
        <f>#REF!/#REF!*100</f>
        <v>#REF!</v>
      </c>
      <c r="O20" s="31" t="e">
        <f t="shared" si="8"/>
        <v>#DIV/0!</v>
      </c>
      <c r="P20" s="31" t="e">
        <f t="shared" si="8"/>
        <v>#DIV/0!</v>
      </c>
      <c r="Q20" s="31" t="e">
        <f t="shared" si="8"/>
        <v>#DIV/0!</v>
      </c>
      <c r="S20" s="31" t="e">
        <f>N16</f>
        <v>#REF!</v>
      </c>
      <c r="T20" s="31" t="e">
        <f>N20</f>
        <v>#REF!</v>
      </c>
      <c r="U20" s="31" t="e">
        <f>#REF!</f>
        <v>#REF!</v>
      </c>
      <c r="V20" s="31" t="e">
        <f>N24</f>
        <v>#REF!</v>
      </c>
      <c r="W20" s="31" t="e">
        <f t="shared" si="7"/>
        <v>#REF!</v>
      </c>
      <c r="AA20" s="34"/>
      <c r="AE20" s="34"/>
      <c r="AI20" s="34"/>
    </row>
    <row r="21" spans="2:35" ht="20.100000000000001" customHeight="1">
      <c r="B21" s="679" t="s">
        <v>26</v>
      </c>
      <c r="C21" s="21" t="s">
        <v>110</v>
      </c>
      <c r="D21" s="23"/>
      <c r="E21" s="23"/>
      <c r="F21" s="23">
        <f>F41+'2车间表1'!D24</f>
        <v>0</v>
      </c>
      <c r="G21" s="23" t="str">
        <f t="shared" si="4"/>
        <v>0.00</v>
      </c>
      <c r="H21" s="23"/>
      <c r="I21" s="27" t="str">
        <f t="shared" si="5"/>
        <v>0.00</v>
      </c>
      <c r="J21" s="28">
        <f>J41+'2车间表1'!I24</f>
        <v>0</v>
      </c>
      <c r="K21" s="28"/>
      <c r="L21" s="32">
        <f>L41+'2车间表1'!K24</f>
        <v>0</v>
      </c>
      <c r="N21" s="31" t="e">
        <f>#REF!/#REF!*100</f>
        <v>#REF!</v>
      </c>
      <c r="O21" s="31" t="e">
        <f t="shared" ref="O21:Q24" si="9">J21/J7*100</f>
        <v>#DIV/0!</v>
      </c>
      <c r="P21" s="31" t="e">
        <f t="shared" si="9"/>
        <v>#DIV/0!</v>
      </c>
      <c r="Q21" s="31" t="e">
        <f t="shared" si="9"/>
        <v>#DIV/0!</v>
      </c>
      <c r="S21" s="31" t="e">
        <f>Q13</f>
        <v>#DIV/0!</v>
      </c>
      <c r="T21" s="31" t="e">
        <f>Q17</f>
        <v>#DIV/0!</v>
      </c>
      <c r="U21" s="31" t="e">
        <f>#REF!</f>
        <v>#REF!</v>
      </c>
      <c r="V21" s="31" t="e">
        <f>Q21</f>
        <v>#DIV/0!</v>
      </c>
      <c r="W21" s="31" t="e">
        <f t="shared" si="7"/>
        <v>#DIV/0!</v>
      </c>
      <c r="AA21" s="34"/>
      <c r="AE21" s="34"/>
      <c r="AI21" s="34"/>
    </row>
    <row r="22" spans="2:35" ht="20.100000000000001" customHeight="1">
      <c r="B22" s="679"/>
      <c r="C22" s="21" t="s">
        <v>111</v>
      </c>
      <c r="D22" s="23"/>
      <c r="E22" s="23"/>
      <c r="F22" s="23">
        <f>F42+'2车间表1'!D25</f>
        <v>0</v>
      </c>
      <c r="G22" s="23" t="str">
        <f t="shared" si="4"/>
        <v>0.00</v>
      </c>
      <c r="H22" s="23"/>
      <c r="I22" s="27" t="str">
        <f t="shared" si="5"/>
        <v>0.00</v>
      </c>
      <c r="J22" s="28">
        <f>J42+'2车间表1'!I25</f>
        <v>0</v>
      </c>
      <c r="K22" s="28"/>
      <c r="L22" s="32">
        <f>L42+'2车间表1'!K25</f>
        <v>0</v>
      </c>
      <c r="N22" s="31" t="e">
        <f>#REF!/#REF!*100</f>
        <v>#REF!</v>
      </c>
      <c r="O22" s="31" t="e">
        <f t="shared" si="9"/>
        <v>#DIV/0!</v>
      </c>
      <c r="P22" s="31" t="e">
        <f t="shared" si="9"/>
        <v>#DIV/0!</v>
      </c>
      <c r="Q22" s="31" t="e">
        <f t="shared" si="9"/>
        <v>#DIV/0!</v>
      </c>
      <c r="S22" s="31" t="e">
        <f>Q14</f>
        <v>#DIV/0!</v>
      </c>
      <c r="T22" s="31" t="e">
        <f>Q18</f>
        <v>#DIV/0!</v>
      </c>
      <c r="U22" s="31" t="e">
        <f>#REF!</f>
        <v>#REF!</v>
      </c>
      <c r="V22" s="31" t="e">
        <f>Q22</f>
        <v>#DIV/0!</v>
      </c>
      <c r="W22" s="31" t="e">
        <f t="shared" si="7"/>
        <v>#DIV/0!</v>
      </c>
      <c r="AA22" s="34"/>
      <c r="AE22" s="34"/>
      <c r="AI22" s="34"/>
    </row>
    <row r="23" spans="2:35" ht="20.100000000000001" customHeight="1">
      <c r="B23" s="679"/>
      <c r="C23" s="21" t="s">
        <v>112</v>
      </c>
      <c r="D23" s="23"/>
      <c r="E23" s="23"/>
      <c r="F23" s="23">
        <f>F43+'2车间表1'!D26</f>
        <v>0</v>
      </c>
      <c r="G23" s="23" t="str">
        <f t="shared" si="4"/>
        <v>0.00</v>
      </c>
      <c r="H23" s="23"/>
      <c r="I23" s="27" t="str">
        <f t="shared" si="5"/>
        <v>0.00</v>
      </c>
      <c r="J23" s="28">
        <f>J43+'2车间表1'!I26</f>
        <v>0</v>
      </c>
      <c r="K23" s="28"/>
      <c r="L23" s="32">
        <f>L43+'2车间表1'!K26</f>
        <v>0</v>
      </c>
      <c r="N23" s="31" t="e">
        <f>#REF!/#REF!*100</f>
        <v>#REF!</v>
      </c>
      <c r="O23" s="31" t="e">
        <f t="shared" si="9"/>
        <v>#DIV/0!</v>
      </c>
      <c r="P23" s="31" t="e">
        <f t="shared" si="9"/>
        <v>#DIV/0!</v>
      </c>
      <c r="Q23" s="31" t="e">
        <f t="shared" si="9"/>
        <v>#DIV/0!</v>
      </c>
      <c r="S23" s="31" t="e">
        <f>Q15</f>
        <v>#DIV/0!</v>
      </c>
      <c r="T23" s="31" t="e">
        <f>Q19</f>
        <v>#DIV/0!</v>
      </c>
      <c r="U23" s="31" t="e">
        <f>#REF!</f>
        <v>#REF!</v>
      </c>
      <c r="V23" s="31" t="e">
        <f>Q23</f>
        <v>#DIV/0!</v>
      </c>
      <c r="W23" s="31" t="e">
        <f t="shared" si="7"/>
        <v>#DIV/0!</v>
      </c>
      <c r="AA23" s="34"/>
      <c r="AE23" s="34"/>
      <c r="AI23" s="34"/>
    </row>
    <row r="24" spans="2:35" ht="20.100000000000001" customHeight="1">
      <c r="B24" s="679"/>
      <c r="C24" s="20" t="s">
        <v>89</v>
      </c>
      <c r="D24" s="23"/>
      <c r="E24" s="23"/>
      <c r="F24" s="23">
        <f>F21+F22+F23</f>
        <v>0</v>
      </c>
      <c r="G24" s="23" t="str">
        <f t="shared" si="4"/>
        <v>0.00</v>
      </c>
      <c r="H24" s="23"/>
      <c r="I24" s="27" t="str">
        <f t="shared" si="5"/>
        <v>0.00</v>
      </c>
      <c r="J24" s="28">
        <f>J21+J22+J23</f>
        <v>0</v>
      </c>
      <c r="K24" s="28"/>
      <c r="L24" s="32">
        <f>L21+L22+L23</f>
        <v>0</v>
      </c>
      <c r="N24" s="31" t="e">
        <f>#REF!/#REF!*100</f>
        <v>#REF!</v>
      </c>
      <c r="O24" s="31" t="e">
        <f t="shared" si="9"/>
        <v>#DIV/0!</v>
      </c>
      <c r="P24" s="31" t="e">
        <f t="shared" si="9"/>
        <v>#DIV/0!</v>
      </c>
      <c r="Q24" s="31" t="e">
        <f t="shared" si="9"/>
        <v>#DIV/0!</v>
      </c>
      <c r="S24" s="31" t="e">
        <f>Q16</f>
        <v>#DIV/0!</v>
      </c>
      <c r="T24" s="31" t="e">
        <f>Q20</f>
        <v>#DIV/0!</v>
      </c>
      <c r="U24" s="31" t="e">
        <f>#REF!</f>
        <v>#REF!</v>
      </c>
      <c r="V24" s="31" t="e">
        <f>Q24</f>
        <v>#DIV/0!</v>
      </c>
      <c r="W24" s="31" t="e">
        <f t="shared" si="7"/>
        <v>#DIV/0!</v>
      </c>
      <c r="AA24" s="34"/>
      <c r="AE24" s="34"/>
      <c r="AI24" s="34"/>
    </row>
    <row r="25" spans="2:35">
      <c r="B25" s="19"/>
      <c r="C25" s="694" t="s">
        <v>66</v>
      </c>
      <c r="D25" s="694"/>
      <c r="E25" s="694"/>
      <c r="F25" s="19"/>
      <c r="G25" s="19"/>
      <c r="H25" s="19"/>
      <c r="I25" s="19"/>
      <c r="J25" s="694"/>
      <c r="K25" s="694"/>
      <c r="L25" s="19"/>
    </row>
    <row r="26" spans="2:3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9" spans="2:35">
      <c r="D29" s="18" t="s">
        <v>90</v>
      </c>
    </row>
    <row r="30" spans="2:35">
      <c r="B30" s="679" t="s">
        <v>42</v>
      </c>
      <c r="C30" s="679" t="s">
        <v>43</v>
      </c>
      <c r="D30" s="679" t="s">
        <v>44</v>
      </c>
      <c r="E30" s="679" t="s">
        <v>45</v>
      </c>
      <c r="F30" s="680" t="s">
        <v>50</v>
      </c>
      <c r="G30" s="680" t="s">
        <v>85</v>
      </c>
      <c r="H30" s="680"/>
      <c r="I30" s="680"/>
      <c r="J30" s="680" t="s">
        <v>76</v>
      </c>
      <c r="K30" s="680"/>
      <c r="L30" s="680"/>
    </row>
    <row r="31" spans="2:35">
      <c r="B31" s="679"/>
      <c r="C31" s="679"/>
      <c r="D31" s="679"/>
      <c r="E31" s="679"/>
      <c r="F31" s="680"/>
      <c r="G31" s="20" t="s">
        <v>6</v>
      </c>
      <c r="H31" s="20" t="s">
        <v>7</v>
      </c>
      <c r="I31" s="20" t="s">
        <v>51</v>
      </c>
      <c r="J31" s="20" t="s">
        <v>53</v>
      </c>
      <c r="K31" s="20" t="s">
        <v>54</v>
      </c>
      <c r="L31" s="20" t="s">
        <v>55</v>
      </c>
    </row>
    <row r="32" spans="2:35">
      <c r="B32" s="679" t="s">
        <v>10</v>
      </c>
      <c r="C32" s="21" t="s">
        <v>91</v>
      </c>
      <c r="D32" s="573"/>
      <c r="E32" s="573"/>
      <c r="F32" s="573"/>
      <c r="G32" s="574"/>
      <c r="H32" s="574"/>
      <c r="I32" s="574"/>
      <c r="J32" s="576"/>
      <c r="K32" s="576"/>
      <c r="L32" s="577"/>
      <c r="O32" s="578"/>
      <c r="P32" s="578"/>
      <c r="Q32" s="578"/>
      <c r="R32" s="578"/>
      <c r="S32" s="579"/>
      <c r="T32" s="579"/>
      <c r="U32" s="579"/>
      <c r="V32" s="579"/>
    </row>
    <row r="33" spans="2:22">
      <c r="B33" s="679"/>
      <c r="C33" s="21" t="s">
        <v>92</v>
      </c>
      <c r="D33" s="573"/>
      <c r="E33" s="573"/>
      <c r="F33" s="573"/>
      <c r="G33" s="574"/>
      <c r="H33" s="574"/>
      <c r="I33" s="574"/>
      <c r="J33" s="576"/>
      <c r="K33" s="576"/>
      <c r="L33" s="577"/>
      <c r="O33" s="578"/>
      <c r="P33" s="578"/>
      <c r="Q33" s="578"/>
      <c r="R33" s="578"/>
      <c r="S33" s="579"/>
      <c r="T33" s="579"/>
      <c r="U33" s="579"/>
      <c r="V33" s="579"/>
    </row>
    <row r="34" spans="2:22">
      <c r="B34" s="679"/>
      <c r="C34" s="21" t="s">
        <v>93</v>
      </c>
      <c r="D34" s="573"/>
      <c r="E34" s="573"/>
      <c r="F34" s="573"/>
      <c r="G34" s="574"/>
      <c r="H34" s="574"/>
      <c r="I34" s="574"/>
      <c r="J34" s="576"/>
      <c r="K34" s="576"/>
      <c r="L34" s="577"/>
      <c r="O34" s="578"/>
      <c r="P34" s="578"/>
      <c r="Q34" s="578"/>
      <c r="R34" s="578"/>
      <c r="S34" s="579"/>
      <c r="T34" s="579"/>
      <c r="U34" s="579"/>
      <c r="V34" s="579"/>
    </row>
    <row r="35" spans="2:22">
      <c r="B35" s="679" t="s">
        <v>23</v>
      </c>
      <c r="C35" s="21" t="s">
        <v>91</v>
      </c>
      <c r="D35" s="574"/>
      <c r="E35" s="574"/>
      <c r="F35" s="573"/>
      <c r="G35" s="574"/>
      <c r="H35" s="574"/>
      <c r="I35" s="574"/>
      <c r="J35" s="576"/>
      <c r="K35" s="576"/>
      <c r="L35" s="577"/>
      <c r="O35" s="578"/>
      <c r="P35" s="578"/>
      <c r="Q35" s="578"/>
      <c r="R35" s="578"/>
      <c r="S35" s="579"/>
      <c r="T35" s="579"/>
      <c r="U35" s="579"/>
      <c r="V35" s="579"/>
    </row>
    <row r="36" spans="2:22">
      <c r="B36" s="679"/>
      <c r="C36" s="21" t="s">
        <v>92</v>
      </c>
      <c r="D36" s="574"/>
      <c r="E36" s="574"/>
      <c r="F36" s="573"/>
      <c r="G36" s="574"/>
      <c r="H36" s="574"/>
      <c r="I36" s="574"/>
      <c r="J36" s="576"/>
      <c r="K36" s="576"/>
      <c r="L36" s="577"/>
      <c r="O36" s="578"/>
      <c r="P36" s="578"/>
      <c r="Q36" s="578"/>
      <c r="R36" s="578"/>
      <c r="S36" s="579"/>
      <c r="T36" s="579"/>
      <c r="U36" s="579"/>
      <c r="V36" s="579"/>
    </row>
    <row r="37" spans="2:22">
      <c r="B37" s="679"/>
      <c r="C37" s="21" t="s">
        <v>93</v>
      </c>
      <c r="D37" s="574"/>
      <c r="E37" s="574"/>
      <c r="F37" s="573"/>
      <c r="G37" s="574"/>
      <c r="H37" s="574"/>
      <c r="I37" s="574"/>
      <c r="J37" s="576"/>
      <c r="K37" s="576"/>
      <c r="L37" s="577"/>
      <c r="O37" s="578"/>
      <c r="P37" s="578"/>
      <c r="Q37" s="578"/>
      <c r="R37" s="578"/>
      <c r="S37" s="579"/>
      <c r="T37" s="579"/>
      <c r="U37" s="579"/>
      <c r="V37" s="579"/>
    </row>
    <row r="38" spans="2:22">
      <c r="B38" s="679" t="s">
        <v>25</v>
      </c>
      <c r="C38" s="21" t="s">
        <v>91</v>
      </c>
      <c r="D38" s="574"/>
      <c r="E38" s="574"/>
      <c r="F38" s="573"/>
      <c r="G38" s="574"/>
      <c r="H38" s="574"/>
      <c r="I38" s="574"/>
      <c r="J38" s="576"/>
      <c r="K38" s="576"/>
      <c r="L38" s="577"/>
      <c r="O38" s="578"/>
      <c r="P38" s="578"/>
      <c r="Q38" s="578"/>
      <c r="R38" s="578"/>
      <c r="S38" s="579"/>
      <c r="T38" s="579"/>
      <c r="U38" s="579"/>
      <c r="V38" s="579"/>
    </row>
    <row r="39" spans="2:22">
      <c r="B39" s="679"/>
      <c r="C39" s="21" t="s">
        <v>92</v>
      </c>
      <c r="D39" s="574"/>
      <c r="E39" s="574"/>
      <c r="F39" s="573"/>
      <c r="G39" s="574"/>
      <c r="H39" s="574"/>
      <c r="I39" s="574"/>
      <c r="J39" s="576"/>
      <c r="K39" s="576"/>
      <c r="L39" s="577"/>
      <c r="O39" s="578"/>
      <c r="P39" s="578"/>
      <c r="Q39" s="578"/>
      <c r="R39" s="578"/>
      <c r="S39" s="579"/>
      <c r="T39" s="579"/>
      <c r="U39" s="579"/>
      <c r="V39" s="579"/>
    </row>
    <row r="40" spans="2:22">
      <c r="B40" s="679"/>
      <c r="C40" s="21" t="s">
        <v>93</v>
      </c>
      <c r="D40" s="574"/>
      <c r="E40" s="574"/>
      <c r="F40" s="573"/>
      <c r="G40" s="574"/>
      <c r="H40" s="574"/>
      <c r="I40" s="574"/>
      <c r="J40" s="576"/>
      <c r="K40" s="576"/>
      <c r="L40" s="577"/>
      <c r="O40" s="578"/>
      <c r="P40" s="578"/>
      <c r="Q40" s="578"/>
      <c r="R40" s="578"/>
      <c r="S40" s="579"/>
      <c r="T40" s="579"/>
      <c r="U40" s="579"/>
      <c r="V40" s="579"/>
    </row>
    <row r="41" spans="2:22">
      <c r="B41" s="679" t="s">
        <v>26</v>
      </c>
      <c r="C41" s="21" t="s">
        <v>91</v>
      </c>
      <c r="D41" s="574"/>
      <c r="E41" s="574"/>
      <c r="F41" s="573"/>
      <c r="G41" s="574"/>
      <c r="H41" s="574"/>
      <c r="I41" s="574"/>
      <c r="J41" s="576"/>
      <c r="K41" s="576"/>
      <c r="L41" s="577"/>
      <c r="O41" s="578"/>
      <c r="P41" s="578"/>
      <c r="Q41" s="578"/>
      <c r="R41" s="578"/>
      <c r="S41" s="579"/>
      <c r="T41" s="579"/>
      <c r="U41" s="579"/>
      <c r="V41" s="579"/>
    </row>
    <row r="42" spans="2:22">
      <c r="B42" s="679"/>
      <c r="C42" s="21" t="s">
        <v>92</v>
      </c>
      <c r="D42" s="574"/>
      <c r="E42" s="574"/>
      <c r="F42" s="573"/>
      <c r="G42" s="574"/>
      <c r="H42" s="574"/>
      <c r="I42" s="574"/>
      <c r="J42" s="576"/>
      <c r="K42" s="576"/>
      <c r="L42" s="577"/>
      <c r="O42" s="578"/>
      <c r="P42" s="578"/>
      <c r="Q42" s="578"/>
      <c r="R42" s="578"/>
      <c r="S42" s="579"/>
      <c r="T42" s="579"/>
      <c r="U42" s="579"/>
      <c r="V42" s="579"/>
    </row>
    <row r="43" spans="2:22">
      <c r="B43" s="679"/>
      <c r="C43" s="21" t="s">
        <v>93</v>
      </c>
      <c r="D43" s="574"/>
      <c r="E43" s="574"/>
      <c r="F43" s="573"/>
      <c r="G43" s="574"/>
      <c r="H43" s="574"/>
      <c r="I43" s="574"/>
      <c r="J43" s="576"/>
      <c r="K43" s="576"/>
      <c r="L43" s="577"/>
    </row>
    <row r="46" spans="2:22">
      <c r="D46" s="18" t="s">
        <v>94</v>
      </c>
    </row>
    <row r="47" spans="2:22">
      <c r="B47" s="679" t="s">
        <v>42</v>
      </c>
      <c r="C47" s="679" t="s">
        <v>43</v>
      </c>
      <c r="D47" s="679" t="s">
        <v>44</v>
      </c>
      <c r="E47" s="679" t="s">
        <v>45</v>
      </c>
      <c r="F47" s="680" t="s">
        <v>50</v>
      </c>
      <c r="G47" s="680" t="s">
        <v>85</v>
      </c>
      <c r="H47" s="680"/>
      <c r="I47" s="680"/>
      <c r="J47" s="680" t="s">
        <v>76</v>
      </c>
      <c r="K47" s="680"/>
      <c r="L47" s="680"/>
    </row>
    <row r="48" spans="2:22">
      <c r="B48" s="679"/>
      <c r="C48" s="679"/>
      <c r="D48" s="679"/>
      <c r="E48" s="679"/>
      <c r="F48" s="680"/>
      <c r="G48" s="20" t="s">
        <v>6</v>
      </c>
      <c r="H48" s="20" t="s">
        <v>7</v>
      </c>
      <c r="I48" s="20" t="s">
        <v>51</v>
      </c>
      <c r="J48" s="20" t="s">
        <v>53</v>
      </c>
      <c r="K48" s="20" t="s">
        <v>54</v>
      </c>
      <c r="L48" s="20" t="s">
        <v>55</v>
      </c>
    </row>
    <row r="49" spans="2:12">
      <c r="B49" s="679" t="s">
        <v>10</v>
      </c>
      <c r="C49" s="21" t="s">
        <v>91</v>
      </c>
      <c r="D49" s="23" t="str">
        <f t="shared" ref="D49:F51" si="10">D7</f>
        <v>0.00</v>
      </c>
      <c r="E49" s="23">
        <f t="shared" si="10"/>
        <v>0</v>
      </c>
      <c r="F49" s="23">
        <f t="shared" si="10"/>
        <v>0</v>
      </c>
      <c r="G49" s="575"/>
      <c r="H49" s="575"/>
      <c r="I49" s="575"/>
      <c r="J49" s="28">
        <f t="shared" ref="J49:L51" si="11">J7</f>
        <v>0</v>
      </c>
      <c r="K49" s="28">
        <f t="shared" si="11"/>
        <v>0</v>
      </c>
      <c r="L49" s="32">
        <f t="shared" si="11"/>
        <v>0</v>
      </c>
    </row>
    <row r="50" spans="2:12">
      <c r="B50" s="679"/>
      <c r="C50" s="21" t="s">
        <v>92</v>
      </c>
      <c r="D50" s="23" t="str">
        <f t="shared" si="10"/>
        <v>0.00</v>
      </c>
      <c r="E50" s="23">
        <f t="shared" si="10"/>
        <v>0</v>
      </c>
      <c r="F50" s="23">
        <f t="shared" si="10"/>
        <v>0</v>
      </c>
      <c r="G50" s="575"/>
      <c r="H50" s="575"/>
      <c r="I50" s="575"/>
      <c r="J50" s="28">
        <f t="shared" si="11"/>
        <v>0</v>
      </c>
      <c r="K50" s="28">
        <f t="shared" si="11"/>
        <v>0</v>
      </c>
      <c r="L50" s="32">
        <f t="shared" si="11"/>
        <v>0</v>
      </c>
    </row>
    <row r="51" spans="2:12">
      <c r="B51" s="679"/>
      <c r="C51" s="21" t="s">
        <v>93</v>
      </c>
      <c r="D51" s="23" t="str">
        <f t="shared" si="10"/>
        <v>0.00</v>
      </c>
      <c r="E51" s="23">
        <f t="shared" si="10"/>
        <v>0</v>
      </c>
      <c r="F51" s="23">
        <f t="shared" si="10"/>
        <v>0</v>
      </c>
      <c r="G51" s="575"/>
      <c r="H51" s="575"/>
      <c r="I51" s="575"/>
      <c r="J51" s="28">
        <f t="shared" si="11"/>
        <v>0</v>
      </c>
      <c r="K51" s="28">
        <f t="shared" si="11"/>
        <v>0</v>
      </c>
      <c r="L51" s="32">
        <f t="shared" si="11"/>
        <v>0</v>
      </c>
    </row>
    <row r="52" spans="2:12">
      <c r="B52" s="679" t="s">
        <v>23</v>
      </c>
      <c r="C52" s="21" t="s">
        <v>91</v>
      </c>
      <c r="D52" s="575"/>
      <c r="E52" s="575"/>
      <c r="F52" s="23">
        <f>F13</f>
        <v>0</v>
      </c>
      <c r="G52" s="575"/>
      <c r="H52" s="575"/>
      <c r="I52" s="575"/>
      <c r="J52" s="28">
        <f t="shared" ref="J52:L54" si="12">J13</f>
        <v>0</v>
      </c>
      <c r="K52" s="28">
        <f t="shared" si="12"/>
        <v>0</v>
      </c>
      <c r="L52" s="32">
        <f t="shared" si="12"/>
        <v>0</v>
      </c>
    </row>
    <row r="53" spans="2:12">
      <c r="B53" s="679"/>
      <c r="C53" s="21" t="s">
        <v>92</v>
      </c>
      <c r="D53" s="575"/>
      <c r="E53" s="575"/>
      <c r="F53" s="23">
        <f>F14</f>
        <v>0</v>
      </c>
      <c r="G53" s="575"/>
      <c r="H53" s="575"/>
      <c r="I53" s="575"/>
      <c r="J53" s="28">
        <f t="shared" si="12"/>
        <v>0</v>
      </c>
      <c r="K53" s="28">
        <f t="shared" si="12"/>
        <v>0</v>
      </c>
      <c r="L53" s="32">
        <f t="shared" si="12"/>
        <v>0</v>
      </c>
    </row>
    <row r="54" spans="2:12">
      <c r="B54" s="679"/>
      <c r="C54" s="21" t="s">
        <v>93</v>
      </c>
      <c r="D54" s="575"/>
      <c r="E54" s="575"/>
      <c r="F54" s="23">
        <f>F15</f>
        <v>0</v>
      </c>
      <c r="G54" s="575"/>
      <c r="H54" s="575"/>
      <c r="I54" s="575"/>
      <c r="J54" s="28">
        <f t="shared" si="12"/>
        <v>0</v>
      </c>
      <c r="K54" s="28">
        <f t="shared" si="12"/>
        <v>0</v>
      </c>
      <c r="L54" s="32">
        <f t="shared" si="12"/>
        <v>0</v>
      </c>
    </row>
    <row r="55" spans="2:12">
      <c r="B55" s="679" t="s">
        <v>25</v>
      </c>
      <c r="C55" s="21" t="s">
        <v>91</v>
      </c>
      <c r="D55" s="575"/>
      <c r="E55" s="575"/>
      <c r="F55" s="23">
        <f>F17</f>
        <v>0</v>
      </c>
      <c r="G55" s="575"/>
      <c r="H55" s="575"/>
      <c r="I55" s="575"/>
      <c r="J55" s="28">
        <f t="shared" ref="J55:L57" si="13">J17</f>
        <v>0</v>
      </c>
      <c r="K55" s="28">
        <f t="shared" si="13"/>
        <v>0</v>
      </c>
      <c r="L55" s="32">
        <f t="shared" si="13"/>
        <v>0</v>
      </c>
    </row>
    <row r="56" spans="2:12">
      <c r="B56" s="679"/>
      <c r="C56" s="21" t="s">
        <v>92</v>
      </c>
      <c r="D56" s="575"/>
      <c r="E56" s="575"/>
      <c r="F56" s="23">
        <f>F18</f>
        <v>0</v>
      </c>
      <c r="G56" s="575"/>
      <c r="H56" s="575"/>
      <c r="I56" s="575"/>
      <c r="J56" s="28">
        <f t="shared" si="13"/>
        <v>0</v>
      </c>
      <c r="K56" s="28">
        <f t="shared" si="13"/>
        <v>0</v>
      </c>
      <c r="L56" s="32">
        <f t="shared" si="13"/>
        <v>0</v>
      </c>
    </row>
    <row r="57" spans="2:12">
      <c r="B57" s="679"/>
      <c r="C57" s="21" t="s">
        <v>93</v>
      </c>
      <c r="D57" s="575"/>
      <c r="E57" s="575"/>
      <c r="F57" s="23">
        <f>F19</f>
        <v>0</v>
      </c>
      <c r="G57" s="575"/>
      <c r="H57" s="575"/>
      <c r="I57" s="575"/>
      <c r="J57" s="28">
        <f t="shared" si="13"/>
        <v>0</v>
      </c>
      <c r="K57" s="28">
        <f t="shared" si="13"/>
        <v>0</v>
      </c>
      <c r="L57" s="32">
        <f t="shared" si="13"/>
        <v>0</v>
      </c>
    </row>
    <row r="58" spans="2:12">
      <c r="B58" s="679" t="s">
        <v>26</v>
      </c>
      <c r="C58" s="21" t="s">
        <v>91</v>
      </c>
      <c r="D58" s="575"/>
      <c r="E58" s="575"/>
      <c r="F58" s="23">
        <f>F21</f>
        <v>0</v>
      </c>
      <c r="G58" s="575"/>
      <c r="H58" s="575"/>
      <c r="I58" s="575"/>
      <c r="J58" s="28">
        <f t="shared" ref="J58:L60" si="14">J21</f>
        <v>0</v>
      </c>
      <c r="K58" s="28">
        <f t="shared" si="14"/>
        <v>0</v>
      </c>
      <c r="L58" s="32">
        <f t="shared" si="14"/>
        <v>0</v>
      </c>
    </row>
    <row r="59" spans="2:12">
      <c r="B59" s="679"/>
      <c r="C59" s="21" t="s">
        <v>92</v>
      </c>
      <c r="D59" s="575"/>
      <c r="E59" s="575"/>
      <c r="F59" s="23">
        <f>F22</f>
        <v>0</v>
      </c>
      <c r="G59" s="575"/>
      <c r="H59" s="575"/>
      <c r="I59" s="575"/>
      <c r="J59" s="28">
        <f t="shared" si="14"/>
        <v>0</v>
      </c>
      <c r="K59" s="28">
        <f t="shared" si="14"/>
        <v>0</v>
      </c>
      <c r="L59" s="32">
        <f t="shared" si="14"/>
        <v>0</v>
      </c>
    </row>
    <row r="60" spans="2:12">
      <c r="B60" s="679"/>
      <c r="C60" s="21" t="s">
        <v>93</v>
      </c>
      <c r="D60" s="575"/>
      <c r="E60" s="575"/>
      <c r="F60" s="23">
        <f>F23</f>
        <v>0</v>
      </c>
      <c r="G60" s="575"/>
      <c r="H60" s="575"/>
      <c r="I60" s="575"/>
      <c r="J60" s="28">
        <f t="shared" si="14"/>
        <v>0</v>
      </c>
      <c r="K60" s="28">
        <f t="shared" si="14"/>
        <v>0</v>
      </c>
      <c r="L60" s="32">
        <f t="shared" si="14"/>
        <v>0</v>
      </c>
    </row>
  </sheetData>
  <sheetProtection sheet="1" objects="1"/>
  <mergeCells count="48">
    <mergeCell ref="M5:M6"/>
    <mergeCell ref="N5:N6"/>
    <mergeCell ref="B2:L3"/>
    <mergeCell ref="D30:D31"/>
    <mergeCell ref="D47:D48"/>
    <mergeCell ref="E5:E6"/>
    <mergeCell ref="E30:E31"/>
    <mergeCell ref="E47:E48"/>
    <mergeCell ref="G30:I30"/>
    <mergeCell ref="J30:L30"/>
    <mergeCell ref="G47:I47"/>
    <mergeCell ref="J47:L47"/>
    <mergeCell ref="B35:B37"/>
    <mergeCell ref="B38:B40"/>
    <mergeCell ref="B41:B43"/>
    <mergeCell ref="B47:B48"/>
    <mergeCell ref="B52:B54"/>
    <mergeCell ref="B55:B57"/>
    <mergeCell ref="B58:B60"/>
    <mergeCell ref="C5:C6"/>
    <mergeCell ref="C11:C12"/>
    <mergeCell ref="C30:C31"/>
    <mergeCell ref="C47:C48"/>
    <mergeCell ref="B5:B6"/>
    <mergeCell ref="B7:B10"/>
    <mergeCell ref="B11:B12"/>
    <mergeCell ref="B13:B16"/>
    <mergeCell ref="B17:B20"/>
    <mergeCell ref="B21:B24"/>
    <mergeCell ref="B30:B31"/>
    <mergeCell ref="B32:B34"/>
    <mergeCell ref="J11:L11"/>
    <mergeCell ref="C25:E25"/>
    <mergeCell ref="J25:K25"/>
    <mergeCell ref="F11:F12"/>
    <mergeCell ref="B49:B51"/>
    <mergeCell ref="F30:F31"/>
    <mergeCell ref="F47:F48"/>
    <mergeCell ref="C4:D4"/>
    <mergeCell ref="E4:F4"/>
    <mergeCell ref="G4:I4"/>
    <mergeCell ref="D11:E11"/>
    <mergeCell ref="G11:I11"/>
    <mergeCell ref="J4:K4"/>
    <mergeCell ref="G5:I5"/>
    <mergeCell ref="J5:L5"/>
    <mergeCell ref="D5:D6"/>
    <mergeCell ref="F5:F6"/>
  </mergeCells>
  <phoneticPr fontId="54" type="noConversion"/>
  <printOptions horizontalCentered="1" verticalCentered="1"/>
  <pageMargins left="0" right="0" top="0" bottom="0" header="0" footer="0"/>
  <pageSetup paperSize="9" orientation="landscape" horizontalDpi="180" verticalDpi="18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indexed="12"/>
  </sheetPr>
  <dimension ref="B2:AM60"/>
  <sheetViews>
    <sheetView topLeftCell="A10" workbookViewId="0">
      <selection activeCell="AO9" sqref="AO9"/>
    </sheetView>
  </sheetViews>
  <sheetFormatPr defaultColWidth="9" defaultRowHeight="15.6"/>
  <cols>
    <col min="1" max="1" width="4.6640625" style="18" customWidth="1"/>
    <col min="2" max="2" width="6.33203125" style="18" customWidth="1"/>
    <col min="3" max="3" width="7" style="18" customWidth="1"/>
    <col min="4" max="4" width="10.21875" style="18" customWidth="1"/>
    <col min="5" max="5" width="9.88671875" style="18" customWidth="1"/>
    <col min="6" max="6" width="11.6640625" style="18" customWidth="1"/>
    <col min="7" max="8" width="9" style="18"/>
    <col min="9" max="9" width="9.33203125" style="18" customWidth="1"/>
    <col min="10" max="11" width="9" style="18"/>
    <col min="12" max="12" width="10.109375" style="18" customWidth="1"/>
    <col min="13" max="13" width="9" style="18"/>
    <col min="14" max="16" width="9" style="18" hidden="1" customWidth="1"/>
    <col min="17" max="17" width="9.77734375" style="18" hidden="1" customWidth="1"/>
    <col min="18" max="18" width="9" style="18" hidden="1" customWidth="1"/>
    <col min="19" max="19" width="9.109375" style="18" hidden="1" customWidth="1"/>
    <col min="20" max="20" width="9.44140625" style="18" hidden="1" customWidth="1"/>
    <col min="21" max="21" width="10.77734375" style="18" hidden="1" customWidth="1"/>
    <col min="22" max="22" width="10.21875" style="18" hidden="1" customWidth="1"/>
    <col min="23" max="39" width="9" style="18" hidden="1" customWidth="1"/>
    <col min="40" max="254" width="9" style="18"/>
    <col min="255" max="255" width="4.6640625" style="18" customWidth="1"/>
    <col min="256" max="256" width="6.33203125" style="18" customWidth="1"/>
    <col min="257" max="257" width="7" style="18" customWidth="1"/>
    <col min="258" max="258" width="10.21875" style="18" customWidth="1"/>
    <col min="259" max="259" width="9.88671875" style="18" customWidth="1"/>
    <col min="260" max="260" width="11.6640625" style="18" customWidth="1"/>
    <col min="261" max="263" width="9" style="18"/>
    <col min="264" max="264" width="9.33203125" style="18" customWidth="1"/>
    <col min="265" max="265" width="11.21875" style="18" customWidth="1"/>
    <col min="266" max="267" width="9" style="18"/>
    <col min="268" max="268" width="10.109375" style="18" customWidth="1"/>
    <col min="269" max="272" width="9" style="18"/>
    <col min="273" max="273" width="9.77734375" style="18" customWidth="1"/>
    <col min="274" max="274" width="9" style="18"/>
    <col min="275" max="275" width="9.109375" style="18" customWidth="1"/>
    <col min="276" max="276" width="9.44140625" style="18" customWidth="1"/>
    <col min="277" max="277" width="10.77734375" style="18" customWidth="1"/>
    <col min="278" max="278" width="10.21875" style="18" customWidth="1"/>
    <col min="279" max="510" width="9" style="18"/>
    <col min="511" max="511" width="4.6640625" style="18" customWidth="1"/>
    <col min="512" max="512" width="6.33203125" style="18" customWidth="1"/>
    <col min="513" max="513" width="7" style="18" customWidth="1"/>
    <col min="514" max="514" width="10.21875" style="18" customWidth="1"/>
    <col min="515" max="515" width="9.88671875" style="18" customWidth="1"/>
    <col min="516" max="516" width="11.6640625" style="18" customWidth="1"/>
    <col min="517" max="519" width="9" style="18"/>
    <col min="520" max="520" width="9.33203125" style="18" customWidth="1"/>
    <col min="521" max="521" width="11.21875" style="18" customWidth="1"/>
    <col min="522" max="523" width="9" style="18"/>
    <col min="524" max="524" width="10.109375" style="18" customWidth="1"/>
    <col min="525" max="528" width="9" style="18"/>
    <col min="529" max="529" width="9.77734375" style="18" customWidth="1"/>
    <col min="530" max="530" width="9" style="18"/>
    <col min="531" max="531" width="9.109375" style="18" customWidth="1"/>
    <col min="532" max="532" width="9.44140625" style="18" customWidth="1"/>
    <col min="533" max="533" width="10.77734375" style="18" customWidth="1"/>
    <col min="534" max="534" width="10.21875" style="18" customWidth="1"/>
    <col min="535" max="766" width="9" style="18"/>
    <col min="767" max="767" width="4.6640625" style="18" customWidth="1"/>
    <col min="768" max="768" width="6.33203125" style="18" customWidth="1"/>
    <col min="769" max="769" width="7" style="18" customWidth="1"/>
    <col min="770" max="770" width="10.21875" style="18" customWidth="1"/>
    <col min="771" max="771" width="9.88671875" style="18" customWidth="1"/>
    <col min="772" max="772" width="11.6640625" style="18" customWidth="1"/>
    <col min="773" max="775" width="9" style="18"/>
    <col min="776" max="776" width="9.33203125" style="18" customWidth="1"/>
    <col min="777" max="777" width="11.21875" style="18" customWidth="1"/>
    <col min="778" max="779" width="9" style="18"/>
    <col min="780" max="780" width="10.109375" style="18" customWidth="1"/>
    <col min="781" max="784" width="9" style="18"/>
    <col min="785" max="785" width="9.77734375" style="18" customWidth="1"/>
    <col min="786" max="786" width="9" style="18"/>
    <col min="787" max="787" width="9.109375" style="18" customWidth="1"/>
    <col min="788" max="788" width="9.44140625" style="18" customWidth="1"/>
    <col min="789" max="789" width="10.77734375" style="18" customWidth="1"/>
    <col min="790" max="790" width="10.21875" style="18" customWidth="1"/>
    <col min="791" max="1022" width="9" style="18"/>
    <col min="1023" max="1023" width="4.6640625" style="18" customWidth="1"/>
    <col min="1024" max="1024" width="6.33203125" style="18" customWidth="1"/>
    <col min="1025" max="1025" width="7" style="18" customWidth="1"/>
    <col min="1026" max="1026" width="10.21875" style="18" customWidth="1"/>
    <col min="1027" max="1027" width="9.88671875" style="18" customWidth="1"/>
    <col min="1028" max="1028" width="11.6640625" style="18" customWidth="1"/>
    <col min="1029" max="1031" width="9" style="18"/>
    <col min="1032" max="1032" width="9.33203125" style="18" customWidth="1"/>
    <col min="1033" max="1033" width="11.21875" style="18" customWidth="1"/>
    <col min="1034" max="1035" width="9" style="18"/>
    <col min="1036" max="1036" width="10.109375" style="18" customWidth="1"/>
    <col min="1037" max="1040" width="9" style="18"/>
    <col min="1041" max="1041" width="9.77734375" style="18" customWidth="1"/>
    <col min="1042" max="1042" width="9" style="18"/>
    <col min="1043" max="1043" width="9.109375" style="18" customWidth="1"/>
    <col min="1044" max="1044" width="9.44140625" style="18" customWidth="1"/>
    <col min="1045" max="1045" width="10.77734375" style="18" customWidth="1"/>
    <col min="1046" max="1046" width="10.21875" style="18" customWidth="1"/>
    <col min="1047" max="1278" width="9" style="18"/>
    <col min="1279" max="1279" width="4.6640625" style="18" customWidth="1"/>
    <col min="1280" max="1280" width="6.33203125" style="18" customWidth="1"/>
    <col min="1281" max="1281" width="7" style="18" customWidth="1"/>
    <col min="1282" max="1282" width="10.21875" style="18" customWidth="1"/>
    <col min="1283" max="1283" width="9.88671875" style="18" customWidth="1"/>
    <col min="1284" max="1284" width="11.6640625" style="18" customWidth="1"/>
    <col min="1285" max="1287" width="9" style="18"/>
    <col min="1288" max="1288" width="9.33203125" style="18" customWidth="1"/>
    <col min="1289" max="1289" width="11.21875" style="18" customWidth="1"/>
    <col min="1290" max="1291" width="9" style="18"/>
    <col min="1292" max="1292" width="10.109375" style="18" customWidth="1"/>
    <col min="1293" max="1296" width="9" style="18"/>
    <col min="1297" max="1297" width="9.77734375" style="18" customWidth="1"/>
    <col min="1298" max="1298" width="9" style="18"/>
    <col min="1299" max="1299" width="9.109375" style="18" customWidth="1"/>
    <col min="1300" max="1300" width="9.44140625" style="18" customWidth="1"/>
    <col min="1301" max="1301" width="10.77734375" style="18" customWidth="1"/>
    <col min="1302" max="1302" width="10.21875" style="18" customWidth="1"/>
    <col min="1303" max="1534" width="9" style="18"/>
    <col min="1535" max="1535" width="4.6640625" style="18" customWidth="1"/>
    <col min="1536" max="1536" width="6.33203125" style="18" customWidth="1"/>
    <col min="1537" max="1537" width="7" style="18" customWidth="1"/>
    <col min="1538" max="1538" width="10.21875" style="18" customWidth="1"/>
    <col min="1539" max="1539" width="9.88671875" style="18" customWidth="1"/>
    <col min="1540" max="1540" width="11.6640625" style="18" customWidth="1"/>
    <col min="1541" max="1543" width="9" style="18"/>
    <col min="1544" max="1544" width="9.33203125" style="18" customWidth="1"/>
    <col min="1545" max="1545" width="11.21875" style="18" customWidth="1"/>
    <col min="1546" max="1547" width="9" style="18"/>
    <col min="1548" max="1548" width="10.109375" style="18" customWidth="1"/>
    <col min="1549" max="1552" width="9" style="18"/>
    <col min="1553" max="1553" width="9.77734375" style="18" customWidth="1"/>
    <col min="1554" max="1554" width="9" style="18"/>
    <col min="1555" max="1555" width="9.109375" style="18" customWidth="1"/>
    <col min="1556" max="1556" width="9.44140625" style="18" customWidth="1"/>
    <col min="1557" max="1557" width="10.77734375" style="18" customWidth="1"/>
    <col min="1558" max="1558" width="10.21875" style="18" customWidth="1"/>
    <col min="1559" max="1790" width="9" style="18"/>
    <col min="1791" max="1791" width="4.6640625" style="18" customWidth="1"/>
    <col min="1792" max="1792" width="6.33203125" style="18" customWidth="1"/>
    <col min="1793" max="1793" width="7" style="18" customWidth="1"/>
    <col min="1794" max="1794" width="10.21875" style="18" customWidth="1"/>
    <col min="1795" max="1795" width="9.88671875" style="18" customWidth="1"/>
    <col min="1796" max="1796" width="11.6640625" style="18" customWidth="1"/>
    <col min="1797" max="1799" width="9" style="18"/>
    <col min="1800" max="1800" width="9.33203125" style="18" customWidth="1"/>
    <col min="1801" max="1801" width="11.21875" style="18" customWidth="1"/>
    <col min="1802" max="1803" width="9" style="18"/>
    <col min="1804" max="1804" width="10.109375" style="18" customWidth="1"/>
    <col min="1805" max="1808" width="9" style="18"/>
    <col min="1809" max="1809" width="9.77734375" style="18" customWidth="1"/>
    <col min="1810" max="1810" width="9" style="18"/>
    <col min="1811" max="1811" width="9.109375" style="18" customWidth="1"/>
    <col min="1812" max="1812" width="9.44140625" style="18" customWidth="1"/>
    <col min="1813" max="1813" width="10.77734375" style="18" customWidth="1"/>
    <col min="1814" max="1814" width="10.21875" style="18" customWidth="1"/>
    <col min="1815" max="2046" width="9" style="18"/>
    <col min="2047" max="2047" width="4.6640625" style="18" customWidth="1"/>
    <col min="2048" max="2048" width="6.33203125" style="18" customWidth="1"/>
    <col min="2049" max="2049" width="7" style="18" customWidth="1"/>
    <col min="2050" max="2050" width="10.21875" style="18" customWidth="1"/>
    <col min="2051" max="2051" width="9.88671875" style="18" customWidth="1"/>
    <col min="2052" max="2052" width="11.6640625" style="18" customWidth="1"/>
    <col min="2053" max="2055" width="9" style="18"/>
    <col min="2056" max="2056" width="9.33203125" style="18" customWidth="1"/>
    <col min="2057" max="2057" width="11.21875" style="18" customWidth="1"/>
    <col min="2058" max="2059" width="9" style="18"/>
    <col min="2060" max="2060" width="10.109375" style="18" customWidth="1"/>
    <col min="2061" max="2064" width="9" style="18"/>
    <col min="2065" max="2065" width="9.77734375" style="18" customWidth="1"/>
    <col min="2066" max="2066" width="9" style="18"/>
    <col min="2067" max="2067" width="9.109375" style="18" customWidth="1"/>
    <col min="2068" max="2068" width="9.44140625" style="18" customWidth="1"/>
    <col min="2069" max="2069" width="10.77734375" style="18" customWidth="1"/>
    <col min="2070" max="2070" width="10.21875" style="18" customWidth="1"/>
    <col min="2071" max="2302" width="9" style="18"/>
    <col min="2303" max="2303" width="4.6640625" style="18" customWidth="1"/>
    <col min="2304" max="2304" width="6.33203125" style="18" customWidth="1"/>
    <col min="2305" max="2305" width="7" style="18" customWidth="1"/>
    <col min="2306" max="2306" width="10.21875" style="18" customWidth="1"/>
    <col min="2307" max="2307" width="9.88671875" style="18" customWidth="1"/>
    <col min="2308" max="2308" width="11.6640625" style="18" customWidth="1"/>
    <col min="2309" max="2311" width="9" style="18"/>
    <col min="2312" max="2312" width="9.33203125" style="18" customWidth="1"/>
    <col min="2313" max="2313" width="11.21875" style="18" customWidth="1"/>
    <col min="2314" max="2315" width="9" style="18"/>
    <col min="2316" max="2316" width="10.109375" style="18" customWidth="1"/>
    <col min="2317" max="2320" width="9" style="18"/>
    <col min="2321" max="2321" width="9.77734375" style="18" customWidth="1"/>
    <col min="2322" max="2322" width="9" style="18"/>
    <col min="2323" max="2323" width="9.109375" style="18" customWidth="1"/>
    <col min="2324" max="2324" width="9.44140625" style="18" customWidth="1"/>
    <col min="2325" max="2325" width="10.77734375" style="18" customWidth="1"/>
    <col min="2326" max="2326" width="10.21875" style="18" customWidth="1"/>
    <col min="2327" max="2558" width="9" style="18"/>
    <col min="2559" max="2559" width="4.6640625" style="18" customWidth="1"/>
    <col min="2560" max="2560" width="6.33203125" style="18" customWidth="1"/>
    <col min="2561" max="2561" width="7" style="18" customWidth="1"/>
    <col min="2562" max="2562" width="10.21875" style="18" customWidth="1"/>
    <col min="2563" max="2563" width="9.88671875" style="18" customWidth="1"/>
    <col min="2564" max="2564" width="11.6640625" style="18" customWidth="1"/>
    <col min="2565" max="2567" width="9" style="18"/>
    <col min="2568" max="2568" width="9.33203125" style="18" customWidth="1"/>
    <col min="2569" max="2569" width="11.21875" style="18" customWidth="1"/>
    <col min="2570" max="2571" width="9" style="18"/>
    <col min="2572" max="2572" width="10.109375" style="18" customWidth="1"/>
    <col min="2573" max="2576" width="9" style="18"/>
    <col min="2577" max="2577" width="9.77734375" style="18" customWidth="1"/>
    <col min="2578" max="2578" width="9" style="18"/>
    <col min="2579" max="2579" width="9.109375" style="18" customWidth="1"/>
    <col min="2580" max="2580" width="9.44140625" style="18" customWidth="1"/>
    <col min="2581" max="2581" width="10.77734375" style="18" customWidth="1"/>
    <col min="2582" max="2582" width="10.21875" style="18" customWidth="1"/>
    <col min="2583" max="2814" width="9" style="18"/>
    <col min="2815" max="2815" width="4.6640625" style="18" customWidth="1"/>
    <col min="2816" max="2816" width="6.33203125" style="18" customWidth="1"/>
    <col min="2817" max="2817" width="7" style="18" customWidth="1"/>
    <col min="2818" max="2818" width="10.21875" style="18" customWidth="1"/>
    <col min="2819" max="2819" width="9.88671875" style="18" customWidth="1"/>
    <col min="2820" max="2820" width="11.6640625" style="18" customWidth="1"/>
    <col min="2821" max="2823" width="9" style="18"/>
    <col min="2824" max="2824" width="9.33203125" style="18" customWidth="1"/>
    <col min="2825" max="2825" width="11.21875" style="18" customWidth="1"/>
    <col min="2826" max="2827" width="9" style="18"/>
    <col min="2828" max="2828" width="10.109375" style="18" customWidth="1"/>
    <col min="2829" max="2832" width="9" style="18"/>
    <col min="2833" max="2833" width="9.77734375" style="18" customWidth="1"/>
    <col min="2834" max="2834" width="9" style="18"/>
    <col min="2835" max="2835" width="9.109375" style="18" customWidth="1"/>
    <col min="2836" max="2836" width="9.44140625" style="18" customWidth="1"/>
    <col min="2837" max="2837" width="10.77734375" style="18" customWidth="1"/>
    <col min="2838" max="2838" width="10.21875" style="18" customWidth="1"/>
    <col min="2839" max="3070" width="9" style="18"/>
    <col min="3071" max="3071" width="4.6640625" style="18" customWidth="1"/>
    <col min="3072" max="3072" width="6.33203125" style="18" customWidth="1"/>
    <col min="3073" max="3073" width="7" style="18" customWidth="1"/>
    <col min="3074" max="3074" width="10.21875" style="18" customWidth="1"/>
    <col min="3075" max="3075" width="9.88671875" style="18" customWidth="1"/>
    <col min="3076" max="3076" width="11.6640625" style="18" customWidth="1"/>
    <col min="3077" max="3079" width="9" style="18"/>
    <col min="3080" max="3080" width="9.33203125" style="18" customWidth="1"/>
    <col min="3081" max="3081" width="11.21875" style="18" customWidth="1"/>
    <col min="3082" max="3083" width="9" style="18"/>
    <col min="3084" max="3084" width="10.109375" style="18" customWidth="1"/>
    <col min="3085" max="3088" width="9" style="18"/>
    <col min="3089" max="3089" width="9.77734375" style="18" customWidth="1"/>
    <col min="3090" max="3090" width="9" style="18"/>
    <col min="3091" max="3091" width="9.109375" style="18" customWidth="1"/>
    <col min="3092" max="3092" width="9.44140625" style="18" customWidth="1"/>
    <col min="3093" max="3093" width="10.77734375" style="18" customWidth="1"/>
    <col min="3094" max="3094" width="10.21875" style="18" customWidth="1"/>
    <col min="3095" max="3326" width="9" style="18"/>
    <col min="3327" max="3327" width="4.6640625" style="18" customWidth="1"/>
    <col min="3328" max="3328" width="6.33203125" style="18" customWidth="1"/>
    <col min="3329" max="3329" width="7" style="18" customWidth="1"/>
    <col min="3330" max="3330" width="10.21875" style="18" customWidth="1"/>
    <col min="3331" max="3331" width="9.88671875" style="18" customWidth="1"/>
    <col min="3332" max="3332" width="11.6640625" style="18" customWidth="1"/>
    <col min="3333" max="3335" width="9" style="18"/>
    <col min="3336" max="3336" width="9.33203125" style="18" customWidth="1"/>
    <col min="3337" max="3337" width="11.21875" style="18" customWidth="1"/>
    <col min="3338" max="3339" width="9" style="18"/>
    <col min="3340" max="3340" width="10.109375" style="18" customWidth="1"/>
    <col min="3341" max="3344" width="9" style="18"/>
    <col min="3345" max="3345" width="9.77734375" style="18" customWidth="1"/>
    <col min="3346" max="3346" width="9" style="18"/>
    <col min="3347" max="3347" width="9.109375" style="18" customWidth="1"/>
    <col min="3348" max="3348" width="9.44140625" style="18" customWidth="1"/>
    <col min="3349" max="3349" width="10.77734375" style="18" customWidth="1"/>
    <col min="3350" max="3350" width="10.21875" style="18" customWidth="1"/>
    <col min="3351" max="3582" width="9" style="18"/>
    <col min="3583" max="3583" width="4.6640625" style="18" customWidth="1"/>
    <col min="3584" max="3584" width="6.33203125" style="18" customWidth="1"/>
    <col min="3585" max="3585" width="7" style="18" customWidth="1"/>
    <col min="3586" max="3586" width="10.21875" style="18" customWidth="1"/>
    <col min="3587" max="3587" width="9.88671875" style="18" customWidth="1"/>
    <col min="3588" max="3588" width="11.6640625" style="18" customWidth="1"/>
    <col min="3589" max="3591" width="9" style="18"/>
    <col min="3592" max="3592" width="9.33203125" style="18" customWidth="1"/>
    <col min="3593" max="3593" width="11.21875" style="18" customWidth="1"/>
    <col min="3594" max="3595" width="9" style="18"/>
    <col min="3596" max="3596" width="10.109375" style="18" customWidth="1"/>
    <col min="3597" max="3600" width="9" style="18"/>
    <col min="3601" max="3601" width="9.77734375" style="18" customWidth="1"/>
    <col min="3602" max="3602" width="9" style="18"/>
    <col min="3603" max="3603" width="9.109375" style="18" customWidth="1"/>
    <col min="3604" max="3604" width="9.44140625" style="18" customWidth="1"/>
    <col min="3605" max="3605" width="10.77734375" style="18" customWidth="1"/>
    <col min="3606" max="3606" width="10.21875" style="18" customWidth="1"/>
    <col min="3607" max="3838" width="9" style="18"/>
    <col min="3839" max="3839" width="4.6640625" style="18" customWidth="1"/>
    <col min="3840" max="3840" width="6.33203125" style="18" customWidth="1"/>
    <col min="3841" max="3841" width="7" style="18" customWidth="1"/>
    <col min="3842" max="3842" width="10.21875" style="18" customWidth="1"/>
    <col min="3843" max="3843" width="9.88671875" style="18" customWidth="1"/>
    <col min="3844" max="3844" width="11.6640625" style="18" customWidth="1"/>
    <col min="3845" max="3847" width="9" style="18"/>
    <col min="3848" max="3848" width="9.33203125" style="18" customWidth="1"/>
    <col min="3849" max="3849" width="11.21875" style="18" customWidth="1"/>
    <col min="3850" max="3851" width="9" style="18"/>
    <col min="3852" max="3852" width="10.109375" style="18" customWidth="1"/>
    <col min="3853" max="3856" width="9" style="18"/>
    <col min="3857" max="3857" width="9.77734375" style="18" customWidth="1"/>
    <col min="3858" max="3858" width="9" style="18"/>
    <col min="3859" max="3859" width="9.109375" style="18" customWidth="1"/>
    <col min="3860" max="3860" width="9.44140625" style="18" customWidth="1"/>
    <col min="3861" max="3861" width="10.77734375" style="18" customWidth="1"/>
    <col min="3862" max="3862" width="10.21875" style="18" customWidth="1"/>
    <col min="3863" max="4094" width="9" style="18"/>
    <col min="4095" max="4095" width="4.6640625" style="18" customWidth="1"/>
    <col min="4096" max="4096" width="6.33203125" style="18" customWidth="1"/>
    <col min="4097" max="4097" width="7" style="18" customWidth="1"/>
    <col min="4098" max="4098" width="10.21875" style="18" customWidth="1"/>
    <col min="4099" max="4099" width="9.88671875" style="18" customWidth="1"/>
    <col min="4100" max="4100" width="11.6640625" style="18" customWidth="1"/>
    <col min="4101" max="4103" width="9" style="18"/>
    <col min="4104" max="4104" width="9.33203125" style="18" customWidth="1"/>
    <col min="4105" max="4105" width="11.21875" style="18" customWidth="1"/>
    <col min="4106" max="4107" width="9" style="18"/>
    <col min="4108" max="4108" width="10.109375" style="18" customWidth="1"/>
    <col min="4109" max="4112" width="9" style="18"/>
    <col min="4113" max="4113" width="9.77734375" style="18" customWidth="1"/>
    <col min="4114" max="4114" width="9" style="18"/>
    <col min="4115" max="4115" width="9.109375" style="18" customWidth="1"/>
    <col min="4116" max="4116" width="9.44140625" style="18" customWidth="1"/>
    <col min="4117" max="4117" width="10.77734375" style="18" customWidth="1"/>
    <col min="4118" max="4118" width="10.21875" style="18" customWidth="1"/>
    <col min="4119" max="4350" width="9" style="18"/>
    <col min="4351" max="4351" width="4.6640625" style="18" customWidth="1"/>
    <col min="4352" max="4352" width="6.33203125" style="18" customWidth="1"/>
    <col min="4353" max="4353" width="7" style="18" customWidth="1"/>
    <col min="4354" max="4354" width="10.21875" style="18" customWidth="1"/>
    <col min="4355" max="4355" width="9.88671875" style="18" customWidth="1"/>
    <col min="4356" max="4356" width="11.6640625" style="18" customWidth="1"/>
    <col min="4357" max="4359" width="9" style="18"/>
    <col min="4360" max="4360" width="9.33203125" style="18" customWidth="1"/>
    <col min="4361" max="4361" width="11.21875" style="18" customWidth="1"/>
    <col min="4362" max="4363" width="9" style="18"/>
    <col min="4364" max="4364" width="10.109375" style="18" customWidth="1"/>
    <col min="4365" max="4368" width="9" style="18"/>
    <col min="4369" max="4369" width="9.77734375" style="18" customWidth="1"/>
    <col min="4370" max="4370" width="9" style="18"/>
    <col min="4371" max="4371" width="9.109375" style="18" customWidth="1"/>
    <col min="4372" max="4372" width="9.44140625" style="18" customWidth="1"/>
    <col min="4373" max="4373" width="10.77734375" style="18" customWidth="1"/>
    <col min="4374" max="4374" width="10.21875" style="18" customWidth="1"/>
    <col min="4375" max="4606" width="9" style="18"/>
    <col min="4607" max="4607" width="4.6640625" style="18" customWidth="1"/>
    <col min="4608" max="4608" width="6.33203125" style="18" customWidth="1"/>
    <col min="4609" max="4609" width="7" style="18" customWidth="1"/>
    <col min="4610" max="4610" width="10.21875" style="18" customWidth="1"/>
    <col min="4611" max="4611" width="9.88671875" style="18" customWidth="1"/>
    <col min="4612" max="4612" width="11.6640625" style="18" customWidth="1"/>
    <col min="4613" max="4615" width="9" style="18"/>
    <col min="4616" max="4616" width="9.33203125" style="18" customWidth="1"/>
    <col min="4617" max="4617" width="11.21875" style="18" customWidth="1"/>
    <col min="4618" max="4619" width="9" style="18"/>
    <col min="4620" max="4620" width="10.109375" style="18" customWidth="1"/>
    <col min="4621" max="4624" width="9" style="18"/>
    <col min="4625" max="4625" width="9.77734375" style="18" customWidth="1"/>
    <col min="4626" max="4626" width="9" style="18"/>
    <col min="4627" max="4627" width="9.109375" style="18" customWidth="1"/>
    <col min="4628" max="4628" width="9.44140625" style="18" customWidth="1"/>
    <col min="4629" max="4629" width="10.77734375" style="18" customWidth="1"/>
    <col min="4630" max="4630" width="10.21875" style="18" customWidth="1"/>
    <col min="4631" max="4862" width="9" style="18"/>
    <col min="4863" max="4863" width="4.6640625" style="18" customWidth="1"/>
    <col min="4864" max="4864" width="6.33203125" style="18" customWidth="1"/>
    <col min="4865" max="4865" width="7" style="18" customWidth="1"/>
    <col min="4866" max="4866" width="10.21875" style="18" customWidth="1"/>
    <col min="4867" max="4867" width="9.88671875" style="18" customWidth="1"/>
    <col min="4868" max="4868" width="11.6640625" style="18" customWidth="1"/>
    <col min="4869" max="4871" width="9" style="18"/>
    <col min="4872" max="4872" width="9.33203125" style="18" customWidth="1"/>
    <col min="4873" max="4873" width="11.21875" style="18" customWidth="1"/>
    <col min="4874" max="4875" width="9" style="18"/>
    <col min="4876" max="4876" width="10.109375" style="18" customWidth="1"/>
    <col min="4877" max="4880" width="9" style="18"/>
    <col min="4881" max="4881" width="9.77734375" style="18" customWidth="1"/>
    <col min="4882" max="4882" width="9" style="18"/>
    <col min="4883" max="4883" width="9.109375" style="18" customWidth="1"/>
    <col min="4884" max="4884" width="9.44140625" style="18" customWidth="1"/>
    <col min="4885" max="4885" width="10.77734375" style="18" customWidth="1"/>
    <col min="4886" max="4886" width="10.21875" style="18" customWidth="1"/>
    <col min="4887" max="5118" width="9" style="18"/>
    <col min="5119" max="5119" width="4.6640625" style="18" customWidth="1"/>
    <col min="5120" max="5120" width="6.33203125" style="18" customWidth="1"/>
    <col min="5121" max="5121" width="7" style="18" customWidth="1"/>
    <col min="5122" max="5122" width="10.21875" style="18" customWidth="1"/>
    <col min="5123" max="5123" width="9.88671875" style="18" customWidth="1"/>
    <col min="5124" max="5124" width="11.6640625" style="18" customWidth="1"/>
    <col min="5125" max="5127" width="9" style="18"/>
    <col min="5128" max="5128" width="9.33203125" style="18" customWidth="1"/>
    <col min="5129" max="5129" width="11.21875" style="18" customWidth="1"/>
    <col min="5130" max="5131" width="9" style="18"/>
    <col min="5132" max="5132" width="10.109375" style="18" customWidth="1"/>
    <col min="5133" max="5136" width="9" style="18"/>
    <col min="5137" max="5137" width="9.77734375" style="18" customWidth="1"/>
    <col min="5138" max="5138" width="9" style="18"/>
    <col min="5139" max="5139" width="9.109375" style="18" customWidth="1"/>
    <col min="5140" max="5140" width="9.44140625" style="18" customWidth="1"/>
    <col min="5141" max="5141" width="10.77734375" style="18" customWidth="1"/>
    <col min="5142" max="5142" width="10.21875" style="18" customWidth="1"/>
    <col min="5143" max="5374" width="9" style="18"/>
    <col min="5375" max="5375" width="4.6640625" style="18" customWidth="1"/>
    <col min="5376" max="5376" width="6.33203125" style="18" customWidth="1"/>
    <col min="5377" max="5377" width="7" style="18" customWidth="1"/>
    <col min="5378" max="5378" width="10.21875" style="18" customWidth="1"/>
    <col min="5379" max="5379" width="9.88671875" style="18" customWidth="1"/>
    <col min="5380" max="5380" width="11.6640625" style="18" customWidth="1"/>
    <col min="5381" max="5383" width="9" style="18"/>
    <col min="5384" max="5384" width="9.33203125" style="18" customWidth="1"/>
    <col min="5385" max="5385" width="11.21875" style="18" customWidth="1"/>
    <col min="5386" max="5387" width="9" style="18"/>
    <col min="5388" max="5388" width="10.109375" style="18" customWidth="1"/>
    <col min="5389" max="5392" width="9" style="18"/>
    <col min="5393" max="5393" width="9.77734375" style="18" customWidth="1"/>
    <col min="5394" max="5394" width="9" style="18"/>
    <col min="5395" max="5395" width="9.109375" style="18" customWidth="1"/>
    <col min="5396" max="5396" width="9.44140625" style="18" customWidth="1"/>
    <col min="5397" max="5397" width="10.77734375" style="18" customWidth="1"/>
    <col min="5398" max="5398" width="10.21875" style="18" customWidth="1"/>
    <col min="5399" max="5630" width="9" style="18"/>
    <col min="5631" max="5631" width="4.6640625" style="18" customWidth="1"/>
    <col min="5632" max="5632" width="6.33203125" style="18" customWidth="1"/>
    <col min="5633" max="5633" width="7" style="18" customWidth="1"/>
    <col min="5634" max="5634" width="10.21875" style="18" customWidth="1"/>
    <col min="5635" max="5635" width="9.88671875" style="18" customWidth="1"/>
    <col min="5636" max="5636" width="11.6640625" style="18" customWidth="1"/>
    <col min="5637" max="5639" width="9" style="18"/>
    <col min="5640" max="5640" width="9.33203125" style="18" customWidth="1"/>
    <col min="5641" max="5641" width="11.21875" style="18" customWidth="1"/>
    <col min="5642" max="5643" width="9" style="18"/>
    <col min="5644" max="5644" width="10.109375" style="18" customWidth="1"/>
    <col min="5645" max="5648" width="9" style="18"/>
    <col min="5649" max="5649" width="9.77734375" style="18" customWidth="1"/>
    <col min="5650" max="5650" width="9" style="18"/>
    <col min="5651" max="5651" width="9.109375" style="18" customWidth="1"/>
    <col min="5652" max="5652" width="9.44140625" style="18" customWidth="1"/>
    <col min="5653" max="5653" width="10.77734375" style="18" customWidth="1"/>
    <col min="5654" max="5654" width="10.21875" style="18" customWidth="1"/>
    <col min="5655" max="5886" width="9" style="18"/>
    <col min="5887" max="5887" width="4.6640625" style="18" customWidth="1"/>
    <col min="5888" max="5888" width="6.33203125" style="18" customWidth="1"/>
    <col min="5889" max="5889" width="7" style="18" customWidth="1"/>
    <col min="5890" max="5890" width="10.21875" style="18" customWidth="1"/>
    <col min="5891" max="5891" width="9.88671875" style="18" customWidth="1"/>
    <col min="5892" max="5892" width="11.6640625" style="18" customWidth="1"/>
    <col min="5893" max="5895" width="9" style="18"/>
    <col min="5896" max="5896" width="9.33203125" style="18" customWidth="1"/>
    <col min="5897" max="5897" width="11.21875" style="18" customWidth="1"/>
    <col min="5898" max="5899" width="9" style="18"/>
    <col min="5900" max="5900" width="10.109375" style="18" customWidth="1"/>
    <col min="5901" max="5904" width="9" style="18"/>
    <col min="5905" max="5905" width="9.77734375" style="18" customWidth="1"/>
    <col min="5906" max="5906" width="9" style="18"/>
    <col min="5907" max="5907" width="9.109375" style="18" customWidth="1"/>
    <col min="5908" max="5908" width="9.44140625" style="18" customWidth="1"/>
    <col min="5909" max="5909" width="10.77734375" style="18" customWidth="1"/>
    <col min="5910" max="5910" width="10.21875" style="18" customWidth="1"/>
    <col min="5911" max="6142" width="9" style="18"/>
    <col min="6143" max="6143" width="4.6640625" style="18" customWidth="1"/>
    <col min="6144" max="6144" width="6.33203125" style="18" customWidth="1"/>
    <col min="6145" max="6145" width="7" style="18" customWidth="1"/>
    <col min="6146" max="6146" width="10.21875" style="18" customWidth="1"/>
    <col min="6147" max="6147" width="9.88671875" style="18" customWidth="1"/>
    <col min="6148" max="6148" width="11.6640625" style="18" customWidth="1"/>
    <col min="6149" max="6151" width="9" style="18"/>
    <col min="6152" max="6152" width="9.33203125" style="18" customWidth="1"/>
    <col min="6153" max="6153" width="11.21875" style="18" customWidth="1"/>
    <col min="6154" max="6155" width="9" style="18"/>
    <col min="6156" max="6156" width="10.109375" style="18" customWidth="1"/>
    <col min="6157" max="6160" width="9" style="18"/>
    <col min="6161" max="6161" width="9.77734375" style="18" customWidth="1"/>
    <col min="6162" max="6162" width="9" style="18"/>
    <col min="6163" max="6163" width="9.109375" style="18" customWidth="1"/>
    <col min="6164" max="6164" width="9.44140625" style="18" customWidth="1"/>
    <col min="6165" max="6165" width="10.77734375" style="18" customWidth="1"/>
    <col min="6166" max="6166" width="10.21875" style="18" customWidth="1"/>
    <col min="6167" max="6398" width="9" style="18"/>
    <col min="6399" max="6399" width="4.6640625" style="18" customWidth="1"/>
    <col min="6400" max="6400" width="6.33203125" style="18" customWidth="1"/>
    <col min="6401" max="6401" width="7" style="18" customWidth="1"/>
    <col min="6402" max="6402" width="10.21875" style="18" customWidth="1"/>
    <col min="6403" max="6403" width="9.88671875" style="18" customWidth="1"/>
    <col min="6404" max="6404" width="11.6640625" style="18" customWidth="1"/>
    <col min="6405" max="6407" width="9" style="18"/>
    <col min="6408" max="6408" width="9.33203125" style="18" customWidth="1"/>
    <col min="6409" max="6409" width="11.21875" style="18" customWidth="1"/>
    <col min="6410" max="6411" width="9" style="18"/>
    <col min="6412" max="6412" width="10.109375" style="18" customWidth="1"/>
    <col min="6413" max="6416" width="9" style="18"/>
    <col min="6417" max="6417" width="9.77734375" style="18" customWidth="1"/>
    <col min="6418" max="6418" width="9" style="18"/>
    <col min="6419" max="6419" width="9.109375" style="18" customWidth="1"/>
    <col min="6420" max="6420" width="9.44140625" style="18" customWidth="1"/>
    <col min="6421" max="6421" width="10.77734375" style="18" customWidth="1"/>
    <col min="6422" max="6422" width="10.21875" style="18" customWidth="1"/>
    <col min="6423" max="6654" width="9" style="18"/>
    <col min="6655" max="6655" width="4.6640625" style="18" customWidth="1"/>
    <col min="6656" max="6656" width="6.33203125" style="18" customWidth="1"/>
    <col min="6657" max="6657" width="7" style="18" customWidth="1"/>
    <col min="6658" max="6658" width="10.21875" style="18" customWidth="1"/>
    <col min="6659" max="6659" width="9.88671875" style="18" customWidth="1"/>
    <col min="6660" max="6660" width="11.6640625" style="18" customWidth="1"/>
    <col min="6661" max="6663" width="9" style="18"/>
    <col min="6664" max="6664" width="9.33203125" style="18" customWidth="1"/>
    <col min="6665" max="6665" width="11.21875" style="18" customWidth="1"/>
    <col min="6666" max="6667" width="9" style="18"/>
    <col min="6668" max="6668" width="10.109375" style="18" customWidth="1"/>
    <col min="6669" max="6672" width="9" style="18"/>
    <col min="6673" max="6673" width="9.77734375" style="18" customWidth="1"/>
    <col min="6674" max="6674" width="9" style="18"/>
    <col min="6675" max="6675" width="9.109375" style="18" customWidth="1"/>
    <col min="6676" max="6676" width="9.44140625" style="18" customWidth="1"/>
    <col min="6677" max="6677" width="10.77734375" style="18" customWidth="1"/>
    <col min="6678" max="6678" width="10.21875" style="18" customWidth="1"/>
    <col min="6679" max="6910" width="9" style="18"/>
    <col min="6911" max="6911" width="4.6640625" style="18" customWidth="1"/>
    <col min="6912" max="6912" width="6.33203125" style="18" customWidth="1"/>
    <col min="6913" max="6913" width="7" style="18" customWidth="1"/>
    <col min="6914" max="6914" width="10.21875" style="18" customWidth="1"/>
    <col min="6915" max="6915" width="9.88671875" style="18" customWidth="1"/>
    <col min="6916" max="6916" width="11.6640625" style="18" customWidth="1"/>
    <col min="6917" max="6919" width="9" style="18"/>
    <col min="6920" max="6920" width="9.33203125" style="18" customWidth="1"/>
    <col min="6921" max="6921" width="11.21875" style="18" customWidth="1"/>
    <col min="6922" max="6923" width="9" style="18"/>
    <col min="6924" max="6924" width="10.109375" style="18" customWidth="1"/>
    <col min="6925" max="6928" width="9" style="18"/>
    <col min="6929" max="6929" width="9.77734375" style="18" customWidth="1"/>
    <col min="6930" max="6930" width="9" style="18"/>
    <col min="6931" max="6931" width="9.109375" style="18" customWidth="1"/>
    <col min="6932" max="6932" width="9.44140625" style="18" customWidth="1"/>
    <col min="6933" max="6933" width="10.77734375" style="18" customWidth="1"/>
    <col min="6934" max="6934" width="10.21875" style="18" customWidth="1"/>
    <col min="6935" max="7166" width="9" style="18"/>
    <col min="7167" max="7167" width="4.6640625" style="18" customWidth="1"/>
    <col min="7168" max="7168" width="6.33203125" style="18" customWidth="1"/>
    <col min="7169" max="7169" width="7" style="18" customWidth="1"/>
    <col min="7170" max="7170" width="10.21875" style="18" customWidth="1"/>
    <col min="7171" max="7171" width="9.88671875" style="18" customWidth="1"/>
    <col min="7172" max="7172" width="11.6640625" style="18" customWidth="1"/>
    <col min="7173" max="7175" width="9" style="18"/>
    <col min="7176" max="7176" width="9.33203125" style="18" customWidth="1"/>
    <col min="7177" max="7177" width="11.21875" style="18" customWidth="1"/>
    <col min="7178" max="7179" width="9" style="18"/>
    <col min="7180" max="7180" width="10.109375" style="18" customWidth="1"/>
    <col min="7181" max="7184" width="9" style="18"/>
    <col min="7185" max="7185" width="9.77734375" style="18" customWidth="1"/>
    <col min="7186" max="7186" width="9" style="18"/>
    <col min="7187" max="7187" width="9.109375" style="18" customWidth="1"/>
    <col min="7188" max="7188" width="9.44140625" style="18" customWidth="1"/>
    <col min="7189" max="7189" width="10.77734375" style="18" customWidth="1"/>
    <col min="7190" max="7190" width="10.21875" style="18" customWidth="1"/>
    <col min="7191" max="7422" width="9" style="18"/>
    <col min="7423" max="7423" width="4.6640625" style="18" customWidth="1"/>
    <col min="7424" max="7424" width="6.33203125" style="18" customWidth="1"/>
    <col min="7425" max="7425" width="7" style="18" customWidth="1"/>
    <col min="7426" max="7426" width="10.21875" style="18" customWidth="1"/>
    <col min="7427" max="7427" width="9.88671875" style="18" customWidth="1"/>
    <col min="7428" max="7428" width="11.6640625" style="18" customWidth="1"/>
    <col min="7429" max="7431" width="9" style="18"/>
    <col min="7432" max="7432" width="9.33203125" style="18" customWidth="1"/>
    <col min="7433" max="7433" width="11.21875" style="18" customWidth="1"/>
    <col min="7434" max="7435" width="9" style="18"/>
    <col min="7436" max="7436" width="10.109375" style="18" customWidth="1"/>
    <col min="7437" max="7440" width="9" style="18"/>
    <col min="7441" max="7441" width="9.77734375" style="18" customWidth="1"/>
    <col min="7442" max="7442" width="9" style="18"/>
    <col min="7443" max="7443" width="9.109375" style="18" customWidth="1"/>
    <col min="7444" max="7444" width="9.44140625" style="18" customWidth="1"/>
    <col min="7445" max="7445" width="10.77734375" style="18" customWidth="1"/>
    <col min="7446" max="7446" width="10.21875" style="18" customWidth="1"/>
    <col min="7447" max="7678" width="9" style="18"/>
    <col min="7679" max="7679" width="4.6640625" style="18" customWidth="1"/>
    <col min="7680" max="7680" width="6.33203125" style="18" customWidth="1"/>
    <col min="7681" max="7681" width="7" style="18" customWidth="1"/>
    <col min="7682" max="7682" width="10.21875" style="18" customWidth="1"/>
    <col min="7683" max="7683" width="9.88671875" style="18" customWidth="1"/>
    <col min="7684" max="7684" width="11.6640625" style="18" customWidth="1"/>
    <col min="7685" max="7687" width="9" style="18"/>
    <col min="7688" max="7688" width="9.33203125" style="18" customWidth="1"/>
    <col min="7689" max="7689" width="11.21875" style="18" customWidth="1"/>
    <col min="7690" max="7691" width="9" style="18"/>
    <col min="7692" max="7692" width="10.109375" style="18" customWidth="1"/>
    <col min="7693" max="7696" width="9" style="18"/>
    <col min="7697" max="7697" width="9.77734375" style="18" customWidth="1"/>
    <col min="7698" max="7698" width="9" style="18"/>
    <col min="7699" max="7699" width="9.109375" style="18" customWidth="1"/>
    <col min="7700" max="7700" width="9.44140625" style="18" customWidth="1"/>
    <col min="7701" max="7701" width="10.77734375" style="18" customWidth="1"/>
    <col min="7702" max="7702" width="10.21875" style="18" customWidth="1"/>
    <col min="7703" max="7934" width="9" style="18"/>
    <col min="7935" max="7935" width="4.6640625" style="18" customWidth="1"/>
    <col min="7936" max="7936" width="6.33203125" style="18" customWidth="1"/>
    <col min="7937" max="7937" width="7" style="18" customWidth="1"/>
    <col min="7938" max="7938" width="10.21875" style="18" customWidth="1"/>
    <col min="7939" max="7939" width="9.88671875" style="18" customWidth="1"/>
    <col min="7940" max="7940" width="11.6640625" style="18" customWidth="1"/>
    <col min="7941" max="7943" width="9" style="18"/>
    <col min="7944" max="7944" width="9.33203125" style="18" customWidth="1"/>
    <col min="7945" max="7945" width="11.21875" style="18" customWidth="1"/>
    <col min="7946" max="7947" width="9" style="18"/>
    <col min="7948" max="7948" width="10.109375" style="18" customWidth="1"/>
    <col min="7949" max="7952" width="9" style="18"/>
    <col min="7953" max="7953" width="9.77734375" style="18" customWidth="1"/>
    <col min="7954" max="7954" width="9" style="18"/>
    <col min="7955" max="7955" width="9.109375" style="18" customWidth="1"/>
    <col min="7956" max="7956" width="9.44140625" style="18" customWidth="1"/>
    <col min="7957" max="7957" width="10.77734375" style="18" customWidth="1"/>
    <col min="7958" max="7958" width="10.21875" style="18" customWidth="1"/>
    <col min="7959" max="8190" width="9" style="18"/>
    <col min="8191" max="8191" width="4.6640625" style="18" customWidth="1"/>
    <col min="8192" max="8192" width="6.33203125" style="18" customWidth="1"/>
    <col min="8193" max="8193" width="7" style="18" customWidth="1"/>
    <col min="8194" max="8194" width="10.21875" style="18" customWidth="1"/>
    <col min="8195" max="8195" width="9.88671875" style="18" customWidth="1"/>
    <col min="8196" max="8196" width="11.6640625" style="18" customWidth="1"/>
    <col min="8197" max="8199" width="9" style="18"/>
    <col min="8200" max="8200" width="9.33203125" style="18" customWidth="1"/>
    <col min="8201" max="8201" width="11.21875" style="18" customWidth="1"/>
    <col min="8202" max="8203" width="9" style="18"/>
    <col min="8204" max="8204" width="10.109375" style="18" customWidth="1"/>
    <col min="8205" max="8208" width="9" style="18"/>
    <col min="8209" max="8209" width="9.77734375" style="18" customWidth="1"/>
    <col min="8210" max="8210" width="9" style="18"/>
    <col min="8211" max="8211" width="9.109375" style="18" customWidth="1"/>
    <col min="8212" max="8212" width="9.44140625" style="18" customWidth="1"/>
    <col min="8213" max="8213" width="10.77734375" style="18" customWidth="1"/>
    <col min="8214" max="8214" width="10.21875" style="18" customWidth="1"/>
    <col min="8215" max="8446" width="9" style="18"/>
    <col min="8447" max="8447" width="4.6640625" style="18" customWidth="1"/>
    <col min="8448" max="8448" width="6.33203125" style="18" customWidth="1"/>
    <col min="8449" max="8449" width="7" style="18" customWidth="1"/>
    <col min="8450" max="8450" width="10.21875" style="18" customWidth="1"/>
    <col min="8451" max="8451" width="9.88671875" style="18" customWidth="1"/>
    <col min="8452" max="8452" width="11.6640625" style="18" customWidth="1"/>
    <col min="8453" max="8455" width="9" style="18"/>
    <col min="8456" max="8456" width="9.33203125" style="18" customWidth="1"/>
    <col min="8457" max="8457" width="11.21875" style="18" customWidth="1"/>
    <col min="8458" max="8459" width="9" style="18"/>
    <col min="8460" max="8460" width="10.109375" style="18" customWidth="1"/>
    <col min="8461" max="8464" width="9" style="18"/>
    <col min="8465" max="8465" width="9.77734375" style="18" customWidth="1"/>
    <col min="8466" max="8466" width="9" style="18"/>
    <col min="8467" max="8467" width="9.109375" style="18" customWidth="1"/>
    <col min="8468" max="8468" width="9.44140625" style="18" customWidth="1"/>
    <col min="8469" max="8469" width="10.77734375" style="18" customWidth="1"/>
    <col min="8470" max="8470" width="10.21875" style="18" customWidth="1"/>
    <col min="8471" max="8702" width="9" style="18"/>
    <col min="8703" max="8703" width="4.6640625" style="18" customWidth="1"/>
    <col min="8704" max="8704" width="6.33203125" style="18" customWidth="1"/>
    <col min="8705" max="8705" width="7" style="18" customWidth="1"/>
    <col min="8706" max="8706" width="10.21875" style="18" customWidth="1"/>
    <col min="8707" max="8707" width="9.88671875" style="18" customWidth="1"/>
    <col min="8708" max="8708" width="11.6640625" style="18" customWidth="1"/>
    <col min="8709" max="8711" width="9" style="18"/>
    <col min="8712" max="8712" width="9.33203125" style="18" customWidth="1"/>
    <col min="8713" max="8713" width="11.21875" style="18" customWidth="1"/>
    <col min="8714" max="8715" width="9" style="18"/>
    <col min="8716" max="8716" width="10.109375" style="18" customWidth="1"/>
    <col min="8717" max="8720" width="9" style="18"/>
    <col min="8721" max="8721" width="9.77734375" style="18" customWidth="1"/>
    <col min="8722" max="8722" width="9" style="18"/>
    <col min="8723" max="8723" width="9.109375" style="18" customWidth="1"/>
    <col min="8724" max="8724" width="9.44140625" style="18" customWidth="1"/>
    <col min="8725" max="8725" width="10.77734375" style="18" customWidth="1"/>
    <col min="8726" max="8726" width="10.21875" style="18" customWidth="1"/>
    <col min="8727" max="8958" width="9" style="18"/>
    <col min="8959" max="8959" width="4.6640625" style="18" customWidth="1"/>
    <col min="8960" max="8960" width="6.33203125" style="18" customWidth="1"/>
    <col min="8961" max="8961" width="7" style="18" customWidth="1"/>
    <col min="8962" max="8962" width="10.21875" style="18" customWidth="1"/>
    <col min="8963" max="8963" width="9.88671875" style="18" customWidth="1"/>
    <col min="8964" max="8964" width="11.6640625" style="18" customWidth="1"/>
    <col min="8965" max="8967" width="9" style="18"/>
    <col min="8968" max="8968" width="9.33203125" style="18" customWidth="1"/>
    <col min="8969" max="8969" width="11.21875" style="18" customWidth="1"/>
    <col min="8970" max="8971" width="9" style="18"/>
    <col min="8972" max="8972" width="10.109375" style="18" customWidth="1"/>
    <col min="8973" max="8976" width="9" style="18"/>
    <col min="8977" max="8977" width="9.77734375" style="18" customWidth="1"/>
    <col min="8978" max="8978" width="9" style="18"/>
    <col min="8979" max="8979" width="9.109375" style="18" customWidth="1"/>
    <col min="8980" max="8980" width="9.44140625" style="18" customWidth="1"/>
    <col min="8981" max="8981" width="10.77734375" style="18" customWidth="1"/>
    <col min="8982" max="8982" width="10.21875" style="18" customWidth="1"/>
    <col min="8983" max="9214" width="9" style="18"/>
    <col min="9215" max="9215" width="4.6640625" style="18" customWidth="1"/>
    <col min="9216" max="9216" width="6.33203125" style="18" customWidth="1"/>
    <col min="9217" max="9217" width="7" style="18" customWidth="1"/>
    <col min="9218" max="9218" width="10.21875" style="18" customWidth="1"/>
    <col min="9219" max="9219" width="9.88671875" style="18" customWidth="1"/>
    <col min="9220" max="9220" width="11.6640625" style="18" customWidth="1"/>
    <col min="9221" max="9223" width="9" style="18"/>
    <col min="9224" max="9224" width="9.33203125" style="18" customWidth="1"/>
    <col min="9225" max="9225" width="11.21875" style="18" customWidth="1"/>
    <col min="9226" max="9227" width="9" style="18"/>
    <col min="9228" max="9228" width="10.109375" style="18" customWidth="1"/>
    <col min="9229" max="9232" width="9" style="18"/>
    <col min="9233" max="9233" width="9.77734375" style="18" customWidth="1"/>
    <col min="9234" max="9234" width="9" style="18"/>
    <col min="9235" max="9235" width="9.109375" style="18" customWidth="1"/>
    <col min="9236" max="9236" width="9.44140625" style="18" customWidth="1"/>
    <col min="9237" max="9237" width="10.77734375" style="18" customWidth="1"/>
    <col min="9238" max="9238" width="10.21875" style="18" customWidth="1"/>
    <col min="9239" max="9470" width="9" style="18"/>
    <col min="9471" max="9471" width="4.6640625" style="18" customWidth="1"/>
    <col min="9472" max="9472" width="6.33203125" style="18" customWidth="1"/>
    <col min="9473" max="9473" width="7" style="18" customWidth="1"/>
    <col min="9474" max="9474" width="10.21875" style="18" customWidth="1"/>
    <col min="9475" max="9475" width="9.88671875" style="18" customWidth="1"/>
    <col min="9476" max="9476" width="11.6640625" style="18" customWidth="1"/>
    <col min="9477" max="9479" width="9" style="18"/>
    <col min="9480" max="9480" width="9.33203125" style="18" customWidth="1"/>
    <col min="9481" max="9481" width="11.21875" style="18" customWidth="1"/>
    <col min="9482" max="9483" width="9" style="18"/>
    <col min="9484" max="9484" width="10.109375" style="18" customWidth="1"/>
    <col min="9485" max="9488" width="9" style="18"/>
    <col min="9489" max="9489" width="9.77734375" style="18" customWidth="1"/>
    <col min="9490" max="9490" width="9" style="18"/>
    <col min="9491" max="9491" width="9.109375" style="18" customWidth="1"/>
    <col min="9492" max="9492" width="9.44140625" style="18" customWidth="1"/>
    <col min="9493" max="9493" width="10.77734375" style="18" customWidth="1"/>
    <col min="9494" max="9494" width="10.21875" style="18" customWidth="1"/>
    <col min="9495" max="9726" width="9" style="18"/>
    <col min="9727" max="9727" width="4.6640625" style="18" customWidth="1"/>
    <col min="9728" max="9728" width="6.33203125" style="18" customWidth="1"/>
    <col min="9729" max="9729" width="7" style="18" customWidth="1"/>
    <col min="9730" max="9730" width="10.21875" style="18" customWidth="1"/>
    <col min="9731" max="9731" width="9.88671875" style="18" customWidth="1"/>
    <col min="9732" max="9732" width="11.6640625" style="18" customWidth="1"/>
    <col min="9733" max="9735" width="9" style="18"/>
    <col min="9736" max="9736" width="9.33203125" style="18" customWidth="1"/>
    <col min="9737" max="9737" width="11.21875" style="18" customWidth="1"/>
    <col min="9738" max="9739" width="9" style="18"/>
    <col min="9740" max="9740" width="10.109375" style="18" customWidth="1"/>
    <col min="9741" max="9744" width="9" style="18"/>
    <col min="9745" max="9745" width="9.77734375" style="18" customWidth="1"/>
    <col min="9746" max="9746" width="9" style="18"/>
    <col min="9747" max="9747" width="9.109375" style="18" customWidth="1"/>
    <col min="9748" max="9748" width="9.44140625" style="18" customWidth="1"/>
    <col min="9749" max="9749" width="10.77734375" style="18" customWidth="1"/>
    <col min="9750" max="9750" width="10.21875" style="18" customWidth="1"/>
    <col min="9751" max="9982" width="9" style="18"/>
    <col min="9983" max="9983" width="4.6640625" style="18" customWidth="1"/>
    <col min="9984" max="9984" width="6.33203125" style="18" customWidth="1"/>
    <col min="9985" max="9985" width="7" style="18" customWidth="1"/>
    <col min="9986" max="9986" width="10.21875" style="18" customWidth="1"/>
    <col min="9987" max="9987" width="9.88671875" style="18" customWidth="1"/>
    <col min="9988" max="9988" width="11.6640625" style="18" customWidth="1"/>
    <col min="9989" max="9991" width="9" style="18"/>
    <col min="9992" max="9992" width="9.33203125" style="18" customWidth="1"/>
    <col min="9993" max="9993" width="11.21875" style="18" customWidth="1"/>
    <col min="9994" max="9995" width="9" style="18"/>
    <col min="9996" max="9996" width="10.109375" style="18" customWidth="1"/>
    <col min="9997" max="10000" width="9" style="18"/>
    <col min="10001" max="10001" width="9.77734375" style="18" customWidth="1"/>
    <col min="10002" max="10002" width="9" style="18"/>
    <col min="10003" max="10003" width="9.109375" style="18" customWidth="1"/>
    <col min="10004" max="10004" width="9.44140625" style="18" customWidth="1"/>
    <col min="10005" max="10005" width="10.77734375" style="18" customWidth="1"/>
    <col min="10006" max="10006" width="10.21875" style="18" customWidth="1"/>
    <col min="10007" max="10238" width="9" style="18"/>
    <col min="10239" max="10239" width="4.6640625" style="18" customWidth="1"/>
    <col min="10240" max="10240" width="6.33203125" style="18" customWidth="1"/>
    <col min="10241" max="10241" width="7" style="18" customWidth="1"/>
    <col min="10242" max="10242" width="10.21875" style="18" customWidth="1"/>
    <col min="10243" max="10243" width="9.88671875" style="18" customWidth="1"/>
    <col min="10244" max="10244" width="11.6640625" style="18" customWidth="1"/>
    <col min="10245" max="10247" width="9" style="18"/>
    <col min="10248" max="10248" width="9.33203125" style="18" customWidth="1"/>
    <col min="10249" max="10249" width="11.21875" style="18" customWidth="1"/>
    <col min="10250" max="10251" width="9" style="18"/>
    <col min="10252" max="10252" width="10.109375" style="18" customWidth="1"/>
    <col min="10253" max="10256" width="9" style="18"/>
    <col min="10257" max="10257" width="9.77734375" style="18" customWidth="1"/>
    <col min="10258" max="10258" width="9" style="18"/>
    <col min="10259" max="10259" width="9.109375" style="18" customWidth="1"/>
    <col min="10260" max="10260" width="9.44140625" style="18" customWidth="1"/>
    <col min="10261" max="10261" width="10.77734375" style="18" customWidth="1"/>
    <col min="10262" max="10262" width="10.21875" style="18" customWidth="1"/>
    <col min="10263" max="10494" width="9" style="18"/>
    <col min="10495" max="10495" width="4.6640625" style="18" customWidth="1"/>
    <col min="10496" max="10496" width="6.33203125" style="18" customWidth="1"/>
    <col min="10497" max="10497" width="7" style="18" customWidth="1"/>
    <col min="10498" max="10498" width="10.21875" style="18" customWidth="1"/>
    <col min="10499" max="10499" width="9.88671875" style="18" customWidth="1"/>
    <col min="10500" max="10500" width="11.6640625" style="18" customWidth="1"/>
    <col min="10501" max="10503" width="9" style="18"/>
    <col min="10504" max="10504" width="9.33203125" style="18" customWidth="1"/>
    <col min="10505" max="10505" width="11.21875" style="18" customWidth="1"/>
    <col min="10506" max="10507" width="9" style="18"/>
    <col min="10508" max="10508" width="10.109375" style="18" customWidth="1"/>
    <col min="10509" max="10512" width="9" style="18"/>
    <col min="10513" max="10513" width="9.77734375" style="18" customWidth="1"/>
    <col min="10514" max="10514" width="9" style="18"/>
    <col min="10515" max="10515" width="9.109375" style="18" customWidth="1"/>
    <col min="10516" max="10516" width="9.44140625" style="18" customWidth="1"/>
    <col min="10517" max="10517" width="10.77734375" style="18" customWidth="1"/>
    <col min="10518" max="10518" width="10.21875" style="18" customWidth="1"/>
    <col min="10519" max="10750" width="9" style="18"/>
    <col min="10751" max="10751" width="4.6640625" style="18" customWidth="1"/>
    <col min="10752" max="10752" width="6.33203125" style="18" customWidth="1"/>
    <col min="10753" max="10753" width="7" style="18" customWidth="1"/>
    <col min="10754" max="10754" width="10.21875" style="18" customWidth="1"/>
    <col min="10755" max="10755" width="9.88671875" style="18" customWidth="1"/>
    <col min="10756" max="10756" width="11.6640625" style="18" customWidth="1"/>
    <col min="10757" max="10759" width="9" style="18"/>
    <col min="10760" max="10760" width="9.33203125" style="18" customWidth="1"/>
    <col min="10761" max="10761" width="11.21875" style="18" customWidth="1"/>
    <col min="10762" max="10763" width="9" style="18"/>
    <col min="10764" max="10764" width="10.109375" style="18" customWidth="1"/>
    <col min="10765" max="10768" width="9" style="18"/>
    <col min="10769" max="10769" width="9.77734375" style="18" customWidth="1"/>
    <col min="10770" max="10770" width="9" style="18"/>
    <col min="10771" max="10771" width="9.109375" style="18" customWidth="1"/>
    <col min="10772" max="10772" width="9.44140625" style="18" customWidth="1"/>
    <col min="10773" max="10773" width="10.77734375" style="18" customWidth="1"/>
    <col min="10774" max="10774" width="10.21875" style="18" customWidth="1"/>
    <col min="10775" max="11006" width="9" style="18"/>
    <col min="11007" max="11007" width="4.6640625" style="18" customWidth="1"/>
    <col min="11008" max="11008" width="6.33203125" style="18" customWidth="1"/>
    <col min="11009" max="11009" width="7" style="18" customWidth="1"/>
    <col min="11010" max="11010" width="10.21875" style="18" customWidth="1"/>
    <col min="11011" max="11011" width="9.88671875" style="18" customWidth="1"/>
    <col min="11012" max="11012" width="11.6640625" style="18" customWidth="1"/>
    <col min="11013" max="11015" width="9" style="18"/>
    <col min="11016" max="11016" width="9.33203125" style="18" customWidth="1"/>
    <col min="11017" max="11017" width="11.21875" style="18" customWidth="1"/>
    <col min="11018" max="11019" width="9" style="18"/>
    <col min="11020" max="11020" width="10.109375" style="18" customWidth="1"/>
    <col min="11021" max="11024" width="9" style="18"/>
    <col min="11025" max="11025" width="9.77734375" style="18" customWidth="1"/>
    <col min="11026" max="11026" width="9" style="18"/>
    <col min="11027" max="11027" width="9.109375" style="18" customWidth="1"/>
    <col min="11028" max="11028" width="9.44140625" style="18" customWidth="1"/>
    <col min="11029" max="11029" width="10.77734375" style="18" customWidth="1"/>
    <col min="11030" max="11030" width="10.21875" style="18" customWidth="1"/>
    <col min="11031" max="11262" width="9" style="18"/>
    <col min="11263" max="11263" width="4.6640625" style="18" customWidth="1"/>
    <col min="11264" max="11264" width="6.33203125" style="18" customWidth="1"/>
    <col min="11265" max="11265" width="7" style="18" customWidth="1"/>
    <col min="11266" max="11266" width="10.21875" style="18" customWidth="1"/>
    <col min="11267" max="11267" width="9.88671875" style="18" customWidth="1"/>
    <col min="11268" max="11268" width="11.6640625" style="18" customWidth="1"/>
    <col min="11269" max="11271" width="9" style="18"/>
    <col min="11272" max="11272" width="9.33203125" style="18" customWidth="1"/>
    <col min="11273" max="11273" width="11.21875" style="18" customWidth="1"/>
    <col min="11274" max="11275" width="9" style="18"/>
    <col min="11276" max="11276" width="10.109375" style="18" customWidth="1"/>
    <col min="11277" max="11280" width="9" style="18"/>
    <col min="11281" max="11281" width="9.77734375" style="18" customWidth="1"/>
    <col min="11282" max="11282" width="9" style="18"/>
    <col min="11283" max="11283" width="9.109375" style="18" customWidth="1"/>
    <col min="11284" max="11284" width="9.44140625" style="18" customWidth="1"/>
    <col min="11285" max="11285" width="10.77734375" style="18" customWidth="1"/>
    <col min="11286" max="11286" width="10.21875" style="18" customWidth="1"/>
    <col min="11287" max="11518" width="9" style="18"/>
    <col min="11519" max="11519" width="4.6640625" style="18" customWidth="1"/>
    <col min="11520" max="11520" width="6.33203125" style="18" customWidth="1"/>
    <col min="11521" max="11521" width="7" style="18" customWidth="1"/>
    <col min="11522" max="11522" width="10.21875" style="18" customWidth="1"/>
    <col min="11523" max="11523" width="9.88671875" style="18" customWidth="1"/>
    <col min="11524" max="11524" width="11.6640625" style="18" customWidth="1"/>
    <col min="11525" max="11527" width="9" style="18"/>
    <col min="11528" max="11528" width="9.33203125" style="18" customWidth="1"/>
    <col min="11529" max="11529" width="11.21875" style="18" customWidth="1"/>
    <col min="11530" max="11531" width="9" style="18"/>
    <col min="11532" max="11532" width="10.109375" style="18" customWidth="1"/>
    <col min="11533" max="11536" width="9" style="18"/>
    <col min="11537" max="11537" width="9.77734375" style="18" customWidth="1"/>
    <col min="11538" max="11538" width="9" style="18"/>
    <col min="11539" max="11539" width="9.109375" style="18" customWidth="1"/>
    <col min="11540" max="11540" width="9.44140625" style="18" customWidth="1"/>
    <col min="11541" max="11541" width="10.77734375" style="18" customWidth="1"/>
    <col min="11542" max="11542" width="10.21875" style="18" customWidth="1"/>
    <col min="11543" max="11774" width="9" style="18"/>
    <col min="11775" max="11775" width="4.6640625" style="18" customWidth="1"/>
    <col min="11776" max="11776" width="6.33203125" style="18" customWidth="1"/>
    <col min="11777" max="11777" width="7" style="18" customWidth="1"/>
    <col min="11778" max="11778" width="10.21875" style="18" customWidth="1"/>
    <col min="11779" max="11779" width="9.88671875" style="18" customWidth="1"/>
    <col min="11780" max="11780" width="11.6640625" style="18" customWidth="1"/>
    <col min="11781" max="11783" width="9" style="18"/>
    <col min="11784" max="11784" width="9.33203125" style="18" customWidth="1"/>
    <col min="11785" max="11785" width="11.21875" style="18" customWidth="1"/>
    <col min="11786" max="11787" width="9" style="18"/>
    <col min="11788" max="11788" width="10.109375" style="18" customWidth="1"/>
    <col min="11789" max="11792" width="9" style="18"/>
    <col min="11793" max="11793" width="9.77734375" style="18" customWidth="1"/>
    <col min="11794" max="11794" width="9" style="18"/>
    <col min="11795" max="11795" width="9.109375" style="18" customWidth="1"/>
    <col min="11796" max="11796" width="9.44140625" style="18" customWidth="1"/>
    <col min="11797" max="11797" width="10.77734375" style="18" customWidth="1"/>
    <col min="11798" max="11798" width="10.21875" style="18" customWidth="1"/>
    <col min="11799" max="12030" width="9" style="18"/>
    <col min="12031" max="12031" width="4.6640625" style="18" customWidth="1"/>
    <col min="12032" max="12032" width="6.33203125" style="18" customWidth="1"/>
    <col min="12033" max="12033" width="7" style="18" customWidth="1"/>
    <col min="12034" max="12034" width="10.21875" style="18" customWidth="1"/>
    <col min="12035" max="12035" width="9.88671875" style="18" customWidth="1"/>
    <col min="12036" max="12036" width="11.6640625" style="18" customWidth="1"/>
    <col min="12037" max="12039" width="9" style="18"/>
    <col min="12040" max="12040" width="9.33203125" style="18" customWidth="1"/>
    <col min="12041" max="12041" width="11.21875" style="18" customWidth="1"/>
    <col min="12042" max="12043" width="9" style="18"/>
    <col min="12044" max="12044" width="10.109375" style="18" customWidth="1"/>
    <col min="12045" max="12048" width="9" style="18"/>
    <col min="12049" max="12049" width="9.77734375" style="18" customWidth="1"/>
    <col min="12050" max="12050" width="9" style="18"/>
    <col min="12051" max="12051" width="9.109375" style="18" customWidth="1"/>
    <col min="12052" max="12052" width="9.44140625" style="18" customWidth="1"/>
    <col min="12053" max="12053" width="10.77734375" style="18" customWidth="1"/>
    <col min="12054" max="12054" width="10.21875" style="18" customWidth="1"/>
    <col min="12055" max="12286" width="9" style="18"/>
    <col min="12287" max="12287" width="4.6640625" style="18" customWidth="1"/>
    <col min="12288" max="12288" width="6.33203125" style="18" customWidth="1"/>
    <col min="12289" max="12289" width="7" style="18" customWidth="1"/>
    <col min="12290" max="12290" width="10.21875" style="18" customWidth="1"/>
    <col min="12291" max="12291" width="9.88671875" style="18" customWidth="1"/>
    <col min="12292" max="12292" width="11.6640625" style="18" customWidth="1"/>
    <col min="12293" max="12295" width="9" style="18"/>
    <col min="12296" max="12296" width="9.33203125" style="18" customWidth="1"/>
    <col min="12297" max="12297" width="11.21875" style="18" customWidth="1"/>
    <col min="12298" max="12299" width="9" style="18"/>
    <col min="12300" max="12300" width="10.109375" style="18" customWidth="1"/>
    <col min="12301" max="12304" width="9" style="18"/>
    <col min="12305" max="12305" width="9.77734375" style="18" customWidth="1"/>
    <col min="12306" max="12306" width="9" style="18"/>
    <col min="12307" max="12307" width="9.109375" style="18" customWidth="1"/>
    <col min="12308" max="12308" width="9.44140625" style="18" customWidth="1"/>
    <col min="12309" max="12309" width="10.77734375" style="18" customWidth="1"/>
    <col min="12310" max="12310" width="10.21875" style="18" customWidth="1"/>
    <col min="12311" max="12542" width="9" style="18"/>
    <col min="12543" max="12543" width="4.6640625" style="18" customWidth="1"/>
    <col min="12544" max="12544" width="6.33203125" style="18" customWidth="1"/>
    <col min="12545" max="12545" width="7" style="18" customWidth="1"/>
    <col min="12546" max="12546" width="10.21875" style="18" customWidth="1"/>
    <col min="12547" max="12547" width="9.88671875" style="18" customWidth="1"/>
    <col min="12548" max="12548" width="11.6640625" style="18" customWidth="1"/>
    <col min="12549" max="12551" width="9" style="18"/>
    <col min="12552" max="12552" width="9.33203125" style="18" customWidth="1"/>
    <col min="12553" max="12553" width="11.21875" style="18" customWidth="1"/>
    <col min="12554" max="12555" width="9" style="18"/>
    <col min="12556" max="12556" width="10.109375" style="18" customWidth="1"/>
    <col min="12557" max="12560" width="9" style="18"/>
    <col min="12561" max="12561" width="9.77734375" style="18" customWidth="1"/>
    <col min="12562" max="12562" width="9" style="18"/>
    <col min="12563" max="12563" width="9.109375" style="18" customWidth="1"/>
    <col min="12564" max="12564" width="9.44140625" style="18" customWidth="1"/>
    <col min="12565" max="12565" width="10.77734375" style="18" customWidth="1"/>
    <col min="12566" max="12566" width="10.21875" style="18" customWidth="1"/>
    <col min="12567" max="12798" width="9" style="18"/>
    <col min="12799" max="12799" width="4.6640625" style="18" customWidth="1"/>
    <col min="12800" max="12800" width="6.33203125" style="18" customWidth="1"/>
    <col min="12801" max="12801" width="7" style="18" customWidth="1"/>
    <col min="12802" max="12802" width="10.21875" style="18" customWidth="1"/>
    <col min="12803" max="12803" width="9.88671875" style="18" customWidth="1"/>
    <col min="12804" max="12804" width="11.6640625" style="18" customWidth="1"/>
    <col min="12805" max="12807" width="9" style="18"/>
    <col min="12808" max="12808" width="9.33203125" style="18" customWidth="1"/>
    <col min="12809" max="12809" width="11.21875" style="18" customWidth="1"/>
    <col min="12810" max="12811" width="9" style="18"/>
    <col min="12812" max="12812" width="10.109375" style="18" customWidth="1"/>
    <col min="12813" max="12816" width="9" style="18"/>
    <col min="12817" max="12817" width="9.77734375" style="18" customWidth="1"/>
    <col min="12818" max="12818" width="9" style="18"/>
    <col min="12819" max="12819" width="9.109375" style="18" customWidth="1"/>
    <col min="12820" max="12820" width="9.44140625" style="18" customWidth="1"/>
    <col min="12821" max="12821" width="10.77734375" style="18" customWidth="1"/>
    <col min="12822" max="12822" width="10.21875" style="18" customWidth="1"/>
    <col min="12823" max="13054" width="9" style="18"/>
    <col min="13055" max="13055" width="4.6640625" style="18" customWidth="1"/>
    <col min="13056" max="13056" width="6.33203125" style="18" customWidth="1"/>
    <col min="13057" max="13057" width="7" style="18" customWidth="1"/>
    <col min="13058" max="13058" width="10.21875" style="18" customWidth="1"/>
    <col min="13059" max="13059" width="9.88671875" style="18" customWidth="1"/>
    <col min="13060" max="13060" width="11.6640625" style="18" customWidth="1"/>
    <col min="13061" max="13063" width="9" style="18"/>
    <col min="13064" max="13064" width="9.33203125" style="18" customWidth="1"/>
    <col min="13065" max="13065" width="11.21875" style="18" customWidth="1"/>
    <col min="13066" max="13067" width="9" style="18"/>
    <col min="13068" max="13068" width="10.109375" style="18" customWidth="1"/>
    <col min="13069" max="13072" width="9" style="18"/>
    <col min="13073" max="13073" width="9.77734375" style="18" customWidth="1"/>
    <col min="13074" max="13074" width="9" style="18"/>
    <col min="13075" max="13075" width="9.109375" style="18" customWidth="1"/>
    <col min="13076" max="13076" width="9.44140625" style="18" customWidth="1"/>
    <col min="13077" max="13077" width="10.77734375" style="18" customWidth="1"/>
    <col min="13078" max="13078" width="10.21875" style="18" customWidth="1"/>
    <col min="13079" max="13310" width="9" style="18"/>
    <col min="13311" max="13311" width="4.6640625" style="18" customWidth="1"/>
    <col min="13312" max="13312" width="6.33203125" style="18" customWidth="1"/>
    <col min="13313" max="13313" width="7" style="18" customWidth="1"/>
    <col min="13314" max="13314" width="10.21875" style="18" customWidth="1"/>
    <col min="13315" max="13315" width="9.88671875" style="18" customWidth="1"/>
    <col min="13316" max="13316" width="11.6640625" style="18" customWidth="1"/>
    <col min="13317" max="13319" width="9" style="18"/>
    <col min="13320" max="13320" width="9.33203125" style="18" customWidth="1"/>
    <col min="13321" max="13321" width="11.21875" style="18" customWidth="1"/>
    <col min="13322" max="13323" width="9" style="18"/>
    <col min="13324" max="13324" width="10.109375" style="18" customWidth="1"/>
    <col min="13325" max="13328" width="9" style="18"/>
    <col min="13329" max="13329" width="9.77734375" style="18" customWidth="1"/>
    <col min="13330" max="13330" width="9" style="18"/>
    <col min="13331" max="13331" width="9.109375" style="18" customWidth="1"/>
    <col min="13332" max="13332" width="9.44140625" style="18" customWidth="1"/>
    <col min="13333" max="13333" width="10.77734375" style="18" customWidth="1"/>
    <col min="13334" max="13334" width="10.21875" style="18" customWidth="1"/>
    <col min="13335" max="13566" width="9" style="18"/>
    <col min="13567" max="13567" width="4.6640625" style="18" customWidth="1"/>
    <col min="13568" max="13568" width="6.33203125" style="18" customWidth="1"/>
    <col min="13569" max="13569" width="7" style="18" customWidth="1"/>
    <col min="13570" max="13570" width="10.21875" style="18" customWidth="1"/>
    <col min="13571" max="13571" width="9.88671875" style="18" customWidth="1"/>
    <col min="13572" max="13572" width="11.6640625" style="18" customWidth="1"/>
    <col min="13573" max="13575" width="9" style="18"/>
    <col min="13576" max="13576" width="9.33203125" style="18" customWidth="1"/>
    <col min="13577" max="13577" width="11.21875" style="18" customWidth="1"/>
    <col min="13578" max="13579" width="9" style="18"/>
    <col min="13580" max="13580" width="10.109375" style="18" customWidth="1"/>
    <col min="13581" max="13584" width="9" style="18"/>
    <col min="13585" max="13585" width="9.77734375" style="18" customWidth="1"/>
    <col min="13586" max="13586" width="9" style="18"/>
    <col min="13587" max="13587" width="9.109375" style="18" customWidth="1"/>
    <col min="13588" max="13588" width="9.44140625" style="18" customWidth="1"/>
    <col min="13589" max="13589" width="10.77734375" style="18" customWidth="1"/>
    <col min="13590" max="13590" width="10.21875" style="18" customWidth="1"/>
    <col min="13591" max="13822" width="9" style="18"/>
    <col min="13823" max="13823" width="4.6640625" style="18" customWidth="1"/>
    <col min="13824" max="13824" width="6.33203125" style="18" customWidth="1"/>
    <col min="13825" max="13825" width="7" style="18" customWidth="1"/>
    <col min="13826" max="13826" width="10.21875" style="18" customWidth="1"/>
    <col min="13827" max="13827" width="9.88671875" style="18" customWidth="1"/>
    <col min="13828" max="13828" width="11.6640625" style="18" customWidth="1"/>
    <col min="13829" max="13831" width="9" style="18"/>
    <col min="13832" max="13832" width="9.33203125" style="18" customWidth="1"/>
    <col min="13833" max="13833" width="11.21875" style="18" customWidth="1"/>
    <col min="13834" max="13835" width="9" style="18"/>
    <col min="13836" max="13836" width="10.109375" style="18" customWidth="1"/>
    <col min="13837" max="13840" width="9" style="18"/>
    <col min="13841" max="13841" width="9.77734375" style="18" customWidth="1"/>
    <col min="13842" max="13842" width="9" style="18"/>
    <col min="13843" max="13843" width="9.109375" style="18" customWidth="1"/>
    <col min="13844" max="13844" width="9.44140625" style="18" customWidth="1"/>
    <col min="13845" max="13845" width="10.77734375" style="18" customWidth="1"/>
    <col min="13846" max="13846" width="10.21875" style="18" customWidth="1"/>
    <col min="13847" max="14078" width="9" style="18"/>
    <col min="14079" max="14079" width="4.6640625" style="18" customWidth="1"/>
    <col min="14080" max="14080" width="6.33203125" style="18" customWidth="1"/>
    <col min="14081" max="14081" width="7" style="18" customWidth="1"/>
    <col min="14082" max="14082" width="10.21875" style="18" customWidth="1"/>
    <col min="14083" max="14083" width="9.88671875" style="18" customWidth="1"/>
    <col min="14084" max="14084" width="11.6640625" style="18" customWidth="1"/>
    <col min="14085" max="14087" width="9" style="18"/>
    <col min="14088" max="14088" width="9.33203125" style="18" customWidth="1"/>
    <col min="14089" max="14089" width="11.21875" style="18" customWidth="1"/>
    <col min="14090" max="14091" width="9" style="18"/>
    <col min="14092" max="14092" width="10.109375" style="18" customWidth="1"/>
    <col min="14093" max="14096" width="9" style="18"/>
    <col min="14097" max="14097" width="9.77734375" style="18" customWidth="1"/>
    <col min="14098" max="14098" width="9" style="18"/>
    <col min="14099" max="14099" width="9.109375" style="18" customWidth="1"/>
    <col min="14100" max="14100" width="9.44140625" style="18" customWidth="1"/>
    <col min="14101" max="14101" width="10.77734375" style="18" customWidth="1"/>
    <col min="14102" max="14102" width="10.21875" style="18" customWidth="1"/>
    <col min="14103" max="14334" width="9" style="18"/>
    <col min="14335" max="14335" width="4.6640625" style="18" customWidth="1"/>
    <col min="14336" max="14336" width="6.33203125" style="18" customWidth="1"/>
    <col min="14337" max="14337" width="7" style="18" customWidth="1"/>
    <col min="14338" max="14338" width="10.21875" style="18" customWidth="1"/>
    <col min="14339" max="14339" width="9.88671875" style="18" customWidth="1"/>
    <col min="14340" max="14340" width="11.6640625" style="18" customWidth="1"/>
    <col min="14341" max="14343" width="9" style="18"/>
    <col min="14344" max="14344" width="9.33203125" style="18" customWidth="1"/>
    <col min="14345" max="14345" width="11.21875" style="18" customWidth="1"/>
    <col min="14346" max="14347" width="9" style="18"/>
    <col min="14348" max="14348" width="10.109375" style="18" customWidth="1"/>
    <col min="14349" max="14352" width="9" style="18"/>
    <col min="14353" max="14353" width="9.77734375" style="18" customWidth="1"/>
    <col min="14354" max="14354" width="9" style="18"/>
    <col min="14355" max="14355" width="9.109375" style="18" customWidth="1"/>
    <col min="14356" max="14356" width="9.44140625" style="18" customWidth="1"/>
    <col min="14357" max="14357" width="10.77734375" style="18" customWidth="1"/>
    <col min="14358" max="14358" width="10.21875" style="18" customWidth="1"/>
    <col min="14359" max="14590" width="9" style="18"/>
    <col min="14591" max="14591" width="4.6640625" style="18" customWidth="1"/>
    <col min="14592" max="14592" width="6.33203125" style="18" customWidth="1"/>
    <col min="14593" max="14593" width="7" style="18" customWidth="1"/>
    <col min="14594" max="14594" width="10.21875" style="18" customWidth="1"/>
    <col min="14595" max="14595" width="9.88671875" style="18" customWidth="1"/>
    <col min="14596" max="14596" width="11.6640625" style="18" customWidth="1"/>
    <col min="14597" max="14599" width="9" style="18"/>
    <col min="14600" max="14600" width="9.33203125" style="18" customWidth="1"/>
    <col min="14601" max="14601" width="11.21875" style="18" customWidth="1"/>
    <col min="14602" max="14603" width="9" style="18"/>
    <col min="14604" max="14604" width="10.109375" style="18" customWidth="1"/>
    <col min="14605" max="14608" width="9" style="18"/>
    <col min="14609" max="14609" width="9.77734375" style="18" customWidth="1"/>
    <col min="14610" max="14610" width="9" style="18"/>
    <col min="14611" max="14611" width="9.109375" style="18" customWidth="1"/>
    <col min="14612" max="14612" width="9.44140625" style="18" customWidth="1"/>
    <col min="14613" max="14613" width="10.77734375" style="18" customWidth="1"/>
    <col min="14614" max="14614" width="10.21875" style="18" customWidth="1"/>
    <col min="14615" max="14846" width="9" style="18"/>
    <col min="14847" max="14847" width="4.6640625" style="18" customWidth="1"/>
    <col min="14848" max="14848" width="6.33203125" style="18" customWidth="1"/>
    <col min="14849" max="14849" width="7" style="18" customWidth="1"/>
    <col min="14850" max="14850" width="10.21875" style="18" customWidth="1"/>
    <col min="14851" max="14851" width="9.88671875" style="18" customWidth="1"/>
    <col min="14852" max="14852" width="11.6640625" style="18" customWidth="1"/>
    <col min="14853" max="14855" width="9" style="18"/>
    <col min="14856" max="14856" width="9.33203125" style="18" customWidth="1"/>
    <col min="14857" max="14857" width="11.21875" style="18" customWidth="1"/>
    <col min="14858" max="14859" width="9" style="18"/>
    <col min="14860" max="14860" width="10.109375" style="18" customWidth="1"/>
    <col min="14861" max="14864" width="9" style="18"/>
    <col min="14865" max="14865" width="9.77734375" style="18" customWidth="1"/>
    <col min="14866" max="14866" width="9" style="18"/>
    <col min="14867" max="14867" width="9.109375" style="18" customWidth="1"/>
    <col min="14868" max="14868" width="9.44140625" style="18" customWidth="1"/>
    <col min="14869" max="14869" width="10.77734375" style="18" customWidth="1"/>
    <col min="14870" max="14870" width="10.21875" style="18" customWidth="1"/>
    <col min="14871" max="15102" width="9" style="18"/>
    <col min="15103" max="15103" width="4.6640625" style="18" customWidth="1"/>
    <col min="15104" max="15104" width="6.33203125" style="18" customWidth="1"/>
    <col min="15105" max="15105" width="7" style="18" customWidth="1"/>
    <col min="15106" max="15106" width="10.21875" style="18" customWidth="1"/>
    <col min="15107" max="15107" width="9.88671875" style="18" customWidth="1"/>
    <col min="15108" max="15108" width="11.6640625" style="18" customWidth="1"/>
    <col min="15109" max="15111" width="9" style="18"/>
    <col min="15112" max="15112" width="9.33203125" style="18" customWidth="1"/>
    <col min="15113" max="15113" width="11.21875" style="18" customWidth="1"/>
    <col min="15114" max="15115" width="9" style="18"/>
    <col min="15116" max="15116" width="10.109375" style="18" customWidth="1"/>
    <col min="15117" max="15120" width="9" style="18"/>
    <col min="15121" max="15121" width="9.77734375" style="18" customWidth="1"/>
    <col min="15122" max="15122" width="9" style="18"/>
    <col min="15123" max="15123" width="9.109375" style="18" customWidth="1"/>
    <col min="15124" max="15124" width="9.44140625" style="18" customWidth="1"/>
    <col min="15125" max="15125" width="10.77734375" style="18" customWidth="1"/>
    <col min="15126" max="15126" width="10.21875" style="18" customWidth="1"/>
    <col min="15127" max="15358" width="9" style="18"/>
    <col min="15359" max="15359" width="4.6640625" style="18" customWidth="1"/>
    <col min="15360" max="15360" width="6.33203125" style="18" customWidth="1"/>
    <col min="15361" max="15361" width="7" style="18" customWidth="1"/>
    <col min="15362" max="15362" width="10.21875" style="18" customWidth="1"/>
    <col min="15363" max="15363" width="9.88671875" style="18" customWidth="1"/>
    <col min="15364" max="15364" width="11.6640625" style="18" customWidth="1"/>
    <col min="15365" max="15367" width="9" style="18"/>
    <col min="15368" max="15368" width="9.33203125" style="18" customWidth="1"/>
    <col min="15369" max="15369" width="11.21875" style="18" customWidth="1"/>
    <col min="15370" max="15371" width="9" style="18"/>
    <col min="15372" max="15372" width="10.109375" style="18" customWidth="1"/>
    <col min="15373" max="15376" width="9" style="18"/>
    <col min="15377" max="15377" width="9.77734375" style="18" customWidth="1"/>
    <col min="15378" max="15378" width="9" style="18"/>
    <col min="15379" max="15379" width="9.109375" style="18" customWidth="1"/>
    <col min="15380" max="15380" width="9.44140625" style="18" customWidth="1"/>
    <col min="15381" max="15381" width="10.77734375" style="18" customWidth="1"/>
    <col min="15382" max="15382" width="10.21875" style="18" customWidth="1"/>
    <col min="15383" max="15614" width="9" style="18"/>
    <col min="15615" max="15615" width="4.6640625" style="18" customWidth="1"/>
    <col min="15616" max="15616" width="6.33203125" style="18" customWidth="1"/>
    <col min="15617" max="15617" width="7" style="18" customWidth="1"/>
    <col min="15618" max="15618" width="10.21875" style="18" customWidth="1"/>
    <col min="15619" max="15619" width="9.88671875" style="18" customWidth="1"/>
    <col min="15620" max="15620" width="11.6640625" style="18" customWidth="1"/>
    <col min="15621" max="15623" width="9" style="18"/>
    <col min="15624" max="15624" width="9.33203125" style="18" customWidth="1"/>
    <col min="15625" max="15625" width="11.21875" style="18" customWidth="1"/>
    <col min="15626" max="15627" width="9" style="18"/>
    <col min="15628" max="15628" width="10.109375" style="18" customWidth="1"/>
    <col min="15629" max="15632" width="9" style="18"/>
    <col min="15633" max="15633" width="9.77734375" style="18" customWidth="1"/>
    <col min="15634" max="15634" width="9" style="18"/>
    <col min="15635" max="15635" width="9.109375" style="18" customWidth="1"/>
    <col min="15636" max="15636" width="9.44140625" style="18" customWidth="1"/>
    <col min="15637" max="15637" width="10.77734375" style="18" customWidth="1"/>
    <col min="15638" max="15638" width="10.21875" style="18" customWidth="1"/>
    <col min="15639" max="15870" width="9" style="18"/>
    <col min="15871" max="15871" width="4.6640625" style="18" customWidth="1"/>
    <col min="15872" max="15872" width="6.33203125" style="18" customWidth="1"/>
    <col min="15873" max="15873" width="7" style="18" customWidth="1"/>
    <col min="15874" max="15874" width="10.21875" style="18" customWidth="1"/>
    <col min="15875" max="15875" width="9.88671875" style="18" customWidth="1"/>
    <col min="15876" max="15876" width="11.6640625" style="18" customWidth="1"/>
    <col min="15877" max="15879" width="9" style="18"/>
    <col min="15880" max="15880" width="9.33203125" style="18" customWidth="1"/>
    <col min="15881" max="15881" width="11.21875" style="18" customWidth="1"/>
    <col min="15882" max="15883" width="9" style="18"/>
    <col min="15884" max="15884" width="10.109375" style="18" customWidth="1"/>
    <col min="15885" max="15888" width="9" style="18"/>
    <col min="15889" max="15889" width="9.77734375" style="18" customWidth="1"/>
    <col min="15890" max="15890" width="9" style="18"/>
    <col min="15891" max="15891" width="9.109375" style="18" customWidth="1"/>
    <col min="15892" max="15892" width="9.44140625" style="18" customWidth="1"/>
    <col min="15893" max="15893" width="10.77734375" style="18" customWidth="1"/>
    <col min="15894" max="15894" width="10.21875" style="18" customWidth="1"/>
    <col min="15895" max="16126" width="9" style="18"/>
    <col min="16127" max="16127" width="4.6640625" style="18" customWidth="1"/>
    <col min="16128" max="16128" width="6.33203125" style="18" customWidth="1"/>
    <col min="16129" max="16129" width="7" style="18" customWidth="1"/>
    <col min="16130" max="16130" width="10.21875" style="18" customWidth="1"/>
    <col min="16131" max="16131" width="9.88671875" style="18" customWidth="1"/>
    <col min="16132" max="16132" width="11.6640625" style="18" customWidth="1"/>
    <col min="16133" max="16135" width="9" style="18"/>
    <col min="16136" max="16136" width="9.33203125" style="18" customWidth="1"/>
    <col min="16137" max="16137" width="11.21875" style="18" customWidth="1"/>
    <col min="16138" max="16139" width="9" style="18"/>
    <col min="16140" max="16140" width="10.109375" style="18" customWidth="1"/>
    <col min="16141" max="16144" width="9" style="18"/>
    <col min="16145" max="16145" width="9.77734375" style="18" customWidth="1"/>
    <col min="16146" max="16146" width="9" style="18"/>
    <col min="16147" max="16147" width="9.109375" style="18" customWidth="1"/>
    <col min="16148" max="16148" width="9.44140625" style="18" customWidth="1"/>
    <col min="16149" max="16149" width="10.77734375" style="18" customWidth="1"/>
    <col min="16150" max="16150" width="10.21875" style="18" customWidth="1"/>
    <col min="16151" max="16384" width="9" style="18"/>
  </cols>
  <sheetData>
    <row r="2" spans="2:39" ht="14.25" customHeight="1">
      <c r="B2" s="696" t="s">
        <v>113</v>
      </c>
      <c r="C2" s="696"/>
      <c r="D2" s="696"/>
      <c r="E2" s="696"/>
      <c r="F2" s="696"/>
      <c r="G2" s="696"/>
      <c r="H2" s="696"/>
      <c r="I2" s="696"/>
      <c r="J2" s="696"/>
      <c r="K2" s="696"/>
      <c r="L2" s="696"/>
      <c r="O2" s="31" t="e">
        <f>(J13+K17)/(J7+K7)*100</f>
        <v>#DIV/0!</v>
      </c>
    </row>
    <row r="3" spans="2:39"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O3" s="31" t="e">
        <f>(J14+K18)/(J8+K8)*100</f>
        <v>#DIV/0!</v>
      </c>
    </row>
    <row r="4" spans="2:39">
      <c r="B4" s="19"/>
      <c r="C4" s="693"/>
      <c r="D4" s="693"/>
      <c r="E4" s="694"/>
      <c r="F4" s="694"/>
      <c r="G4" s="694"/>
      <c r="H4" s="694"/>
      <c r="I4" s="694"/>
      <c r="J4" s="675">
        <f>基础数据!A2</f>
        <v>45836</v>
      </c>
      <c r="K4" s="675"/>
      <c r="L4" s="26"/>
      <c r="O4" s="31" t="e">
        <f>(J15+K19)/(J9+K9)*100</f>
        <v>#DIV/0!</v>
      </c>
    </row>
    <row r="5" spans="2:39" ht="20.100000000000001" customHeight="1">
      <c r="B5" s="679" t="s">
        <v>42</v>
      </c>
      <c r="C5" s="679" t="s">
        <v>43</v>
      </c>
      <c r="D5" s="679" t="s">
        <v>44</v>
      </c>
      <c r="E5" s="679" t="s">
        <v>45</v>
      </c>
      <c r="F5" s="680" t="s">
        <v>50</v>
      </c>
      <c r="G5" s="680" t="s">
        <v>104</v>
      </c>
      <c r="H5" s="680"/>
      <c r="I5" s="680"/>
      <c r="J5" s="680" t="s">
        <v>105</v>
      </c>
      <c r="K5" s="680"/>
      <c r="L5" s="680"/>
      <c r="M5" s="695" t="s">
        <v>0</v>
      </c>
      <c r="N5" s="695" t="s">
        <v>0</v>
      </c>
      <c r="O5" s="31" t="e">
        <f>(J16+K20)/(J10+K10)*100</f>
        <v>#DIV/0!</v>
      </c>
    </row>
    <row r="6" spans="2:39" ht="20.100000000000001" customHeight="1">
      <c r="B6" s="679"/>
      <c r="C6" s="679"/>
      <c r="D6" s="679"/>
      <c r="E6" s="679"/>
      <c r="F6" s="680"/>
      <c r="G6" s="20" t="s">
        <v>6</v>
      </c>
      <c r="H6" s="20" t="s">
        <v>7</v>
      </c>
      <c r="I6" s="20" t="s">
        <v>51</v>
      </c>
      <c r="J6" s="20" t="s">
        <v>53</v>
      </c>
      <c r="K6" s="20" t="s">
        <v>54</v>
      </c>
      <c r="L6" s="20" t="s">
        <v>55</v>
      </c>
      <c r="M6" s="695"/>
      <c r="N6" s="695"/>
    </row>
    <row r="7" spans="2:39" ht="20.100000000000001" customHeight="1">
      <c r="B7" s="679" t="s">
        <v>10</v>
      </c>
      <c r="C7" s="21" t="s">
        <v>114</v>
      </c>
      <c r="D7" s="23" t="str">
        <f>IF(ISERROR((D32*F32+'2车间表1'!D7*'2车间表1'!H7)/'2系统周表'!F7),"0.00",(D32*F32+'2车间表1'!D7*'2车间表1'!H7)/'2系统周表'!F7)</f>
        <v>0.00</v>
      </c>
      <c r="E7" s="23">
        <f>E32+'2车间表1'!E7</f>
        <v>0</v>
      </c>
      <c r="F7" s="23">
        <f>F32+'2车间表1'!H7</f>
        <v>0</v>
      </c>
      <c r="G7" s="23" t="str">
        <f>IF(ISERROR(J7/F7*100),"0.00",J7/F7*100)</f>
        <v>0.00</v>
      </c>
      <c r="H7" s="23" t="str">
        <f>IF(ISERROR(K7/F7*100),"0.00",K7/F7*100)</f>
        <v>0.00</v>
      </c>
      <c r="I7" s="27" t="str">
        <f>IF(ISERROR(L7/F7*1000),"0.00",L7/F7*1000)</f>
        <v>0.00</v>
      </c>
      <c r="J7" s="28">
        <f>J32+'2车间表1'!M7</f>
        <v>0</v>
      </c>
      <c r="K7" s="28"/>
      <c r="L7" s="32">
        <f>L32+'2车间表1'!O7</f>
        <v>0</v>
      </c>
      <c r="N7" s="31" t="str">
        <f>D7</f>
        <v>0.00</v>
      </c>
      <c r="O7" s="31" t="e">
        <f>F7/E7</f>
        <v>#DIV/0!</v>
      </c>
      <c r="P7" s="31" t="e">
        <f>#REF!</f>
        <v>#REF!</v>
      </c>
      <c r="Q7" s="31" t="str">
        <f t="shared" ref="Q7:S10" si="0">G7</f>
        <v>0.00</v>
      </c>
      <c r="R7" s="31" t="str">
        <f t="shared" si="0"/>
        <v>0.00</v>
      </c>
      <c r="S7" s="31" t="str">
        <f t="shared" si="0"/>
        <v>0.00</v>
      </c>
      <c r="T7" s="31" t="e">
        <f>#REF!</f>
        <v>#REF!</v>
      </c>
      <c r="U7" s="31" t="e">
        <f>#REF!</f>
        <v>#REF!</v>
      </c>
      <c r="V7" s="31" t="e">
        <f>#REF!</f>
        <v>#REF!</v>
      </c>
      <c r="W7" s="34" t="e">
        <f>#REF!</f>
        <v>#REF!</v>
      </c>
      <c r="X7" s="31" t="e">
        <f>#REF!</f>
        <v>#REF!</v>
      </c>
      <c r="Y7" s="31" t="str">
        <f t="shared" ref="Y7:AA10" si="1">G13</f>
        <v>0.00</v>
      </c>
      <c r="Z7" s="31">
        <f t="shared" si="1"/>
        <v>0</v>
      </c>
      <c r="AA7" s="34" t="str">
        <f t="shared" si="1"/>
        <v>0.00</v>
      </c>
      <c r="AB7" s="31" t="e">
        <f>#REF!</f>
        <v>#REF!</v>
      </c>
      <c r="AC7" s="31">
        <f t="shared" ref="AC7:AE10" si="2">G17</f>
        <v>0</v>
      </c>
      <c r="AD7" s="31">
        <f t="shared" si="2"/>
        <v>0</v>
      </c>
      <c r="AE7" s="34">
        <f t="shared" si="2"/>
        <v>0</v>
      </c>
      <c r="AF7" s="31" t="e">
        <f>#REF!</f>
        <v>#REF!</v>
      </c>
      <c r="AG7" s="31" t="str">
        <f t="shared" ref="AG7:AI10" si="3">G21</f>
        <v>0.00</v>
      </c>
      <c r="AH7" s="31">
        <f t="shared" si="3"/>
        <v>0</v>
      </c>
      <c r="AI7" s="34" t="str">
        <f t="shared" si="3"/>
        <v>0.00</v>
      </c>
      <c r="AJ7" s="31" t="e">
        <f>#REF!</f>
        <v>#REF!</v>
      </c>
      <c r="AK7" s="31" t="str">
        <f>D13</f>
        <v>0.00</v>
      </c>
      <c r="AL7" s="31">
        <f>D17</f>
        <v>0</v>
      </c>
      <c r="AM7" s="31">
        <f>E21</f>
        <v>0</v>
      </c>
    </row>
    <row r="8" spans="2:39" ht="20.100000000000001" customHeight="1">
      <c r="B8" s="679"/>
      <c r="C8" s="21" t="s">
        <v>115</v>
      </c>
      <c r="D8" s="23" t="str">
        <f>IF(ISERROR((D33*F33+'2车间表1'!D8*'2车间表1'!H8)/'2系统周表'!F8),"0.00",(D33*F33+'2车间表1'!D8*'2车间表1'!H8)/'2系统周表'!F8)</f>
        <v>0.00</v>
      </c>
      <c r="E8" s="23">
        <f>E33+'2车间表1'!E8</f>
        <v>0</v>
      </c>
      <c r="F8" s="23">
        <f>F33+'2车间表1'!H8</f>
        <v>0</v>
      </c>
      <c r="G8" s="23" t="str">
        <f>IF(ISERROR(J8/F8*100),"0.00",J8/F8*100)</f>
        <v>0.00</v>
      </c>
      <c r="H8" s="23" t="str">
        <f>IF(ISERROR(K8/F8*100),"0.00",K8/F8*100)</f>
        <v>0.00</v>
      </c>
      <c r="I8" s="27" t="str">
        <f>IF(ISERROR(L8/F8*1000),"0.00",L8/F8*1000)</f>
        <v>0.00</v>
      </c>
      <c r="J8" s="28">
        <f>J33+'2车间表1'!M8</f>
        <v>0</v>
      </c>
      <c r="K8" s="28"/>
      <c r="L8" s="32">
        <f>L33+'2车间表1'!O8</f>
        <v>0</v>
      </c>
      <c r="N8" s="31" t="str">
        <f>D8</f>
        <v>0.00</v>
      </c>
      <c r="O8" s="31" t="e">
        <f>F8/E8</f>
        <v>#DIV/0!</v>
      </c>
      <c r="P8" s="31" t="e">
        <f>#REF!</f>
        <v>#REF!</v>
      </c>
      <c r="Q8" s="31" t="str">
        <f t="shared" si="0"/>
        <v>0.00</v>
      </c>
      <c r="R8" s="31" t="str">
        <f t="shared" si="0"/>
        <v>0.00</v>
      </c>
      <c r="S8" s="31" t="str">
        <f t="shared" si="0"/>
        <v>0.00</v>
      </c>
      <c r="T8" s="31" t="e">
        <f>#REF!</f>
        <v>#REF!</v>
      </c>
      <c r="U8" s="31" t="e">
        <f>#REF!</f>
        <v>#REF!</v>
      </c>
      <c r="V8" s="31" t="e">
        <f>#REF!</f>
        <v>#REF!</v>
      </c>
      <c r="W8" s="34" t="e">
        <f>#REF!</f>
        <v>#REF!</v>
      </c>
      <c r="X8" s="31" t="e">
        <f>#REF!</f>
        <v>#REF!</v>
      </c>
      <c r="Y8" s="31" t="str">
        <f t="shared" si="1"/>
        <v>0.00</v>
      </c>
      <c r="Z8" s="31">
        <f t="shared" si="1"/>
        <v>0</v>
      </c>
      <c r="AA8" s="34" t="str">
        <f t="shared" si="1"/>
        <v>0.00</v>
      </c>
      <c r="AB8" s="31" t="e">
        <f>#REF!</f>
        <v>#REF!</v>
      </c>
      <c r="AC8" s="31">
        <f t="shared" si="2"/>
        <v>0</v>
      </c>
      <c r="AD8" s="31">
        <f t="shared" si="2"/>
        <v>0</v>
      </c>
      <c r="AE8" s="34">
        <f t="shared" si="2"/>
        <v>0</v>
      </c>
      <c r="AF8" s="31" t="e">
        <f>#REF!</f>
        <v>#REF!</v>
      </c>
      <c r="AG8" s="31" t="str">
        <f t="shared" si="3"/>
        <v>0.00</v>
      </c>
      <c r="AH8" s="31">
        <f t="shared" si="3"/>
        <v>0</v>
      </c>
      <c r="AI8" s="34" t="str">
        <f t="shared" si="3"/>
        <v>0.00</v>
      </c>
      <c r="AJ8" s="31" t="e">
        <f>#REF!</f>
        <v>#REF!</v>
      </c>
      <c r="AK8" s="31" t="str">
        <f>D14</f>
        <v>0.00</v>
      </c>
      <c r="AL8" s="31">
        <f>D18</f>
        <v>0</v>
      </c>
      <c r="AM8" s="31">
        <f>E22</f>
        <v>0</v>
      </c>
    </row>
    <row r="9" spans="2:39" ht="20.100000000000001" customHeight="1">
      <c r="B9" s="679"/>
      <c r="C9" s="21" t="s">
        <v>116</v>
      </c>
      <c r="D9" s="23" t="str">
        <f>IF(ISERROR((D34*F34+'2车间表1'!D9*'2车间表1'!H9)/'2系统周表'!F9),"0.00",(D34*F34+'2车间表1'!D9*'2车间表1'!H9)/'2系统周表'!F9)</f>
        <v>0.00</v>
      </c>
      <c r="E9" s="23">
        <f>E34+'2车间表1'!E9</f>
        <v>0</v>
      </c>
      <c r="F9" s="23">
        <f>F34+'2车间表1'!H9</f>
        <v>0</v>
      </c>
      <c r="G9" s="23" t="str">
        <f>IF(ISERROR(J9/F9*100),"0.00",J9/F9*100)</f>
        <v>0.00</v>
      </c>
      <c r="H9" s="23" t="str">
        <f>IF(ISERROR(K9/F9*100),"0.00",K9/F9*100)</f>
        <v>0.00</v>
      </c>
      <c r="I9" s="27" t="str">
        <f>IF(ISERROR(L9/F9*1000),"0.00",L9/F9*1000)</f>
        <v>0.00</v>
      </c>
      <c r="J9" s="28">
        <f>J34+'2车间表1'!M9</f>
        <v>0</v>
      </c>
      <c r="K9" s="28"/>
      <c r="L9" s="32">
        <f>L34+'2车间表1'!O9</f>
        <v>0</v>
      </c>
      <c r="N9" s="31" t="str">
        <f>D9</f>
        <v>0.00</v>
      </c>
      <c r="O9" s="31" t="e">
        <f>F9/E9</f>
        <v>#DIV/0!</v>
      </c>
      <c r="P9" s="31" t="e">
        <f>#REF!</f>
        <v>#REF!</v>
      </c>
      <c r="Q9" s="31" t="str">
        <f t="shared" si="0"/>
        <v>0.00</v>
      </c>
      <c r="R9" s="31" t="str">
        <f t="shared" si="0"/>
        <v>0.00</v>
      </c>
      <c r="S9" s="31" t="str">
        <f t="shared" si="0"/>
        <v>0.00</v>
      </c>
      <c r="T9" s="31" t="e">
        <f>#REF!</f>
        <v>#REF!</v>
      </c>
      <c r="U9" s="31" t="e">
        <f>#REF!</f>
        <v>#REF!</v>
      </c>
      <c r="V9" s="31" t="e">
        <f>#REF!</f>
        <v>#REF!</v>
      </c>
      <c r="W9" s="34" t="e">
        <f>#REF!</f>
        <v>#REF!</v>
      </c>
      <c r="X9" s="31" t="e">
        <f>#REF!</f>
        <v>#REF!</v>
      </c>
      <c r="Y9" s="31" t="str">
        <f t="shared" si="1"/>
        <v>0.00</v>
      </c>
      <c r="Z9" s="31">
        <f t="shared" si="1"/>
        <v>0</v>
      </c>
      <c r="AA9" s="34" t="str">
        <f t="shared" si="1"/>
        <v>0.00</v>
      </c>
      <c r="AB9" s="31" t="e">
        <f>#REF!</f>
        <v>#REF!</v>
      </c>
      <c r="AC9" s="31">
        <f t="shared" si="2"/>
        <v>0</v>
      </c>
      <c r="AD9" s="31">
        <f t="shared" si="2"/>
        <v>0</v>
      </c>
      <c r="AE9" s="34">
        <f t="shared" si="2"/>
        <v>0</v>
      </c>
      <c r="AF9" s="31" t="e">
        <f>#REF!</f>
        <v>#REF!</v>
      </c>
      <c r="AG9" s="31" t="str">
        <f t="shared" si="3"/>
        <v>0.00</v>
      </c>
      <c r="AH9" s="31">
        <f t="shared" si="3"/>
        <v>0</v>
      </c>
      <c r="AI9" s="34" t="str">
        <f t="shared" si="3"/>
        <v>0.00</v>
      </c>
      <c r="AJ9" s="31" t="e">
        <f>#REF!</f>
        <v>#REF!</v>
      </c>
      <c r="AK9" s="31" t="str">
        <f>D15</f>
        <v>0.00</v>
      </c>
      <c r="AL9" s="31">
        <f>D19</f>
        <v>0</v>
      </c>
      <c r="AM9" s="31">
        <f>E23</f>
        <v>0</v>
      </c>
    </row>
    <row r="10" spans="2:39" ht="20.100000000000001" customHeight="1">
      <c r="B10" s="679"/>
      <c r="C10" s="20" t="s">
        <v>99</v>
      </c>
      <c r="D10" s="23" t="str">
        <f>IF(ISERROR((D7*F7+D8*F8+D9*F9)/F10),"0.00",(D7*F7+D8*F8+D9*F9)/F10)</f>
        <v>0.00</v>
      </c>
      <c r="E10" s="23">
        <f>E7+E8+E9</f>
        <v>0</v>
      </c>
      <c r="F10" s="23">
        <f>F7+F8+F9</f>
        <v>0</v>
      </c>
      <c r="G10" s="23" t="str">
        <f>IF(ISERROR(J10/F10*100),"0.00",J10/F10*100)</f>
        <v>0.00</v>
      </c>
      <c r="H10" s="23" t="str">
        <f>IF(ISERROR(K10/F10*100),"0.00",K10/F10*100)</f>
        <v>0.00</v>
      </c>
      <c r="I10" s="27" t="str">
        <f>IF(ISERROR(L10/F10*1000),"0.00",L10/F10*1000)</f>
        <v>0.00</v>
      </c>
      <c r="J10" s="28">
        <f>J7+J8+J9</f>
        <v>0</v>
      </c>
      <c r="K10" s="28"/>
      <c r="L10" s="32">
        <f>L7+L8+L9</f>
        <v>0</v>
      </c>
      <c r="N10" s="31" t="str">
        <f>D10</f>
        <v>0.00</v>
      </c>
      <c r="O10" s="31" t="e">
        <f>F10/E10</f>
        <v>#DIV/0!</v>
      </c>
      <c r="P10" s="31" t="e">
        <f>#REF!</f>
        <v>#REF!</v>
      </c>
      <c r="Q10" s="31" t="str">
        <f t="shared" si="0"/>
        <v>0.00</v>
      </c>
      <c r="R10" s="31" t="str">
        <f t="shared" si="0"/>
        <v>0.00</v>
      </c>
      <c r="S10" s="31" t="str">
        <f t="shared" si="0"/>
        <v>0.00</v>
      </c>
      <c r="T10" s="31" t="e">
        <f>#REF!</f>
        <v>#REF!</v>
      </c>
      <c r="U10" s="31" t="e">
        <f>#REF!</f>
        <v>#REF!</v>
      </c>
      <c r="V10" s="31" t="e">
        <f>#REF!</f>
        <v>#REF!</v>
      </c>
      <c r="W10" s="34" t="e">
        <f>#REF!</f>
        <v>#REF!</v>
      </c>
      <c r="X10" s="31" t="e">
        <f>#REF!</f>
        <v>#REF!</v>
      </c>
      <c r="Y10" s="31" t="str">
        <f t="shared" si="1"/>
        <v>0.00</v>
      </c>
      <c r="Z10" s="31">
        <f t="shared" si="1"/>
        <v>0</v>
      </c>
      <c r="AA10" s="34" t="str">
        <f t="shared" si="1"/>
        <v>0.00</v>
      </c>
      <c r="AB10" s="31" t="e">
        <f>#REF!</f>
        <v>#REF!</v>
      </c>
      <c r="AC10" s="31">
        <f t="shared" si="2"/>
        <v>0</v>
      </c>
      <c r="AD10" s="31">
        <f t="shared" si="2"/>
        <v>0</v>
      </c>
      <c r="AE10" s="34">
        <f t="shared" si="2"/>
        <v>0</v>
      </c>
      <c r="AF10" s="31" t="e">
        <f>#REF!</f>
        <v>#REF!</v>
      </c>
      <c r="AG10" s="31" t="str">
        <f t="shared" si="3"/>
        <v>0.00</v>
      </c>
      <c r="AH10" s="31">
        <f t="shared" si="3"/>
        <v>0</v>
      </c>
      <c r="AI10" s="34" t="str">
        <f t="shared" si="3"/>
        <v>0.00</v>
      </c>
      <c r="AJ10" s="31" t="e">
        <f>#REF!</f>
        <v>#REF!</v>
      </c>
      <c r="AK10" s="31" t="str">
        <f>D16</f>
        <v>0.00</v>
      </c>
      <c r="AL10" s="31">
        <f>D20</f>
        <v>0</v>
      </c>
      <c r="AM10" s="31">
        <f>E24</f>
        <v>0</v>
      </c>
    </row>
    <row r="11" spans="2:39" ht="20.100000000000001" customHeight="1">
      <c r="B11" s="679" t="s">
        <v>42</v>
      </c>
      <c r="C11" s="679" t="s">
        <v>43</v>
      </c>
      <c r="D11" s="680" t="s">
        <v>59</v>
      </c>
      <c r="E11" s="680"/>
      <c r="F11" s="680" t="s">
        <v>50</v>
      </c>
      <c r="G11" s="680" t="s">
        <v>80</v>
      </c>
      <c r="H11" s="680"/>
      <c r="I11" s="680"/>
      <c r="J11" s="680" t="s">
        <v>76</v>
      </c>
      <c r="K11" s="680"/>
      <c r="L11" s="680"/>
      <c r="N11" s="31"/>
      <c r="O11" s="31"/>
      <c r="P11" s="31"/>
      <c r="Q11" s="31"/>
      <c r="R11" s="31"/>
      <c r="S11" s="31"/>
      <c r="T11" s="31"/>
      <c r="U11" s="31"/>
      <c r="V11" s="31"/>
      <c r="W11" s="34"/>
      <c r="X11" s="31"/>
      <c r="Y11" s="31"/>
      <c r="Z11" s="31"/>
      <c r="AA11" s="34"/>
      <c r="AB11" s="31"/>
      <c r="AC11" s="31"/>
      <c r="AD11" s="31"/>
      <c r="AE11" s="34"/>
      <c r="AF11" s="31"/>
      <c r="AG11" s="31"/>
      <c r="AH11" s="31"/>
      <c r="AI11" s="34"/>
    </row>
    <row r="12" spans="2:39" ht="20.100000000000001" customHeight="1">
      <c r="B12" s="679"/>
      <c r="C12" s="679"/>
      <c r="D12" s="20" t="s">
        <v>63</v>
      </c>
      <c r="E12" s="20" t="s">
        <v>14</v>
      </c>
      <c r="F12" s="680"/>
      <c r="G12" s="20" t="s">
        <v>6</v>
      </c>
      <c r="H12" s="20" t="s">
        <v>7</v>
      </c>
      <c r="I12" s="20" t="s">
        <v>51</v>
      </c>
      <c r="J12" s="20" t="s">
        <v>53</v>
      </c>
      <c r="K12" s="20" t="s">
        <v>54</v>
      </c>
      <c r="L12" s="20" t="s">
        <v>55</v>
      </c>
      <c r="W12" s="34"/>
      <c r="AA12" s="34"/>
      <c r="AE12" s="34"/>
      <c r="AI12" s="34"/>
    </row>
    <row r="13" spans="2:39" ht="20.100000000000001" customHeight="1">
      <c r="B13" s="679" t="s">
        <v>23</v>
      </c>
      <c r="C13" s="21" t="s">
        <v>114</v>
      </c>
      <c r="D13" s="23" t="str">
        <f>IF(ISERROR(J13/J7*100),"0.00",J13/J7*100)</f>
        <v>0.00</v>
      </c>
      <c r="E13" s="23" t="str">
        <f>IF(ISERROR(L13/L7*100),"0.00",L13/L7*100)</f>
        <v>0.00</v>
      </c>
      <c r="F13" s="23">
        <f>F35+'2车间表1'!D14</f>
        <v>0</v>
      </c>
      <c r="G13" s="23" t="str">
        <f t="shared" ref="G13:G24" si="4">IF(ISERROR(J13/F13*100),"0.00",J13/F13*100)</f>
        <v>0.00</v>
      </c>
      <c r="H13" s="23"/>
      <c r="I13" s="27" t="str">
        <f t="shared" ref="I13:I24" si="5">IF(ISERROR(L13/F13*1000),"0.00",L13/F13*1000)</f>
        <v>0.00</v>
      </c>
      <c r="J13" s="28">
        <f>J35+'2车间表1'!I14</f>
        <v>0</v>
      </c>
      <c r="K13" s="28"/>
      <c r="L13" s="32">
        <f>L35+'2车间表1'!K14</f>
        <v>0</v>
      </c>
      <c r="N13" s="31" t="e">
        <f>#REF!/#REF!*100</f>
        <v>#REF!</v>
      </c>
      <c r="O13" s="31" t="e">
        <f t="shared" ref="O13:Q16" si="6">J13/J7*100</f>
        <v>#DIV/0!</v>
      </c>
      <c r="P13" s="31" t="e">
        <f t="shared" si="6"/>
        <v>#DIV/0!</v>
      </c>
      <c r="Q13" s="31" t="e">
        <f t="shared" si="6"/>
        <v>#DIV/0!</v>
      </c>
      <c r="S13" s="31" t="e">
        <f>P13</f>
        <v>#DIV/0!</v>
      </c>
      <c r="T13" s="31" t="e">
        <f>P17</f>
        <v>#DIV/0!</v>
      </c>
      <c r="U13" s="31" t="e">
        <f>#REF!</f>
        <v>#REF!</v>
      </c>
      <c r="V13" s="31" t="e">
        <f>P21</f>
        <v>#DIV/0!</v>
      </c>
      <c r="W13" s="31" t="e">
        <f t="shared" ref="W13:W24" si="7">S13+T13+U13+V13</f>
        <v>#DIV/0!</v>
      </c>
      <c r="X13" s="31"/>
      <c r="Y13" s="31"/>
      <c r="Z13" s="31"/>
      <c r="AA13" s="31"/>
      <c r="AB13" s="31"/>
      <c r="AE13" s="34"/>
      <c r="AI13" s="34"/>
    </row>
    <row r="14" spans="2:39" ht="20.100000000000001" customHeight="1">
      <c r="B14" s="679"/>
      <c r="C14" s="21" t="s">
        <v>115</v>
      </c>
      <c r="D14" s="23" t="str">
        <f>IF(ISERROR(J14/J8*100),"0.00",J14/J8*100)</f>
        <v>0.00</v>
      </c>
      <c r="E14" s="23" t="str">
        <f>IF(ISERROR(L14/L8*100),"0.00",L14/L8*100)</f>
        <v>0.00</v>
      </c>
      <c r="F14" s="23">
        <f>F36+'2车间表1'!D15</f>
        <v>0</v>
      </c>
      <c r="G14" s="23" t="str">
        <f t="shared" si="4"/>
        <v>0.00</v>
      </c>
      <c r="H14" s="23"/>
      <c r="I14" s="27" t="str">
        <f t="shared" si="5"/>
        <v>0.00</v>
      </c>
      <c r="J14" s="28">
        <f>J36+'2车间表1'!I15</f>
        <v>0</v>
      </c>
      <c r="K14" s="28"/>
      <c r="L14" s="32">
        <f>L36+'2车间表1'!K15</f>
        <v>0</v>
      </c>
      <c r="N14" s="31" t="e">
        <f>#REF!/#REF!*100</f>
        <v>#REF!</v>
      </c>
      <c r="O14" s="31" t="e">
        <f t="shared" si="6"/>
        <v>#DIV/0!</v>
      </c>
      <c r="P14" s="31" t="e">
        <f t="shared" si="6"/>
        <v>#DIV/0!</v>
      </c>
      <c r="Q14" s="31" t="e">
        <f t="shared" si="6"/>
        <v>#DIV/0!</v>
      </c>
      <c r="S14" s="31" t="e">
        <f>P14</f>
        <v>#DIV/0!</v>
      </c>
      <c r="T14" s="31" t="e">
        <f>P18</f>
        <v>#DIV/0!</v>
      </c>
      <c r="U14" s="31" t="e">
        <f>#REF!</f>
        <v>#REF!</v>
      </c>
      <c r="V14" s="31" t="e">
        <f>P22</f>
        <v>#DIV/0!</v>
      </c>
      <c r="W14" s="31" t="e">
        <f t="shared" si="7"/>
        <v>#DIV/0!</v>
      </c>
      <c r="AA14" s="34"/>
      <c r="AE14" s="34"/>
      <c r="AI14" s="34"/>
    </row>
    <row r="15" spans="2:39" ht="20.100000000000001" customHeight="1">
      <c r="B15" s="679"/>
      <c r="C15" s="21" t="s">
        <v>116</v>
      </c>
      <c r="D15" s="23" t="str">
        <f>IF(ISERROR(J15/J9*100),"0.00",J15/J9*100)</f>
        <v>0.00</v>
      </c>
      <c r="E15" s="23" t="str">
        <f>IF(ISERROR(L15/L9*100),"0.00",L15/L9*100)</f>
        <v>0.00</v>
      </c>
      <c r="F15" s="23">
        <f>F37+'2车间表1'!D16</f>
        <v>0</v>
      </c>
      <c r="G15" s="23" t="str">
        <f t="shared" si="4"/>
        <v>0.00</v>
      </c>
      <c r="H15" s="23"/>
      <c r="I15" s="27" t="str">
        <f t="shared" si="5"/>
        <v>0.00</v>
      </c>
      <c r="J15" s="28">
        <f>J37+'2车间表1'!I16</f>
        <v>0</v>
      </c>
      <c r="K15" s="28"/>
      <c r="L15" s="32">
        <f>L37+'2车间表1'!K16</f>
        <v>0</v>
      </c>
      <c r="N15" s="31" t="e">
        <f>#REF!/#REF!*100</f>
        <v>#REF!</v>
      </c>
      <c r="O15" s="31" t="e">
        <f t="shared" si="6"/>
        <v>#DIV/0!</v>
      </c>
      <c r="P15" s="31" t="e">
        <f t="shared" si="6"/>
        <v>#DIV/0!</v>
      </c>
      <c r="Q15" s="31" t="e">
        <f t="shared" si="6"/>
        <v>#DIV/0!</v>
      </c>
      <c r="S15" s="31" t="e">
        <f>P15</f>
        <v>#DIV/0!</v>
      </c>
      <c r="T15" s="31" t="e">
        <f>P19</f>
        <v>#DIV/0!</v>
      </c>
      <c r="U15" s="31" t="e">
        <f>#REF!</f>
        <v>#REF!</v>
      </c>
      <c r="V15" s="31" t="e">
        <f>P23</f>
        <v>#DIV/0!</v>
      </c>
      <c r="W15" s="31" t="e">
        <f t="shared" si="7"/>
        <v>#DIV/0!</v>
      </c>
      <c r="AA15" s="34"/>
      <c r="AE15" s="34"/>
      <c r="AI15" s="34"/>
    </row>
    <row r="16" spans="2:39" ht="20.100000000000001" customHeight="1">
      <c r="B16" s="679"/>
      <c r="C16" s="20" t="s">
        <v>99</v>
      </c>
      <c r="D16" s="23" t="str">
        <f>IF(ISERROR(J16/J10*100),"0.00",J16/J10*100)</f>
        <v>0.00</v>
      </c>
      <c r="E16" s="23" t="str">
        <f>IF(ISERROR(L16/L10*100),"0.00",L16/L10*100)</f>
        <v>0.00</v>
      </c>
      <c r="F16" s="23">
        <f>F13+F14+F15</f>
        <v>0</v>
      </c>
      <c r="G16" s="23" t="str">
        <f t="shared" si="4"/>
        <v>0.00</v>
      </c>
      <c r="H16" s="23"/>
      <c r="I16" s="27" t="str">
        <f t="shared" si="5"/>
        <v>0.00</v>
      </c>
      <c r="J16" s="28">
        <f>J13+J14+J15</f>
        <v>0</v>
      </c>
      <c r="K16" s="28"/>
      <c r="L16" s="32">
        <f>L13+L14+L15</f>
        <v>0</v>
      </c>
      <c r="N16" s="31" t="e">
        <f>#REF!/#REF!*100</f>
        <v>#REF!</v>
      </c>
      <c r="O16" s="31" t="e">
        <f t="shared" si="6"/>
        <v>#DIV/0!</v>
      </c>
      <c r="P16" s="31" t="e">
        <f t="shared" si="6"/>
        <v>#DIV/0!</v>
      </c>
      <c r="Q16" s="31" t="e">
        <f t="shared" si="6"/>
        <v>#DIV/0!</v>
      </c>
      <c r="S16" s="31" t="e">
        <f>P16</f>
        <v>#DIV/0!</v>
      </c>
      <c r="T16" s="31" t="e">
        <f>P20</f>
        <v>#DIV/0!</v>
      </c>
      <c r="U16" s="31" t="e">
        <f>#REF!</f>
        <v>#REF!</v>
      </c>
      <c r="V16" s="31" t="e">
        <f>P24</f>
        <v>#DIV/0!</v>
      </c>
      <c r="W16" s="31" t="e">
        <f t="shared" si="7"/>
        <v>#DIV/0!</v>
      </c>
      <c r="AA16" s="34"/>
      <c r="AE16" s="34"/>
      <c r="AI16" s="34"/>
    </row>
    <row r="17" spans="2:35" ht="20.100000000000001" customHeight="1">
      <c r="B17" s="679" t="s">
        <v>25</v>
      </c>
      <c r="C17" s="21" t="s">
        <v>114</v>
      </c>
      <c r="D17" s="23"/>
      <c r="E17" s="23"/>
      <c r="F17" s="23"/>
      <c r="G17" s="23"/>
      <c r="H17" s="23"/>
      <c r="I17" s="27"/>
      <c r="J17" s="28"/>
      <c r="K17" s="28"/>
      <c r="L17" s="32"/>
      <c r="N17" s="31" t="e">
        <f>#REF!/#REF!*100</f>
        <v>#REF!</v>
      </c>
      <c r="O17" s="31" t="e">
        <f t="shared" ref="O17:Q20" si="8">J17/J7*100</f>
        <v>#DIV/0!</v>
      </c>
      <c r="P17" s="31" t="e">
        <f t="shared" si="8"/>
        <v>#DIV/0!</v>
      </c>
      <c r="Q17" s="31" t="e">
        <f t="shared" si="8"/>
        <v>#DIV/0!</v>
      </c>
      <c r="S17" s="31" t="e">
        <f>N13</f>
        <v>#REF!</v>
      </c>
      <c r="T17" s="31" t="e">
        <f>N17</f>
        <v>#REF!</v>
      </c>
      <c r="U17" s="31" t="e">
        <f>#REF!</f>
        <v>#REF!</v>
      </c>
      <c r="V17" s="31" t="e">
        <f>N21</f>
        <v>#REF!</v>
      </c>
      <c r="W17" s="31" t="e">
        <f t="shared" si="7"/>
        <v>#REF!</v>
      </c>
      <c r="AA17" s="34"/>
      <c r="AE17" s="34"/>
      <c r="AI17" s="34"/>
    </row>
    <row r="18" spans="2:35" ht="20.100000000000001" customHeight="1">
      <c r="B18" s="679"/>
      <c r="C18" s="21" t="s">
        <v>115</v>
      </c>
      <c r="D18" s="23"/>
      <c r="E18" s="23"/>
      <c r="F18" s="23"/>
      <c r="G18" s="23"/>
      <c r="H18" s="23"/>
      <c r="I18" s="27"/>
      <c r="J18" s="28"/>
      <c r="K18" s="28"/>
      <c r="L18" s="32"/>
      <c r="N18" s="31" t="e">
        <f>#REF!/#REF!*100</f>
        <v>#REF!</v>
      </c>
      <c r="O18" s="31" t="e">
        <f t="shared" si="8"/>
        <v>#DIV/0!</v>
      </c>
      <c r="P18" s="31" t="e">
        <f t="shared" si="8"/>
        <v>#DIV/0!</v>
      </c>
      <c r="Q18" s="31" t="e">
        <f t="shared" si="8"/>
        <v>#DIV/0!</v>
      </c>
      <c r="S18" s="31" t="e">
        <f>N14</f>
        <v>#REF!</v>
      </c>
      <c r="T18" s="31" t="e">
        <f>N18</f>
        <v>#REF!</v>
      </c>
      <c r="U18" s="31" t="e">
        <f>#REF!</f>
        <v>#REF!</v>
      </c>
      <c r="V18" s="31" t="e">
        <f>N22</f>
        <v>#REF!</v>
      </c>
      <c r="W18" s="31" t="e">
        <f t="shared" si="7"/>
        <v>#REF!</v>
      </c>
      <c r="AA18" s="34"/>
      <c r="AE18" s="34"/>
      <c r="AI18" s="34"/>
    </row>
    <row r="19" spans="2:35" ht="20.100000000000001" customHeight="1">
      <c r="B19" s="679"/>
      <c r="C19" s="21" t="s">
        <v>116</v>
      </c>
      <c r="D19" s="23"/>
      <c r="E19" s="23"/>
      <c r="F19" s="23"/>
      <c r="G19" s="23"/>
      <c r="H19" s="23"/>
      <c r="I19" s="27"/>
      <c r="J19" s="28"/>
      <c r="K19" s="28"/>
      <c r="L19" s="32"/>
      <c r="N19" s="31" t="e">
        <f>#REF!/#REF!*100</f>
        <v>#REF!</v>
      </c>
      <c r="O19" s="31" t="e">
        <f t="shared" si="8"/>
        <v>#DIV/0!</v>
      </c>
      <c r="P19" s="31" t="e">
        <f t="shared" si="8"/>
        <v>#DIV/0!</v>
      </c>
      <c r="Q19" s="31" t="e">
        <f t="shared" si="8"/>
        <v>#DIV/0!</v>
      </c>
      <c r="S19" s="31" t="e">
        <f>N15</f>
        <v>#REF!</v>
      </c>
      <c r="T19" s="31" t="e">
        <f>N19</f>
        <v>#REF!</v>
      </c>
      <c r="U19" s="31" t="e">
        <f>#REF!</f>
        <v>#REF!</v>
      </c>
      <c r="V19" s="31" t="e">
        <f>N23</f>
        <v>#REF!</v>
      </c>
      <c r="W19" s="31" t="e">
        <f t="shared" si="7"/>
        <v>#REF!</v>
      </c>
      <c r="AA19" s="34"/>
      <c r="AE19" s="34"/>
      <c r="AI19" s="34"/>
    </row>
    <row r="20" spans="2:35" ht="20.100000000000001" customHeight="1">
      <c r="B20" s="679"/>
      <c r="C20" s="20" t="s">
        <v>99</v>
      </c>
      <c r="D20" s="23"/>
      <c r="E20" s="23"/>
      <c r="F20" s="23"/>
      <c r="G20" s="23"/>
      <c r="H20" s="23"/>
      <c r="I20" s="27"/>
      <c r="J20" s="28"/>
      <c r="K20" s="28"/>
      <c r="L20" s="32"/>
      <c r="N20" s="31" t="e">
        <f>#REF!/#REF!*100</f>
        <v>#REF!</v>
      </c>
      <c r="O20" s="31" t="e">
        <f t="shared" si="8"/>
        <v>#DIV/0!</v>
      </c>
      <c r="P20" s="31" t="e">
        <f t="shared" si="8"/>
        <v>#DIV/0!</v>
      </c>
      <c r="Q20" s="31" t="e">
        <f t="shared" si="8"/>
        <v>#DIV/0!</v>
      </c>
      <c r="S20" s="31" t="e">
        <f>N16</f>
        <v>#REF!</v>
      </c>
      <c r="T20" s="31" t="e">
        <f>N20</f>
        <v>#REF!</v>
      </c>
      <c r="U20" s="31" t="e">
        <f>#REF!</f>
        <v>#REF!</v>
      </c>
      <c r="V20" s="31" t="e">
        <f>N24</f>
        <v>#REF!</v>
      </c>
      <c r="W20" s="31" t="e">
        <f t="shared" si="7"/>
        <v>#REF!</v>
      </c>
      <c r="AA20" s="34"/>
      <c r="AE20" s="34"/>
      <c r="AI20" s="34"/>
    </row>
    <row r="21" spans="2:35" ht="20.100000000000001" customHeight="1">
      <c r="B21" s="679" t="s">
        <v>26</v>
      </c>
      <c r="C21" s="21" t="s">
        <v>114</v>
      </c>
      <c r="D21" s="23"/>
      <c r="E21" s="23"/>
      <c r="F21" s="23">
        <f>F41+'2车间表1'!D24</f>
        <v>0</v>
      </c>
      <c r="G21" s="23" t="str">
        <f t="shared" si="4"/>
        <v>0.00</v>
      </c>
      <c r="H21" s="23"/>
      <c r="I21" s="27" t="str">
        <f t="shared" si="5"/>
        <v>0.00</v>
      </c>
      <c r="J21" s="28">
        <f>J41+'2车间表1'!I24</f>
        <v>0</v>
      </c>
      <c r="K21" s="28"/>
      <c r="L21" s="32">
        <f>L41+'2车间表1'!K24</f>
        <v>0</v>
      </c>
      <c r="N21" s="31" t="e">
        <f>#REF!/#REF!*100</f>
        <v>#REF!</v>
      </c>
      <c r="O21" s="31" t="e">
        <f t="shared" ref="O21:Q24" si="9">J21/J7*100</f>
        <v>#DIV/0!</v>
      </c>
      <c r="P21" s="31" t="e">
        <f t="shared" si="9"/>
        <v>#DIV/0!</v>
      </c>
      <c r="Q21" s="31" t="e">
        <f t="shared" si="9"/>
        <v>#DIV/0!</v>
      </c>
      <c r="S21" s="31" t="e">
        <f>Q13</f>
        <v>#DIV/0!</v>
      </c>
      <c r="T21" s="31" t="e">
        <f>Q17</f>
        <v>#DIV/0!</v>
      </c>
      <c r="U21" s="31" t="e">
        <f>#REF!</f>
        <v>#REF!</v>
      </c>
      <c r="V21" s="31" t="e">
        <f>Q21</f>
        <v>#DIV/0!</v>
      </c>
      <c r="W21" s="31" t="e">
        <f t="shared" si="7"/>
        <v>#DIV/0!</v>
      </c>
      <c r="AA21" s="34"/>
      <c r="AE21" s="34"/>
      <c r="AI21" s="34"/>
    </row>
    <row r="22" spans="2:35" ht="20.100000000000001" customHeight="1">
      <c r="B22" s="679"/>
      <c r="C22" s="21" t="s">
        <v>115</v>
      </c>
      <c r="D22" s="23"/>
      <c r="E22" s="23"/>
      <c r="F22" s="23">
        <f>F42+'2车间表1'!D25</f>
        <v>0</v>
      </c>
      <c r="G22" s="23" t="str">
        <f t="shared" si="4"/>
        <v>0.00</v>
      </c>
      <c r="H22" s="23"/>
      <c r="I22" s="27" t="str">
        <f t="shared" si="5"/>
        <v>0.00</v>
      </c>
      <c r="J22" s="28">
        <f>J42+'2车间表1'!I25</f>
        <v>0</v>
      </c>
      <c r="K22" s="28"/>
      <c r="L22" s="32">
        <f>L42+'2车间表1'!K25</f>
        <v>0</v>
      </c>
      <c r="N22" s="31" t="e">
        <f>#REF!/#REF!*100</f>
        <v>#REF!</v>
      </c>
      <c r="O22" s="31" t="e">
        <f t="shared" si="9"/>
        <v>#DIV/0!</v>
      </c>
      <c r="P22" s="31" t="e">
        <f t="shared" si="9"/>
        <v>#DIV/0!</v>
      </c>
      <c r="Q22" s="31" t="e">
        <f t="shared" si="9"/>
        <v>#DIV/0!</v>
      </c>
      <c r="S22" s="31" t="e">
        <f>Q14</f>
        <v>#DIV/0!</v>
      </c>
      <c r="T22" s="31" t="e">
        <f>Q18</f>
        <v>#DIV/0!</v>
      </c>
      <c r="U22" s="31" t="e">
        <f>#REF!</f>
        <v>#REF!</v>
      </c>
      <c r="V22" s="31" t="e">
        <f>Q22</f>
        <v>#DIV/0!</v>
      </c>
      <c r="W22" s="31" t="e">
        <f t="shared" si="7"/>
        <v>#DIV/0!</v>
      </c>
      <c r="AA22" s="34"/>
      <c r="AE22" s="34"/>
      <c r="AI22" s="34"/>
    </row>
    <row r="23" spans="2:35" ht="20.100000000000001" customHeight="1">
      <c r="B23" s="679"/>
      <c r="C23" s="21" t="s">
        <v>116</v>
      </c>
      <c r="D23" s="23"/>
      <c r="E23" s="23"/>
      <c r="F23" s="23">
        <f>F43+'2车间表1'!D26</f>
        <v>0</v>
      </c>
      <c r="G23" s="23" t="str">
        <f t="shared" si="4"/>
        <v>0.00</v>
      </c>
      <c r="H23" s="23"/>
      <c r="I23" s="27" t="str">
        <f t="shared" si="5"/>
        <v>0.00</v>
      </c>
      <c r="J23" s="28">
        <f>J43+'2车间表1'!I26</f>
        <v>0</v>
      </c>
      <c r="K23" s="28"/>
      <c r="L23" s="32">
        <f>L43+'2车间表1'!K26</f>
        <v>0</v>
      </c>
      <c r="N23" s="31" t="e">
        <f>#REF!/#REF!*100</f>
        <v>#REF!</v>
      </c>
      <c r="O23" s="31" t="e">
        <f t="shared" si="9"/>
        <v>#DIV/0!</v>
      </c>
      <c r="P23" s="31" t="e">
        <f t="shared" si="9"/>
        <v>#DIV/0!</v>
      </c>
      <c r="Q23" s="31" t="e">
        <f t="shared" si="9"/>
        <v>#DIV/0!</v>
      </c>
      <c r="S23" s="31" t="e">
        <f>Q15</f>
        <v>#DIV/0!</v>
      </c>
      <c r="T23" s="31" t="e">
        <f>Q19</f>
        <v>#DIV/0!</v>
      </c>
      <c r="U23" s="31" t="e">
        <f>#REF!</f>
        <v>#REF!</v>
      </c>
      <c r="V23" s="31" t="e">
        <f>Q23</f>
        <v>#DIV/0!</v>
      </c>
      <c r="W23" s="31" t="e">
        <f t="shared" si="7"/>
        <v>#DIV/0!</v>
      </c>
      <c r="AA23" s="34"/>
      <c r="AE23" s="34"/>
      <c r="AI23" s="34"/>
    </row>
    <row r="24" spans="2:35" ht="20.100000000000001" customHeight="1">
      <c r="B24" s="679"/>
      <c r="C24" s="20" t="s">
        <v>99</v>
      </c>
      <c r="D24" s="23"/>
      <c r="E24" s="23"/>
      <c r="F24" s="23">
        <f>F21+F22+F23</f>
        <v>0</v>
      </c>
      <c r="G24" s="23" t="str">
        <f t="shared" si="4"/>
        <v>0.00</v>
      </c>
      <c r="H24" s="23"/>
      <c r="I24" s="27" t="str">
        <f t="shared" si="5"/>
        <v>0.00</v>
      </c>
      <c r="J24" s="28">
        <f>J21+J22+J23</f>
        <v>0</v>
      </c>
      <c r="K24" s="28"/>
      <c r="L24" s="32">
        <f>L21+L22+L23</f>
        <v>0</v>
      </c>
      <c r="N24" s="31" t="e">
        <f>#REF!/#REF!*100</f>
        <v>#REF!</v>
      </c>
      <c r="O24" s="31" t="e">
        <f t="shared" si="9"/>
        <v>#DIV/0!</v>
      </c>
      <c r="P24" s="31" t="e">
        <f t="shared" si="9"/>
        <v>#DIV/0!</v>
      </c>
      <c r="Q24" s="31" t="e">
        <f t="shared" si="9"/>
        <v>#DIV/0!</v>
      </c>
      <c r="S24" s="31" t="e">
        <f>Q16</f>
        <v>#DIV/0!</v>
      </c>
      <c r="T24" s="31" t="e">
        <f>Q20</f>
        <v>#DIV/0!</v>
      </c>
      <c r="U24" s="31" t="e">
        <f>#REF!</f>
        <v>#REF!</v>
      </c>
      <c r="V24" s="31" t="e">
        <f>Q24</f>
        <v>#DIV/0!</v>
      </c>
      <c r="W24" s="31" t="e">
        <f t="shared" si="7"/>
        <v>#DIV/0!</v>
      </c>
      <c r="AA24" s="34"/>
      <c r="AE24" s="34"/>
      <c r="AI24" s="34"/>
    </row>
    <row r="25" spans="2:35">
      <c r="B25" s="19"/>
      <c r="C25" s="694" t="s">
        <v>66</v>
      </c>
      <c r="D25" s="694"/>
      <c r="E25" s="694"/>
      <c r="F25" s="19"/>
      <c r="G25" s="19"/>
      <c r="H25" s="19"/>
      <c r="I25" s="19"/>
      <c r="J25" s="694"/>
      <c r="K25" s="694"/>
      <c r="L25" s="19"/>
    </row>
    <row r="26" spans="2:3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9" spans="2:35">
      <c r="D29" s="18" t="s">
        <v>100</v>
      </c>
    </row>
    <row r="30" spans="2:35">
      <c r="B30" s="679" t="s">
        <v>42</v>
      </c>
      <c r="C30" s="679" t="s">
        <v>43</v>
      </c>
      <c r="D30" s="679" t="s">
        <v>44</v>
      </c>
      <c r="E30" s="679" t="s">
        <v>45</v>
      </c>
      <c r="F30" s="680" t="s">
        <v>50</v>
      </c>
      <c r="G30" s="680" t="s">
        <v>85</v>
      </c>
      <c r="H30" s="680"/>
      <c r="I30" s="680"/>
      <c r="J30" s="680" t="s">
        <v>76</v>
      </c>
      <c r="K30" s="680"/>
      <c r="L30" s="680"/>
    </row>
    <row r="31" spans="2:35">
      <c r="B31" s="679"/>
      <c r="C31" s="679"/>
      <c r="D31" s="679"/>
      <c r="E31" s="679"/>
      <c r="F31" s="680"/>
      <c r="G31" s="20" t="s">
        <v>6</v>
      </c>
      <c r="H31" s="20" t="s">
        <v>7</v>
      </c>
      <c r="I31" s="20" t="s">
        <v>51</v>
      </c>
      <c r="J31" s="20" t="s">
        <v>53</v>
      </c>
      <c r="K31" s="20" t="s">
        <v>54</v>
      </c>
      <c r="L31" s="20" t="s">
        <v>55</v>
      </c>
    </row>
    <row r="32" spans="2:35">
      <c r="B32" s="679" t="s">
        <v>10</v>
      </c>
      <c r="C32" s="21" t="s">
        <v>91</v>
      </c>
      <c r="D32" s="573"/>
      <c r="E32" s="573"/>
      <c r="F32" s="573"/>
      <c r="G32" s="574"/>
      <c r="H32" s="574"/>
      <c r="I32" s="574"/>
      <c r="J32" s="576"/>
      <c r="K32" s="576"/>
      <c r="L32" s="577"/>
      <c r="O32" s="578"/>
      <c r="P32" s="578"/>
      <c r="Q32" s="578"/>
      <c r="R32" s="578"/>
      <c r="S32" s="579"/>
      <c r="T32" s="579"/>
      <c r="U32" s="579"/>
      <c r="V32" s="579"/>
    </row>
    <row r="33" spans="2:22">
      <c r="B33" s="679"/>
      <c r="C33" s="21" t="s">
        <v>92</v>
      </c>
      <c r="D33" s="573"/>
      <c r="E33" s="573"/>
      <c r="F33" s="573"/>
      <c r="G33" s="574"/>
      <c r="H33" s="574"/>
      <c r="I33" s="574"/>
      <c r="J33" s="576"/>
      <c r="K33" s="576"/>
      <c r="L33" s="577"/>
      <c r="O33" s="578"/>
      <c r="P33" s="578"/>
      <c r="Q33" s="578"/>
      <c r="R33" s="578"/>
      <c r="S33" s="579"/>
      <c r="T33" s="579"/>
      <c r="U33" s="579"/>
      <c r="V33" s="579"/>
    </row>
    <row r="34" spans="2:22">
      <c r="B34" s="679"/>
      <c r="C34" s="21" t="s">
        <v>93</v>
      </c>
      <c r="D34" s="573"/>
      <c r="E34" s="573"/>
      <c r="F34" s="573"/>
      <c r="G34" s="574"/>
      <c r="H34" s="574"/>
      <c r="I34" s="574"/>
      <c r="J34" s="576"/>
      <c r="K34" s="576"/>
      <c r="L34" s="577"/>
      <c r="O34" s="578"/>
      <c r="P34" s="578"/>
      <c r="Q34" s="578"/>
      <c r="R34" s="578"/>
      <c r="S34" s="579"/>
      <c r="T34" s="579"/>
      <c r="U34" s="579"/>
      <c r="V34" s="579"/>
    </row>
    <row r="35" spans="2:22">
      <c r="B35" s="679" t="s">
        <v>23</v>
      </c>
      <c r="C35" s="21" t="s">
        <v>91</v>
      </c>
      <c r="D35" s="574"/>
      <c r="E35" s="574"/>
      <c r="F35" s="573"/>
      <c r="G35" s="574"/>
      <c r="H35" s="574"/>
      <c r="I35" s="574"/>
      <c r="J35" s="576"/>
      <c r="K35" s="576"/>
      <c r="L35" s="577"/>
      <c r="O35" s="578"/>
      <c r="P35" s="578"/>
      <c r="Q35" s="578"/>
      <c r="R35" s="578"/>
      <c r="S35" s="579"/>
      <c r="T35" s="579"/>
      <c r="U35" s="579"/>
      <c r="V35" s="579"/>
    </row>
    <row r="36" spans="2:22">
      <c r="B36" s="679"/>
      <c r="C36" s="21" t="s">
        <v>92</v>
      </c>
      <c r="D36" s="574"/>
      <c r="E36" s="574"/>
      <c r="F36" s="573"/>
      <c r="G36" s="574"/>
      <c r="H36" s="574"/>
      <c r="I36" s="574"/>
      <c r="J36" s="576"/>
      <c r="K36" s="576"/>
      <c r="L36" s="577"/>
      <c r="O36" s="578"/>
      <c r="P36" s="578"/>
      <c r="Q36" s="578"/>
      <c r="R36" s="578"/>
      <c r="S36" s="579"/>
      <c r="T36" s="579"/>
      <c r="U36" s="579"/>
      <c r="V36" s="579"/>
    </row>
    <row r="37" spans="2:22">
      <c r="B37" s="679"/>
      <c r="C37" s="21" t="s">
        <v>93</v>
      </c>
      <c r="D37" s="574"/>
      <c r="E37" s="574"/>
      <c r="F37" s="573"/>
      <c r="G37" s="574"/>
      <c r="H37" s="574"/>
      <c r="I37" s="574"/>
      <c r="J37" s="576"/>
      <c r="K37" s="576"/>
      <c r="L37" s="577"/>
      <c r="O37" s="578"/>
      <c r="P37" s="578"/>
      <c r="Q37" s="578"/>
      <c r="R37" s="578"/>
      <c r="S37" s="579"/>
      <c r="T37" s="579"/>
      <c r="U37" s="579"/>
      <c r="V37" s="579"/>
    </row>
    <row r="38" spans="2:22">
      <c r="B38" s="679" t="s">
        <v>25</v>
      </c>
      <c r="C38" s="21" t="s">
        <v>91</v>
      </c>
      <c r="D38" s="574"/>
      <c r="E38" s="574"/>
      <c r="F38" s="573"/>
      <c r="G38" s="574"/>
      <c r="H38" s="574"/>
      <c r="I38" s="574"/>
      <c r="J38" s="576"/>
      <c r="K38" s="576"/>
      <c r="L38" s="577"/>
      <c r="O38" s="578"/>
      <c r="P38" s="578"/>
      <c r="Q38" s="578"/>
      <c r="R38" s="578"/>
      <c r="S38" s="579"/>
      <c r="T38" s="579"/>
      <c r="U38" s="579"/>
      <c r="V38" s="579"/>
    </row>
    <row r="39" spans="2:22">
      <c r="B39" s="679"/>
      <c r="C39" s="21" t="s">
        <v>92</v>
      </c>
      <c r="D39" s="574"/>
      <c r="E39" s="574"/>
      <c r="F39" s="573"/>
      <c r="G39" s="574"/>
      <c r="H39" s="574"/>
      <c r="I39" s="574"/>
      <c r="J39" s="576"/>
      <c r="K39" s="576"/>
      <c r="L39" s="577"/>
      <c r="O39" s="578"/>
      <c r="P39" s="578"/>
      <c r="Q39" s="578"/>
      <c r="R39" s="578"/>
      <c r="S39" s="579"/>
      <c r="T39" s="579"/>
      <c r="U39" s="579"/>
      <c r="V39" s="579"/>
    </row>
    <row r="40" spans="2:22">
      <c r="B40" s="679"/>
      <c r="C40" s="21" t="s">
        <v>93</v>
      </c>
      <c r="D40" s="574"/>
      <c r="E40" s="574"/>
      <c r="F40" s="573"/>
      <c r="G40" s="574"/>
      <c r="H40" s="574"/>
      <c r="I40" s="574"/>
      <c r="J40" s="576"/>
      <c r="K40" s="576"/>
      <c r="L40" s="577"/>
      <c r="O40" s="578"/>
      <c r="P40" s="578"/>
      <c r="Q40" s="578"/>
      <c r="R40" s="578"/>
      <c r="S40" s="579"/>
      <c r="T40" s="579"/>
      <c r="U40" s="579"/>
      <c r="V40" s="579"/>
    </row>
    <row r="41" spans="2:22">
      <c r="B41" s="679" t="s">
        <v>26</v>
      </c>
      <c r="C41" s="21" t="s">
        <v>91</v>
      </c>
      <c r="D41" s="574"/>
      <c r="E41" s="574"/>
      <c r="F41" s="573"/>
      <c r="G41" s="574"/>
      <c r="H41" s="574"/>
      <c r="I41" s="574"/>
      <c r="J41" s="576"/>
      <c r="K41" s="576"/>
      <c r="L41" s="577"/>
      <c r="O41" s="578"/>
      <c r="P41" s="578"/>
      <c r="Q41" s="578"/>
      <c r="R41" s="578"/>
      <c r="S41" s="579"/>
      <c r="T41" s="579"/>
      <c r="U41" s="579"/>
      <c r="V41" s="579"/>
    </row>
    <row r="42" spans="2:22">
      <c r="B42" s="679"/>
      <c r="C42" s="21" t="s">
        <v>92</v>
      </c>
      <c r="D42" s="574"/>
      <c r="E42" s="574"/>
      <c r="F42" s="573"/>
      <c r="G42" s="574"/>
      <c r="H42" s="574"/>
      <c r="I42" s="574"/>
      <c r="J42" s="576"/>
      <c r="K42" s="576"/>
      <c r="L42" s="577"/>
      <c r="O42" s="578"/>
      <c r="P42" s="578"/>
      <c r="Q42" s="578"/>
      <c r="R42" s="578"/>
      <c r="S42" s="579"/>
      <c r="T42" s="579"/>
      <c r="U42" s="579"/>
      <c r="V42" s="579"/>
    </row>
    <row r="43" spans="2:22">
      <c r="B43" s="679"/>
      <c r="C43" s="21" t="s">
        <v>93</v>
      </c>
      <c r="D43" s="574"/>
      <c r="E43" s="574"/>
      <c r="F43" s="573"/>
      <c r="G43" s="574"/>
      <c r="H43" s="574"/>
      <c r="I43" s="574"/>
      <c r="J43" s="576"/>
      <c r="K43" s="576"/>
      <c r="L43" s="577"/>
    </row>
    <row r="46" spans="2:22">
      <c r="D46" s="18" t="s">
        <v>102</v>
      </c>
    </row>
    <row r="47" spans="2:22">
      <c r="B47" s="679" t="s">
        <v>42</v>
      </c>
      <c r="C47" s="679" t="s">
        <v>43</v>
      </c>
      <c r="D47" s="679" t="s">
        <v>44</v>
      </c>
      <c r="E47" s="679" t="s">
        <v>45</v>
      </c>
      <c r="F47" s="680" t="s">
        <v>50</v>
      </c>
      <c r="G47" s="680" t="s">
        <v>85</v>
      </c>
      <c r="H47" s="680"/>
      <c r="I47" s="680"/>
      <c r="J47" s="680" t="s">
        <v>76</v>
      </c>
      <c r="K47" s="680"/>
      <c r="L47" s="680"/>
    </row>
    <row r="48" spans="2:22">
      <c r="B48" s="679"/>
      <c r="C48" s="679"/>
      <c r="D48" s="679"/>
      <c r="E48" s="679"/>
      <c r="F48" s="680"/>
      <c r="G48" s="20" t="s">
        <v>6</v>
      </c>
      <c r="H48" s="20" t="s">
        <v>7</v>
      </c>
      <c r="I48" s="20" t="s">
        <v>51</v>
      </c>
      <c r="J48" s="20" t="s">
        <v>53</v>
      </c>
      <c r="K48" s="20" t="s">
        <v>54</v>
      </c>
      <c r="L48" s="20" t="s">
        <v>55</v>
      </c>
    </row>
    <row r="49" spans="2:12">
      <c r="B49" s="679" t="s">
        <v>10</v>
      </c>
      <c r="C49" s="21" t="s">
        <v>91</v>
      </c>
      <c r="D49" s="23" t="str">
        <f t="shared" ref="D49:F51" si="10">D7</f>
        <v>0.00</v>
      </c>
      <c r="E49" s="23">
        <f t="shared" si="10"/>
        <v>0</v>
      </c>
      <c r="F49" s="23">
        <f t="shared" si="10"/>
        <v>0</v>
      </c>
      <c r="G49" s="575"/>
      <c r="H49" s="575"/>
      <c r="I49" s="575"/>
      <c r="J49" s="28">
        <f t="shared" ref="J49:L51" si="11">J7</f>
        <v>0</v>
      </c>
      <c r="K49" s="28">
        <f t="shared" si="11"/>
        <v>0</v>
      </c>
      <c r="L49" s="32">
        <f t="shared" si="11"/>
        <v>0</v>
      </c>
    </row>
    <row r="50" spans="2:12">
      <c r="B50" s="679"/>
      <c r="C50" s="21" t="s">
        <v>92</v>
      </c>
      <c r="D50" s="23" t="str">
        <f t="shared" si="10"/>
        <v>0.00</v>
      </c>
      <c r="E50" s="23">
        <f t="shared" si="10"/>
        <v>0</v>
      </c>
      <c r="F50" s="23">
        <f t="shared" si="10"/>
        <v>0</v>
      </c>
      <c r="G50" s="575"/>
      <c r="H50" s="575"/>
      <c r="I50" s="575"/>
      <c r="J50" s="28">
        <f t="shared" si="11"/>
        <v>0</v>
      </c>
      <c r="K50" s="28">
        <f t="shared" si="11"/>
        <v>0</v>
      </c>
      <c r="L50" s="32">
        <f t="shared" si="11"/>
        <v>0</v>
      </c>
    </row>
    <row r="51" spans="2:12">
      <c r="B51" s="679"/>
      <c r="C51" s="21" t="s">
        <v>93</v>
      </c>
      <c r="D51" s="23" t="str">
        <f t="shared" si="10"/>
        <v>0.00</v>
      </c>
      <c r="E51" s="23">
        <f t="shared" si="10"/>
        <v>0</v>
      </c>
      <c r="F51" s="23">
        <f t="shared" si="10"/>
        <v>0</v>
      </c>
      <c r="G51" s="575"/>
      <c r="H51" s="575"/>
      <c r="I51" s="575"/>
      <c r="J51" s="28">
        <f t="shared" si="11"/>
        <v>0</v>
      </c>
      <c r="K51" s="28">
        <f t="shared" si="11"/>
        <v>0</v>
      </c>
      <c r="L51" s="32">
        <f t="shared" si="11"/>
        <v>0</v>
      </c>
    </row>
    <row r="52" spans="2:12">
      <c r="B52" s="679" t="s">
        <v>23</v>
      </c>
      <c r="C52" s="21" t="s">
        <v>91</v>
      </c>
      <c r="D52" s="575"/>
      <c r="E52" s="575"/>
      <c r="F52" s="23">
        <f>F13</f>
        <v>0</v>
      </c>
      <c r="G52" s="575"/>
      <c r="H52" s="575"/>
      <c r="I52" s="575"/>
      <c r="J52" s="28">
        <f t="shared" ref="J52:L54" si="12">J13</f>
        <v>0</v>
      </c>
      <c r="K52" s="28">
        <f t="shared" si="12"/>
        <v>0</v>
      </c>
      <c r="L52" s="32">
        <f t="shared" si="12"/>
        <v>0</v>
      </c>
    </row>
    <row r="53" spans="2:12">
      <c r="B53" s="679"/>
      <c r="C53" s="21" t="s">
        <v>92</v>
      </c>
      <c r="D53" s="575"/>
      <c r="E53" s="575"/>
      <c r="F53" s="23">
        <f>F14</f>
        <v>0</v>
      </c>
      <c r="G53" s="575"/>
      <c r="H53" s="575"/>
      <c r="I53" s="575"/>
      <c r="J53" s="28">
        <f t="shared" si="12"/>
        <v>0</v>
      </c>
      <c r="K53" s="28">
        <f t="shared" si="12"/>
        <v>0</v>
      </c>
      <c r="L53" s="32">
        <f t="shared" si="12"/>
        <v>0</v>
      </c>
    </row>
    <row r="54" spans="2:12">
      <c r="B54" s="679"/>
      <c r="C54" s="21" t="s">
        <v>93</v>
      </c>
      <c r="D54" s="575"/>
      <c r="E54" s="575"/>
      <c r="F54" s="23">
        <f>F15</f>
        <v>0</v>
      </c>
      <c r="G54" s="575"/>
      <c r="H54" s="575"/>
      <c r="I54" s="575"/>
      <c r="J54" s="28">
        <f t="shared" si="12"/>
        <v>0</v>
      </c>
      <c r="K54" s="28">
        <f t="shared" si="12"/>
        <v>0</v>
      </c>
      <c r="L54" s="32">
        <f t="shared" si="12"/>
        <v>0</v>
      </c>
    </row>
    <row r="55" spans="2:12">
      <c r="B55" s="679" t="s">
        <v>25</v>
      </c>
      <c r="C55" s="21" t="s">
        <v>91</v>
      </c>
      <c r="D55" s="575"/>
      <c r="E55" s="575"/>
      <c r="F55" s="23">
        <f>F17</f>
        <v>0</v>
      </c>
      <c r="G55" s="575"/>
      <c r="H55" s="575"/>
      <c r="I55" s="575"/>
      <c r="J55" s="28">
        <f t="shared" ref="J55:L57" si="13">J17</f>
        <v>0</v>
      </c>
      <c r="K55" s="28">
        <f t="shared" si="13"/>
        <v>0</v>
      </c>
      <c r="L55" s="32">
        <f t="shared" si="13"/>
        <v>0</v>
      </c>
    </row>
    <row r="56" spans="2:12">
      <c r="B56" s="679"/>
      <c r="C56" s="21" t="s">
        <v>92</v>
      </c>
      <c r="D56" s="575"/>
      <c r="E56" s="575"/>
      <c r="F56" s="23">
        <f>F18</f>
        <v>0</v>
      </c>
      <c r="G56" s="575"/>
      <c r="H56" s="575"/>
      <c r="I56" s="575"/>
      <c r="J56" s="28">
        <f t="shared" si="13"/>
        <v>0</v>
      </c>
      <c r="K56" s="28">
        <f t="shared" si="13"/>
        <v>0</v>
      </c>
      <c r="L56" s="32">
        <f t="shared" si="13"/>
        <v>0</v>
      </c>
    </row>
    <row r="57" spans="2:12">
      <c r="B57" s="679"/>
      <c r="C57" s="21" t="s">
        <v>93</v>
      </c>
      <c r="D57" s="575"/>
      <c r="E57" s="575"/>
      <c r="F57" s="23">
        <f>F19</f>
        <v>0</v>
      </c>
      <c r="G57" s="575"/>
      <c r="H57" s="575"/>
      <c r="I57" s="575"/>
      <c r="J57" s="28">
        <f t="shared" si="13"/>
        <v>0</v>
      </c>
      <c r="K57" s="28">
        <f t="shared" si="13"/>
        <v>0</v>
      </c>
      <c r="L57" s="32">
        <f t="shared" si="13"/>
        <v>0</v>
      </c>
    </row>
    <row r="58" spans="2:12">
      <c r="B58" s="679" t="s">
        <v>26</v>
      </c>
      <c r="C58" s="21" t="s">
        <v>91</v>
      </c>
      <c r="D58" s="575"/>
      <c r="E58" s="575"/>
      <c r="F58" s="23">
        <f>F21</f>
        <v>0</v>
      </c>
      <c r="G58" s="575"/>
      <c r="H58" s="575"/>
      <c r="I58" s="575"/>
      <c r="J58" s="28">
        <f t="shared" ref="J58:L60" si="14">J21</f>
        <v>0</v>
      </c>
      <c r="K58" s="28">
        <f t="shared" si="14"/>
        <v>0</v>
      </c>
      <c r="L58" s="32">
        <f t="shared" si="14"/>
        <v>0</v>
      </c>
    </row>
    <row r="59" spans="2:12">
      <c r="B59" s="679"/>
      <c r="C59" s="21" t="s">
        <v>92</v>
      </c>
      <c r="D59" s="575"/>
      <c r="E59" s="575"/>
      <c r="F59" s="23">
        <f>F22</f>
        <v>0</v>
      </c>
      <c r="G59" s="575"/>
      <c r="H59" s="575"/>
      <c r="I59" s="575"/>
      <c r="J59" s="28">
        <f t="shared" si="14"/>
        <v>0</v>
      </c>
      <c r="K59" s="28">
        <f t="shared" si="14"/>
        <v>0</v>
      </c>
      <c r="L59" s="32">
        <f t="shared" si="14"/>
        <v>0</v>
      </c>
    </row>
    <row r="60" spans="2:12">
      <c r="B60" s="679"/>
      <c r="C60" s="21" t="s">
        <v>93</v>
      </c>
      <c r="D60" s="575"/>
      <c r="E60" s="575"/>
      <c r="F60" s="23">
        <f>F23</f>
        <v>0</v>
      </c>
      <c r="G60" s="575"/>
      <c r="H60" s="575"/>
      <c r="I60" s="575"/>
      <c r="J60" s="28">
        <f t="shared" si="14"/>
        <v>0</v>
      </c>
      <c r="K60" s="28">
        <f t="shared" si="14"/>
        <v>0</v>
      </c>
      <c r="L60" s="32">
        <f t="shared" si="14"/>
        <v>0</v>
      </c>
    </row>
  </sheetData>
  <sheetProtection sheet="1" objects="1"/>
  <mergeCells count="48">
    <mergeCell ref="M5:M6"/>
    <mergeCell ref="N5:N6"/>
    <mergeCell ref="B2:L3"/>
    <mergeCell ref="D30:D31"/>
    <mergeCell ref="D47:D48"/>
    <mergeCell ref="E5:E6"/>
    <mergeCell ref="E30:E31"/>
    <mergeCell ref="E47:E48"/>
    <mergeCell ref="G30:I30"/>
    <mergeCell ref="J30:L30"/>
    <mergeCell ref="G47:I47"/>
    <mergeCell ref="J47:L47"/>
    <mergeCell ref="B35:B37"/>
    <mergeCell ref="B38:B40"/>
    <mergeCell ref="B41:B43"/>
    <mergeCell ref="B47:B48"/>
    <mergeCell ref="B52:B54"/>
    <mergeCell ref="B55:B57"/>
    <mergeCell ref="B58:B60"/>
    <mergeCell ref="C5:C6"/>
    <mergeCell ref="C11:C12"/>
    <mergeCell ref="C30:C31"/>
    <mergeCell ref="C47:C48"/>
    <mergeCell ref="B5:B6"/>
    <mergeCell ref="B7:B10"/>
    <mergeCell ref="B11:B12"/>
    <mergeCell ref="B13:B16"/>
    <mergeCell ref="B17:B20"/>
    <mergeCell ref="B21:B24"/>
    <mergeCell ref="B30:B31"/>
    <mergeCell ref="B32:B34"/>
    <mergeCell ref="J11:L11"/>
    <mergeCell ref="C25:E25"/>
    <mergeCell ref="J25:K25"/>
    <mergeCell ref="F11:F12"/>
    <mergeCell ref="B49:B51"/>
    <mergeCell ref="F30:F31"/>
    <mergeCell ref="F47:F48"/>
    <mergeCell ref="C4:D4"/>
    <mergeCell ref="E4:F4"/>
    <mergeCell ref="G4:I4"/>
    <mergeCell ref="D11:E11"/>
    <mergeCell ref="G11:I11"/>
    <mergeCell ref="J4:K4"/>
    <mergeCell ref="G5:I5"/>
    <mergeCell ref="J5:L5"/>
    <mergeCell ref="D5:D6"/>
    <mergeCell ref="F5:F6"/>
  </mergeCells>
  <phoneticPr fontId="54" type="noConversion"/>
  <printOptions horizontalCentered="1" verticalCentered="1"/>
  <pageMargins left="0" right="0" top="0" bottom="0" header="0" footer="0"/>
  <pageSetup paperSize="9" orientation="landscape" horizontalDpi="180" verticalDpi="18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tabColor rgb="FF00B050"/>
  </sheetPr>
  <dimension ref="A1:I37"/>
  <sheetViews>
    <sheetView workbookViewId="0">
      <selection activeCell="N24" sqref="N24"/>
    </sheetView>
  </sheetViews>
  <sheetFormatPr defaultColWidth="9" defaultRowHeight="14.4"/>
  <cols>
    <col min="1" max="8" width="9.6640625" customWidth="1"/>
  </cols>
  <sheetData>
    <row r="1" spans="1:8" ht="30.75" customHeight="1">
      <c r="A1" s="699" t="s">
        <v>117</v>
      </c>
      <c r="B1" s="699"/>
      <c r="C1" s="699"/>
      <c r="D1" s="699"/>
      <c r="E1" s="699"/>
      <c r="F1" s="699"/>
      <c r="G1" s="699"/>
      <c r="H1" s="699"/>
    </row>
    <row r="2" spans="1:8" ht="16.5" customHeight="1">
      <c r="A2" s="7"/>
      <c r="B2" s="7"/>
      <c r="C2" s="7"/>
      <c r="D2" s="700">
        <f>G2-6</f>
        <v>45830</v>
      </c>
      <c r="E2" s="700"/>
      <c r="F2" s="16" t="s">
        <v>118</v>
      </c>
      <c r="G2" s="701">
        <f>基础数据!A2</f>
        <v>45836</v>
      </c>
      <c r="H2" s="701"/>
    </row>
    <row r="3" spans="1:8">
      <c r="A3" s="698" t="s">
        <v>23</v>
      </c>
      <c r="B3" s="12" t="s">
        <v>119</v>
      </c>
      <c r="C3" s="12" t="s">
        <v>27</v>
      </c>
      <c r="D3" s="12" t="s">
        <v>120</v>
      </c>
      <c r="E3" s="12" t="s">
        <v>121</v>
      </c>
      <c r="F3" s="12" t="s">
        <v>120</v>
      </c>
      <c r="G3" s="12" t="s">
        <v>122</v>
      </c>
      <c r="H3" s="12" t="s">
        <v>120</v>
      </c>
    </row>
    <row r="4" spans="1:8">
      <c r="A4" s="698"/>
      <c r="B4" s="12" t="s">
        <v>32</v>
      </c>
      <c r="C4" s="569">
        <f>'1系统周表'!D13</f>
        <v>97.308219069760071</v>
      </c>
      <c r="D4" s="570">
        <f>RANK(C4,C$4:C$9)</f>
        <v>2</v>
      </c>
      <c r="E4" s="569">
        <f>'1系统周表'!G13</f>
        <v>60.559999999999988</v>
      </c>
      <c r="F4" s="57">
        <f t="shared" ref="F4:F9" si="0">RANK(E4,E$4:E$9)</f>
        <v>3</v>
      </c>
      <c r="G4" s="569">
        <f>'1系统周表'!H13</f>
        <v>0</v>
      </c>
      <c r="H4" s="57">
        <f t="shared" ref="H4:H9" si="1">RANK(G4,G$4:G$9,1)</f>
        <v>1</v>
      </c>
    </row>
    <row r="5" spans="1:8">
      <c r="A5" s="698"/>
      <c r="B5" s="12" t="s">
        <v>33</v>
      </c>
      <c r="C5" s="569">
        <f>'1系统周表'!D14</f>
        <v>96.725985057824175</v>
      </c>
      <c r="D5" s="570">
        <f t="shared" ref="D5:D9" si="2">RANK(C5,C$4:C$9)</f>
        <v>3</v>
      </c>
      <c r="E5" s="569">
        <f>'1系统周表'!G14</f>
        <v>65.27</v>
      </c>
      <c r="F5" s="57">
        <f t="shared" si="0"/>
        <v>2</v>
      </c>
      <c r="G5" s="569">
        <f>'1系统周表'!H14</f>
        <v>0</v>
      </c>
      <c r="H5" s="57">
        <f t="shared" si="1"/>
        <v>1</v>
      </c>
    </row>
    <row r="6" spans="1:8">
      <c r="A6" s="698"/>
      <c r="B6" s="12" t="s">
        <v>34</v>
      </c>
      <c r="C6" s="569">
        <f>'1系统周表'!D15</f>
        <v>97.922147110926488</v>
      </c>
      <c r="D6" s="570">
        <f t="shared" si="2"/>
        <v>1</v>
      </c>
      <c r="E6" s="569">
        <f>'1系统周表'!G15</f>
        <v>66.039999999999992</v>
      </c>
      <c r="F6" s="57">
        <f t="shared" si="0"/>
        <v>1</v>
      </c>
      <c r="G6" s="569">
        <f>'1系统周表'!H15</f>
        <v>0</v>
      </c>
      <c r="H6" s="57">
        <f t="shared" si="1"/>
        <v>1</v>
      </c>
    </row>
    <row r="7" spans="1:8">
      <c r="A7" s="698"/>
      <c r="B7" s="12" t="s">
        <v>35</v>
      </c>
      <c r="C7" s="569" t="str">
        <f>'2系统周表'!D13</f>
        <v>0.00</v>
      </c>
      <c r="D7" s="570" t="e">
        <f t="shared" si="2"/>
        <v>#N/A</v>
      </c>
      <c r="E7" s="569" t="str">
        <f>'2系统周表'!G13</f>
        <v>0.00</v>
      </c>
      <c r="F7" s="57" t="e">
        <f t="shared" si="0"/>
        <v>#N/A</v>
      </c>
      <c r="G7" s="569">
        <f>'2系统周表'!H13</f>
        <v>0</v>
      </c>
      <c r="H7" s="57">
        <f t="shared" si="1"/>
        <v>1</v>
      </c>
    </row>
    <row r="8" spans="1:8">
      <c r="A8" s="698"/>
      <c r="B8" s="12" t="s">
        <v>36</v>
      </c>
      <c r="C8" s="569" t="str">
        <f>'2系统周表'!D14</f>
        <v>0.00</v>
      </c>
      <c r="D8" s="570" t="e">
        <f t="shared" si="2"/>
        <v>#N/A</v>
      </c>
      <c r="E8" s="569" t="str">
        <f>'2系统周表'!G14</f>
        <v>0.00</v>
      </c>
      <c r="F8" s="57" t="e">
        <f t="shared" si="0"/>
        <v>#N/A</v>
      </c>
      <c r="G8" s="569">
        <f>'2系统周表'!H14</f>
        <v>0</v>
      </c>
      <c r="H8" s="57">
        <f t="shared" si="1"/>
        <v>1</v>
      </c>
    </row>
    <row r="9" spans="1:8">
      <c r="A9" s="698"/>
      <c r="B9" s="12" t="s">
        <v>37</v>
      </c>
      <c r="C9" s="569" t="str">
        <f>'2系统周表'!D15</f>
        <v>0.00</v>
      </c>
      <c r="D9" s="570" t="e">
        <f t="shared" si="2"/>
        <v>#N/A</v>
      </c>
      <c r="E9" s="569" t="str">
        <f>'2系统周表'!G15</f>
        <v>0.00</v>
      </c>
      <c r="F9" s="57" t="e">
        <f t="shared" si="0"/>
        <v>#N/A</v>
      </c>
      <c r="G9" s="569">
        <f>'2系统周表'!H15</f>
        <v>0</v>
      </c>
      <c r="H9" s="57">
        <f t="shared" si="1"/>
        <v>1</v>
      </c>
    </row>
    <row r="10" spans="1:8">
      <c r="A10" s="698" t="s">
        <v>25</v>
      </c>
      <c r="B10" s="12" t="s">
        <v>119</v>
      </c>
      <c r="C10" s="12" t="s">
        <v>27</v>
      </c>
      <c r="D10" s="570" t="s">
        <v>120</v>
      </c>
      <c r="E10" s="12" t="s">
        <v>121</v>
      </c>
      <c r="F10" s="57" t="s">
        <v>120</v>
      </c>
      <c r="G10" s="12" t="s">
        <v>122</v>
      </c>
      <c r="H10" s="57" t="s">
        <v>120</v>
      </c>
    </row>
    <row r="11" spans="1:8">
      <c r="A11" s="698"/>
      <c r="B11" s="12" t="s">
        <v>32</v>
      </c>
      <c r="C11" s="569">
        <f>'1系统周表'!D17</f>
        <v>0</v>
      </c>
      <c r="D11" s="570">
        <f>RANK(C11,C$11:C$16)</f>
        <v>1</v>
      </c>
      <c r="E11" s="569">
        <f>'1系统周表'!G17</f>
        <v>0</v>
      </c>
      <c r="F11" s="57">
        <f t="shared" ref="F11:F16" si="3">RANK(E11,E$11:E$16,1)</f>
        <v>1</v>
      </c>
      <c r="G11" s="569">
        <f>'1系统周表'!H17</f>
        <v>0</v>
      </c>
      <c r="H11" s="57">
        <f t="shared" ref="H11:H16" si="4">RANK(G11,G$11:G$16)</f>
        <v>1</v>
      </c>
    </row>
    <row r="12" spans="1:8">
      <c r="A12" s="698"/>
      <c r="B12" s="12" t="s">
        <v>33</v>
      </c>
      <c r="C12" s="569">
        <f>'1系统周表'!D18</f>
        <v>0</v>
      </c>
      <c r="D12" s="570">
        <f t="shared" ref="D12:D16" si="5">RANK(C12,C$11:C$16)</f>
        <v>1</v>
      </c>
      <c r="E12" s="569">
        <f>'1系统周表'!G18</f>
        <v>0</v>
      </c>
      <c r="F12" s="57">
        <f t="shared" si="3"/>
        <v>1</v>
      </c>
      <c r="G12" s="569">
        <f>'1系统周表'!H18</f>
        <v>0</v>
      </c>
      <c r="H12" s="57">
        <f t="shared" si="4"/>
        <v>1</v>
      </c>
    </row>
    <row r="13" spans="1:8">
      <c r="A13" s="698"/>
      <c r="B13" s="12" t="s">
        <v>34</v>
      </c>
      <c r="C13" s="569">
        <f>'1系统周表'!D19</f>
        <v>0</v>
      </c>
      <c r="D13" s="570">
        <f t="shared" si="5"/>
        <v>1</v>
      </c>
      <c r="E13" s="569">
        <f>'1系统周表'!G19</f>
        <v>0</v>
      </c>
      <c r="F13" s="57">
        <f t="shared" si="3"/>
        <v>1</v>
      </c>
      <c r="G13" s="569">
        <f>'1系统周表'!H19</f>
        <v>0</v>
      </c>
      <c r="H13" s="57">
        <f t="shared" si="4"/>
        <v>1</v>
      </c>
    </row>
    <row r="14" spans="1:8">
      <c r="A14" s="698"/>
      <c r="B14" s="12" t="s">
        <v>35</v>
      </c>
      <c r="C14" s="569">
        <f>'2系统周表'!D17</f>
        <v>0</v>
      </c>
      <c r="D14" s="570">
        <f t="shared" si="5"/>
        <v>1</v>
      </c>
      <c r="E14" s="569">
        <f>'2系统周表'!G17</f>
        <v>0</v>
      </c>
      <c r="F14" s="57">
        <f t="shared" si="3"/>
        <v>1</v>
      </c>
      <c r="G14" s="569">
        <f>'2系统周表'!H17</f>
        <v>0</v>
      </c>
      <c r="H14" s="57">
        <f t="shared" si="4"/>
        <v>1</v>
      </c>
    </row>
    <row r="15" spans="1:8">
      <c r="A15" s="698"/>
      <c r="B15" s="12" t="s">
        <v>36</v>
      </c>
      <c r="C15" s="569">
        <f>'2系统周表'!D18</f>
        <v>0</v>
      </c>
      <c r="D15" s="570">
        <f t="shared" si="5"/>
        <v>1</v>
      </c>
      <c r="E15" s="569">
        <f>'2系统周表'!G18</f>
        <v>0</v>
      </c>
      <c r="F15" s="57">
        <f t="shared" si="3"/>
        <v>1</v>
      </c>
      <c r="G15" s="569">
        <f>'2系统周表'!H18</f>
        <v>0</v>
      </c>
      <c r="H15" s="57">
        <f t="shared" si="4"/>
        <v>1</v>
      </c>
    </row>
    <row r="16" spans="1:8">
      <c r="A16" s="698"/>
      <c r="B16" s="12" t="s">
        <v>37</v>
      </c>
      <c r="C16" s="569">
        <f>'2系统周表'!D19</f>
        <v>0</v>
      </c>
      <c r="D16" s="570">
        <f t="shared" si="5"/>
        <v>1</v>
      </c>
      <c r="E16" s="569">
        <f>'2系统周表'!G19</f>
        <v>0</v>
      </c>
      <c r="F16" s="57">
        <f t="shared" si="3"/>
        <v>1</v>
      </c>
      <c r="G16" s="569">
        <f>'2系统周表'!H19</f>
        <v>0</v>
      </c>
      <c r="H16" s="57">
        <f t="shared" si="4"/>
        <v>1</v>
      </c>
    </row>
    <row r="17" spans="1:9">
      <c r="A17" s="698" t="s">
        <v>10</v>
      </c>
      <c r="B17" s="12" t="s">
        <v>119</v>
      </c>
      <c r="C17" s="12" t="s">
        <v>121</v>
      </c>
      <c r="D17" s="12" t="s">
        <v>120</v>
      </c>
      <c r="E17" s="12" t="s">
        <v>122</v>
      </c>
      <c r="F17" s="57" t="s">
        <v>120</v>
      </c>
      <c r="G17" s="12" t="s">
        <v>123</v>
      </c>
      <c r="H17" s="57" t="s">
        <v>120</v>
      </c>
    </row>
    <row r="18" spans="1:9">
      <c r="A18" s="698"/>
      <c r="B18" s="12" t="s">
        <v>32</v>
      </c>
      <c r="C18" s="569">
        <f>'1系统周表'!G7</f>
        <v>10.500000000000002</v>
      </c>
      <c r="D18" s="570">
        <f t="shared" ref="D18:D23" si="6">RANK(C18,C$18:C$23,1)</f>
        <v>3</v>
      </c>
      <c r="E18" s="569">
        <f>'1系统周表'!H7</f>
        <v>0</v>
      </c>
      <c r="F18" s="57">
        <f t="shared" ref="F18:F23" si="7">RANK(E18,E$18:E$23,1)</f>
        <v>1</v>
      </c>
      <c r="G18" s="569">
        <f>'1系统周表'!I7</f>
        <v>570</v>
      </c>
      <c r="H18" s="57">
        <f t="shared" ref="H18:H23" si="8">RANK(G18,G$18:G$23,1)</f>
        <v>3</v>
      </c>
    </row>
    <row r="19" spans="1:9">
      <c r="A19" s="698"/>
      <c r="B19" s="12" t="s">
        <v>33</v>
      </c>
      <c r="C19" s="569">
        <f>'1系统周表'!G8</f>
        <v>3.75</v>
      </c>
      <c r="D19" s="570">
        <f t="shared" si="6"/>
        <v>1</v>
      </c>
      <c r="E19" s="569">
        <f>'1系统周表'!H8</f>
        <v>0</v>
      </c>
      <c r="F19" s="57">
        <f t="shared" si="7"/>
        <v>1</v>
      </c>
      <c r="G19" s="569">
        <f>'1系统周表'!I8</f>
        <v>160.99999999999997</v>
      </c>
      <c r="H19" s="57">
        <f t="shared" si="8"/>
        <v>1</v>
      </c>
    </row>
    <row r="20" spans="1:9">
      <c r="A20" s="698"/>
      <c r="B20" s="12" t="s">
        <v>34</v>
      </c>
      <c r="C20" s="569">
        <f>'1系统周表'!G9</f>
        <v>4.07</v>
      </c>
      <c r="D20" s="570">
        <f t="shared" si="6"/>
        <v>2</v>
      </c>
      <c r="E20" s="569">
        <f>'1系统周表'!H9</f>
        <v>0</v>
      </c>
      <c r="F20" s="57">
        <f t="shared" si="7"/>
        <v>1</v>
      </c>
      <c r="G20" s="569">
        <f>'1系统周表'!I9</f>
        <v>230</v>
      </c>
      <c r="H20" s="57">
        <f t="shared" si="8"/>
        <v>2</v>
      </c>
    </row>
    <row r="21" spans="1:9">
      <c r="A21" s="698"/>
      <c r="B21" s="12" t="s">
        <v>35</v>
      </c>
      <c r="C21" s="569" t="str">
        <f>'2系统周表'!G7</f>
        <v>0.00</v>
      </c>
      <c r="D21" s="570" t="e">
        <f t="shared" si="6"/>
        <v>#N/A</v>
      </c>
      <c r="E21" s="569" t="str">
        <f>'2系统周表'!H7</f>
        <v>0.00</v>
      </c>
      <c r="F21" s="57">
        <f t="shared" si="7"/>
        <v>1</v>
      </c>
      <c r="G21" s="569" t="str">
        <f>'2系统周表'!I7</f>
        <v>0.00</v>
      </c>
      <c r="H21" s="57" t="e">
        <f t="shared" si="8"/>
        <v>#N/A</v>
      </c>
    </row>
    <row r="22" spans="1:9">
      <c r="A22" s="698"/>
      <c r="B22" s="12" t="s">
        <v>36</v>
      </c>
      <c r="C22" s="569" t="str">
        <f>'2系统周表'!G8</f>
        <v>0.00</v>
      </c>
      <c r="D22" s="570" t="e">
        <f t="shared" si="6"/>
        <v>#N/A</v>
      </c>
      <c r="E22" s="569" t="str">
        <f>'2系统周表'!H8</f>
        <v>0.00</v>
      </c>
      <c r="F22" s="57">
        <f t="shared" si="7"/>
        <v>1</v>
      </c>
      <c r="G22" s="569" t="str">
        <f>'2系统周表'!I8</f>
        <v>0.00</v>
      </c>
      <c r="H22" s="57" t="e">
        <f t="shared" si="8"/>
        <v>#N/A</v>
      </c>
    </row>
    <row r="23" spans="1:9">
      <c r="A23" s="698"/>
      <c r="B23" s="12" t="s">
        <v>37</v>
      </c>
      <c r="C23" s="569" t="str">
        <f>'2系统周表'!G9</f>
        <v>0.00</v>
      </c>
      <c r="D23" s="570" t="e">
        <f t="shared" si="6"/>
        <v>#N/A</v>
      </c>
      <c r="E23" s="569" t="str">
        <f>'2系统周表'!H9</f>
        <v>0.00</v>
      </c>
      <c r="F23" s="57">
        <f t="shared" si="7"/>
        <v>1</v>
      </c>
      <c r="G23" s="569" t="str">
        <f>'2系统周表'!I9</f>
        <v>0.00</v>
      </c>
      <c r="H23" s="57" t="e">
        <f t="shared" si="8"/>
        <v>#N/A</v>
      </c>
    </row>
    <row r="24" spans="1:9">
      <c r="A24" s="698" t="s">
        <v>26</v>
      </c>
      <c r="B24" s="12" t="s">
        <v>119</v>
      </c>
      <c r="C24" s="12" t="s">
        <v>121</v>
      </c>
      <c r="D24" s="12" t="s">
        <v>120</v>
      </c>
      <c r="E24" s="12" t="s">
        <v>122</v>
      </c>
      <c r="F24" s="57" t="s">
        <v>120</v>
      </c>
      <c r="G24" s="12" t="s">
        <v>124</v>
      </c>
      <c r="H24" s="57" t="s">
        <v>120</v>
      </c>
    </row>
    <row r="25" spans="1:9">
      <c r="A25" s="698"/>
      <c r="B25" s="12" t="s">
        <v>32</v>
      </c>
      <c r="C25" s="571">
        <f>'1系统周表'!G21</f>
        <v>0.34000000000000108</v>
      </c>
      <c r="D25" s="570">
        <f t="shared" ref="D25:D30" si="9">RANK(C25,C$25:C$30,1)</f>
        <v>3</v>
      </c>
      <c r="E25" s="569">
        <f>'1系统周表'!H21</f>
        <v>0</v>
      </c>
      <c r="F25" s="57">
        <f t="shared" ref="F25:F30" si="10">RANK(E25,E$25:E$30,1)</f>
        <v>1</v>
      </c>
      <c r="G25" s="15">
        <f>'1系统周表'!E13</f>
        <v>97.647339870766359</v>
      </c>
      <c r="H25" s="57">
        <f>RANK(G25,G$25:G$30,0)</f>
        <v>2</v>
      </c>
    </row>
    <row r="26" spans="1:9">
      <c r="A26" s="698"/>
      <c r="B26" s="12" t="s">
        <v>33</v>
      </c>
      <c r="C26" s="571">
        <f>'1系统周表'!G22</f>
        <v>0.13</v>
      </c>
      <c r="D26" s="570">
        <f t="shared" si="9"/>
        <v>2</v>
      </c>
      <c r="E26" s="569">
        <f>'1系统周表'!H22</f>
        <v>0</v>
      </c>
      <c r="F26" s="57">
        <f t="shared" si="10"/>
        <v>1</v>
      </c>
      <c r="G26" s="15">
        <f>'1系统周表'!E14</f>
        <v>115.70148957715539</v>
      </c>
      <c r="H26" s="57">
        <f t="shared" ref="H26:H30" si="11">RANK(G26,G$25:G$30,0)</f>
        <v>1</v>
      </c>
    </row>
    <row r="27" spans="1:9">
      <c r="A27" s="698"/>
      <c r="B27" s="12" t="s">
        <v>34</v>
      </c>
      <c r="C27" s="571">
        <f>'1系统周表'!G23</f>
        <v>8.9999999999999802E-2</v>
      </c>
      <c r="D27" s="570">
        <f t="shared" si="9"/>
        <v>1</v>
      </c>
      <c r="E27" s="569">
        <f>'1系统周表'!H23</f>
        <v>0</v>
      </c>
      <c r="F27" s="57">
        <f t="shared" si="10"/>
        <v>1</v>
      </c>
      <c r="G27" s="15">
        <f>'1系统周表'!E15</f>
        <v>88.686422520354697</v>
      </c>
      <c r="H27" s="57">
        <f t="shared" si="11"/>
        <v>3</v>
      </c>
    </row>
    <row r="28" spans="1:9">
      <c r="A28" s="698"/>
      <c r="B28" s="12" t="s">
        <v>35</v>
      </c>
      <c r="C28" s="571" t="str">
        <f>'2系统周表'!G21</f>
        <v>0.00</v>
      </c>
      <c r="D28" s="570" t="e">
        <f t="shared" si="9"/>
        <v>#N/A</v>
      </c>
      <c r="E28" s="569">
        <f>'2系统周表'!H21</f>
        <v>0</v>
      </c>
      <c r="F28" s="57">
        <f t="shared" si="10"/>
        <v>1</v>
      </c>
      <c r="G28" s="15" t="str">
        <f>'2系统周表'!E13</f>
        <v>0.00</v>
      </c>
      <c r="H28" s="57" t="e">
        <f t="shared" si="11"/>
        <v>#N/A</v>
      </c>
    </row>
    <row r="29" spans="1:9">
      <c r="A29" s="698"/>
      <c r="B29" s="12" t="s">
        <v>36</v>
      </c>
      <c r="C29" s="571" t="str">
        <f>'2系统周表'!G22</f>
        <v>0.00</v>
      </c>
      <c r="D29" s="570" t="e">
        <f t="shared" si="9"/>
        <v>#N/A</v>
      </c>
      <c r="E29" s="569">
        <f>'2系统周表'!H22</f>
        <v>0</v>
      </c>
      <c r="F29" s="57">
        <f t="shared" si="10"/>
        <v>1</v>
      </c>
      <c r="G29" s="15" t="str">
        <f>'2系统周表'!E14</f>
        <v>0.00</v>
      </c>
      <c r="H29" s="57" t="e">
        <f t="shared" si="11"/>
        <v>#N/A</v>
      </c>
    </row>
    <row r="30" spans="1:9">
      <c r="A30" s="698"/>
      <c r="B30" s="12" t="s">
        <v>37</v>
      </c>
      <c r="C30" s="571" t="str">
        <f>'2系统周表'!G23</f>
        <v>0.00</v>
      </c>
      <c r="D30" s="570" t="e">
        <f t="shared" si="9"/>
        <v>#N/A</v>
      </c>
      <c r="E30" s="569">
        <f>'2系统周表'!H23</f>
        <v>0</v>
      </c>
      <c r="F30" s="57">
        <f t="shared" si="10"/>
        <v>1</v>
      </c>
      <c r="G30" s="15" t="str">
        <f>'2系统周表'!E15</f>
        <v>0.00</v>
      </c>
      <c r="H30" s="57" t="e">
        <f t="shared" si="11"/>
        <v>#N/A</v>
      </c>
    </row>
    <row r="31" spans="1:9">
      <c r="A31" s="12"/>
      <c r="B31" s="12" t="s">
        <v>119</v>
      </c>
      <c r="C31" s="12" t="s">
        <v>125</v>
      </c>
      <c r="D31" s="12" t="s">
        <v>120</v>
      </c>
      <c r="E31" s="12" t="s">
        <v>126</v>
      </c>
      <c r="F31" s="57" t="s">
        <v>120</v>
      </c>
      <c r="G31" s="12" t="s">
        <v>127</v>
      </c>
      <c r="H31" s="57" t="s">
        <v>120</v>
      </c>
    </row>
    <row r="32" spans="1:9">
      <c r="A32" s="698" t="s">
        <v>128</v>
      </c>
      <c r="B32" s="12" t="s">
        <v>32</v>
      </c>
      <c r="C32" s="570">
        <f>120-(D4+F4+H4+D11+F11+H11+D18+F18+D25+F25+H18+H25)</f>
        <v>98</v>
      </c>
      <c r="D32" s="570" t="e">
        <f>RANK(C32,C$32:C$37,0)</f>
        <v>#N/A</v>
      </c>
      <c r="E32" s="570">
        <f>110-(D4+F4+H4+D18+H18+D25+H25+F11)</f>
        <v>92</v>
      </c>
      <c r="F32" s="57" t="e">
        <f>RANK(E32,E$32:E$37,0)</f>
        <v>#N/A</v>
      </c>
      <c r="G32" s="569">
        <f>100-(D11+H11+F18+F25)</f>
        <v>96</v>
      </c>
      <c r="H32" s="57">
        <f>RANK(G32,G$32:G$37,0)</f>
        <v>1</v>
      </c>
      <c r="I32" s="572"/>
    </row>
    <row r="33" spans="1:9">
      <c r="A33" s="698"/>
      <c r="B33" s="12" t="s">
        <v>33</v>
      </c>
      <c r="C33" s="570">
        <f>120-(D5+F5+H5+D12+F12+H12+D19+F19+D26+F26+H19+H26)</f>
        <v>104</v>
      </c>
      <c r="D33" s="570" t="e">
        <f t="shared" ref="D33:D37" si="12">RANK(C33,C$32:C$37,0)</f>
        <v>#N/A</v>
      </c>
      <c r="E33" s="570">
        <f t="shared" ref="E33:E37" si="13">110-(D5+F5+H5+D19+H19+D26+H26+F12)</f>
        <v>98</v>
      </c>
      <c r="F33" s="57" t="e">
        <f t="shared" ref="F33:F37" si="14">RANK(E33,E$32:E$37,0)</f>
        <v>#N/A</v>
      </c>
      <c r="G33" s="569">
        <f t="shared" ref="G33:G37" si="15">100-(D12+H12+F19+F26)</f>
        <v>96</v>
      </c>
      <c r="H33" s="57">
        <f t="shared" ref="H33:H37" si="16">RANK(G33,G$32:G$37,0)</f>
        <v>1</v>
      </c>
      <c r="I33" s="572"/>
    </row>
    <row r="34" spans="1:9">
      <c r="A34" s="698"/>
      <c r="B34" s="12" t="s">
        <v>34</v>
      </c>
      <c r="C34" s="570">
        <f>120-(D6+F6+H6+D13+F13+H13+D20+F20+D27+F27+H20+H27)</f>
        <v>104</v>
      </c>
      <c r="D34" s="570" t="e">
        <f t="shared" si="12"/>
        <v>#N/A</v>
      </c>
      <c r="E34" s="570">
        <f t="shared" si="13"/>
        <v>98</v>
      </c>
      <c r="F34" s="57" t="e">
        <f t="shared" si="14"/>
        <v>#N/A</v>
      </c>
      <c r="G34" s="569">
        <f t="shared" si="15"/>
        <v>96</v>
      </c>
      <c r="H34" s="57">
        <f t="shared" si="16"/>
        <v>1</v>
      </c>
      <c r="I34" s="572"/>
    </row>
    <row r="35" spans="1:9">
      <c r="A35" s="698"/>
      <c r="B35" s="12" t="s">
        <v>35</v>
      </c>
      <c r="C35" s="570" t="e">
        <f>120-(D7+F7+H7+D14+F14+H14+D21+F21+D28+F28+H21+H28)</f>
        <v>#N/A</v>
      </c>
      <c r="D35" s="570" t="e">
        <f t="shared" si="12"/>
        <v>#N/A</v>
      </c>
      <c r="E35" s="570" t="e">
        <f t="shared" si="13"/>
        <v>#N/A</v>
      </c>
      <c r="F35" s="57" t="e">
        <f t="shared" si="14"/>
        <v>#N/A</v>
      </c>
      <c r="G35" s="569">
        <f t="shared" si="15"/>
        <v>96</v>
      </c>
      <c r="H35" s="57">
        <f t="shared" si="16"/>
        <v>1</v>
      </c>
      <c r="I35" s="572"/>
    </row>
    <row r="36" spans="1:9">
      <c r="A36" s="698"/>
      <c r="B36" s="12" t="s">
        <v>36</v>
      </c>
      <c r="C36" s="570" t="e">
        <f t="shared" ref="C36:C37" si="17">120-(D8+F8+H8+D15+F15+H15+D22+F22+D29+F29+H22+H29)</f>
        <v>#N/A</v>
      </c>
      <c r="D36" s="570" t="e">
        <f t="shared" si="12"/>
        <v>#N/A</v>
      </c>
      <c r="E36" s="570" t="e">
        <f t="shared" si="13"/>
        <v>#N/A</v>
      </c>
      <c r="F36" s="57" t="e">
        <f t="shared" si="14"/>
        <v>#N/A</v>
      </c>
      <c r="G36" s="569">
        <f t="shared" si="15"/>
        <v>96</v>
      </c>
      <c r="H36" s="57">
        <f t="shared" si="16"/>
        <v>1</v>
      </c>
      <c r="I36" s="572"/>
    </row>
    <row r="37" spans="1:9">
      <c r="A37" s="698"/>
      <c r="B37" s="12" t="s">
        <v>37</v>
      </c>
      <c r="C37" s="570" t="e">
        <f t="shared" si="17"/>
        <v>#N/A</v>
      </c>
      <c r="D37" s="570" t="e">
        <f t="shared" si="12"/>
        <v>#N/A</v>
      </c>
      <c r="E37" s="570" t="e">
        <f t="shared" si="13"/>
        <v>#N/A</v>
      </c>
      <c r="F37" s="57" t="e">
        <f t="shared" si="14"/>
        <v>#N/A</v>
      </c>
      <c r="G37" s="569">
        <f t="shared" si="15"/>
        <v>96</v>
      </c>
      <c r="H37" s="57">
        <f t="shared" si="16"/>
        <v>1</v>
      </c>
      <c r="I37" s="572"/>
    </row>
  </sheetData>
  <mergeCells count="8">
    <mergeCell ref="A17:A23"/>
    <mergeCell ref="A24:A30"/>
    <mergeCell ref="A32:A37"/>
    <mergeCell ref="A1:H1"/>
    <mergeCell ref="D2:E2"/>
    <mergeCell ref="G2:H2"/>
    <mergeCell ref="A3:A9"/>
    <mergeCell ref="A10:A16"/>
  </mergeCells>
  <phoneticPr fontId="5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rgb="FFFF0000"/>
    <pageSetUpPr fitToPage="1"/>
  </sheetPr>
  <dimension ref="A1:DH58"/>
  <sheetViews>
    <sheetView zoomScale="70" zoomScaleNormal="70" workbookViewId="0">
      <selection activeCell="D5" sqref="D5"/>
    </sheetView>
  </sheetViews>
  <sheetFormatPr defaultColWidth="9" defaultRowHeight="15.6"/>
  <cols>
    <col min="1" max="1" width="9.33203125" style="343" customWidth="1"/>
    <col min="2" max="2" width="9.77734375" style="343" customWidth="1"/>
    <col min="3" max="3" width="11.21875" style="343" customWidth="1"/>
    <col min="4" max="4" width="10.88671875" style="343" customWidth="1"/>
    <col min="5" max="5" width="9.109375" style="343" customWidth="1"/>
    <col min="6" max="6" width="7.109375" style="343" hidden="1" customWidth="1"/>
    <col min="7" max="7" width="8.33203125" style="343" customWidth="1"/>
    <col min="8" max="8" width="9.88671875" style="343" customWidth="1"/>
    <col min="9" max="9" width="9.88671875" style="343" hidden="1" customWidth="1"/>
    <col min="10" max="10" width="9.88671875" style="343" customWidth="1"/>
    <col min="11" max="11" width="5.33203125" style="343" customWidth="1"/>
    <col min="12" max="12" width="10.6640625" style="343" customWidth="1"/>
    <col min="13" max="13" width="9.21875" style="343" customWidth="1"/>
    <col min="14" max="14" width="7.109375" style="343" hidden="1" customWidth="1"/>
    <col min="15" max="15" width="9.5546875" style="343" customWidth="1"/>
    <col min="16" max="16" width="8.109375" style="343" customWidth="1"/>
    <col min="17" max="17" width="8.109375" style="343" hidden="1" customWidth="1"/>
    <col min="18" max="18" width="8.6640625" style="343" customWidth="1"/>
    <col min="19" max="19" width="8.109375" style="343" hidden="1" customWidth="1"/>
    <col min="20" max="20" width="6.88671875" style="343" hidden="1" customWidth="1"/>
    <col min="21" max="21" width="7.109375" style="343" hidden="1" customWidth="1"/>
    <col min="22" max="22" width="7.77734375" style="343" hidden="1" customWidth="1"/>
    <col min="23" max="25" width="8.109375" style="343" hidden="1" customWidth="1"/>
    <col min="26" max="26" width="5.21875" style="343" customWidth="1"/>
    <col min="27" max="27" width="9.6640625" style="343" customWidth="1"/>
    <col min="28" max="28" width="9" style="343" customWidth="1"/>
    <col min="29" max="29" width="9" style="343" hidden="1" customWidth="1"/>
    <col min="30" max="30" width="7.21875" style="343" customWidth="1"/>
    <col min="31" max="31" width="8.77734375" style="343" customWidth="1"/>
    <col min="32" max="32" width="8.77734375" style="343" hidden="1" customWidth="1"/>
    <col min="33" max="33" width="11.109375" style="343" customWidth="1"/>
    <col min="34" max="34" width="10.21875" style="343" customWidth="1"/>
    <col min="35" max="35" width="7.88671875" style="343" hidden="1" customWidth="1"/>
    <col min="36" max="36" width="7.88671875" style="343" customWidth="1"/>
    <col min="37" max="37" width="9" style="343"/>
    <col min="38" max="96" width="9" style="343" hidden="1" customWidth="1"/>
    <col min="97" max="97" width="10.44140625" style="343" customWidth="1"/>
    <col min="98" max="98" width="9" style="343" hidden="1" customWidth="1"/>
    <col min="99" max="99" width="12.33203125" style="343" customWidth="1"/>
    <col min="100" max="103" width="13.44140625" style="343" customWidth="1"/>
    <col min="104" max="107" width="10.33203125" style="343" customWidth="1"/>
    <col min="108" max="108" width="16.77734375" style="343" customWidth="1"/>
    <col min="109" max="109" width="15.77734375" style="343" customWidth="1"/>
    <col min="110" max="111" width="9" style="343"/>
    <col min="112" max="112" width="9.44140625" style="343" customWidth="1"/>
    <col min="113" max="235" width="9" style="343"/>
    <col min="236" max="236" width="5.44140625" style="343" customWidth="1"/>
    <col min="237" max="237" width="7.44140625" style="343" customWidth="1"/>
    <col min="238" max="238" width="8.109375" style="343" customWidth="1"/>
    <col min="239" max="239" width="8.33203125" style="343" customWidth="1"/>
    <col min="240" max="241" width="5" style="343" customWidth="1"/>
    <col min="242" max="242" width="5.33203125" style="343" customWidth="1"/>
    <col min="243" max="243" width="6" style="343" customWidth="1"/>
    <col min="244" max="245" width="6.6640625" style="343" customWidth="1"/>
    <col min="246" max="246" width="7.77734375" style="343" customWidth="1"/>
    <col min="247" max="247" width="7.6640625" style="343" customWidth="1"/>
    <col min="248" max="248" width="6.6640625" style="343" customWidth="1"/>
    <col min="249" max="249" width="5.109375" style="343" customWidth="1"/>
    <col min="250" max="250" width="5.33203125" style="343" customWidth="1"/>
    <col min="251" max="251" width="5.44140625" style="343" customWidth="1"/>
    <col min="252" max="255" width="6.6640625" style="343" customWidth="1"/>
    <col min="256" max="256" width="6.77734375" style="343" customWidth="1"/>
    <col min="257" max="257" width="5.109375" style="343" customWidth="1"/>
    <col min="258" max="258" width="7.109375" style="343" customWidth="1"/>
    <col min="259" max="259" width="6.109375" style="343" customWidth="1"/>
    <col min="260" max="260" width="7.109375" style="343" customWidth="1"/>
    <col min="261" max="261" width="6.44140625" style="343" customWidth="1"/>
    <col min="262" max="265" width="7.109375" style="343" customWidth="1"/>
    <col min="266" max="266" width="7.44140625" style="343" customWidth="1"/>
    <col min="267" max="267" width="7.88671875" style="343" customWidth="1"/>
    <col min="268" max="269" width="6.88671875" style="343" customWidth="1"/>
    <col min="270" max="273" width="7.109375" style="343" customWidth="1"/>
    <col min="274" max="274" width="7.44140625" style="343" customWidth="1"/>
    <col min="275" max="275" width="7.109375" style="343" customWidth="1"/>
    <col min="276" max="276" width="5.21875" style="343" customWidth="1"/>
    <col min="277" max="285" width="10.6640625" style="343" customWidth="1"/>
    <col min="286" max="289" width="8.6640625" style="343" customWidth="1"/>
    <col min="290" max="491" width="9" style="343"/>
    <col min="492" max="492" width="5.44140625" style="343" customWidth="1"/>
    <col min="493" max="493" width="7.44140625" style="343" customWidth="1"/>
    <col min="494" max="494" width="8.109375" style="343" customWidth="1"/>
    <col min="495" max="495" width="8.33203125" style="343" customWidth="1"/>
    <col min="496" max="497" width="5" style="343" customWidth="1"/>
    <col min="498" max="498" width="5.33203125" style="343" customWidth="1"/>
    <col min="499" max="499" width="6" style="343" customWidth="1"/>
    <col min="500" max="501" width="6.6640625" style="343" customWidth="1"/>
    <col min="502" max="502" width="7.77734375" style="343" customWidth="1"/>
    <col min="503" max="503" width="7.6640625" style="343" customWidth="1"/>
    <col min="504" max="504" width="6.6640625" style="343" customWidth="1"/>
    <col min="505" max="505" width="5.109375" style="343" customWidth="1"/>
    <col min="506" max="506" width="5.33203125" style="343" customWidth="1"/>
    <col min="507" max="507" width="5.44140625" style="343" customWidth="1"/>
    <col min="508" max="511" width="6.6640625" style="343" customWidth="1"/>
    <col min="512" max="512" width="6.77734375" style="343" customWidth="1"/>
    <col min="513" max="513" width="5.109375" style="343" customWidth="1"/>
    <col min="514" max="514" width="7.109375" style="343" customWidth="1"/>
    <col min="515" max="515" width="6.109375" style="343" customWidth="1"/>
    <col min="516" max="516" width="7.109375" style="343" customWidth="1"/>
    <col min="517" max="517" width="6.44140625" style="343" customWidth="1"/>
    <col min="518" max="521" width="7.109375" style="343" customWidth="1"/>
    <col min="522" max="522" width="7.44140625" style="343" customWidth="1"/>
    <col min="523" max="523" width="7.88671875" style="343" customWidth="1"/>
    <col min="524" max="525" width="6.88671875" style="343" customWidth="1"/>
    <col min="526" max="529" width="7.109375" style="343" customWidth="1"/>
    <col min="530" max="530" width="7.44140625" style="343" customWidth="1"/>
    <col min="531" max="531" width="7.109375" style="343" customWidth="1"/>
    <col min="532" max="532" width="5.21875" style="343" customWidth="1"/>
    <col min="533" max="541" width="10.6640625" style="343" customWidth="1"/>
    <col min="542" max="545" width="8.6640625" style="343" customWidth="1"/>
    <col min="546" max="747" width="9" style="343"/>
    <col min="748" max="748" width="5.44140625" style="343" customWidth="1"/>
    <col min="749" max="749" width="7.44140625" style="343" customWidth="1"/>
    <col min="750" max="750" width="8.109375" style="343" customWidth="1"/>
    <col min="751" max="751" width="8.33203125" style="343" customWidth="1"/>
    <col min="752" max="753" width="5" style="343" customWidth="1"/>
    <col min="754" max="754" width="5.33203125" style="343" customWidth="1"/>
    <col min="755" max="755" width="6" style="343" customWidth="1"/>
    <col min="756" max="757" width="6.6640625" style="343" customWidth="1"/>
    <col min="758" max="758" width="7.77734375" style="343" customWidth="1"/>
    <col min="759" max="759" width="7.6640625" style="343" customWidth="1"/>
    <col min="760" max="760" width="6.6640625" style="343" customWidth="1"/>
    <col min="761" max="761" width="5.109375" style="343" customWidth="1"/>
    <col min="762" max="762" width="5.33203125" style="343" customWidth="1"/>
    <col min="763" max="763" width="5.44140625" style="343" customWidth="1"/>
    <col min="764" max="767" width="6.6640625" style="343" customWidth="1"/>
    <col min="768" max="768" width="6.77734375" style="343" customWidth="1"/>
    <col min="769" max="769" width="5.109375" style="343" customWidth="1"/>
    <col min="770" max="770" width="7.109375" style="343" customWidth="1"/>
    <col min="771" max="771" width="6.109375" style="343" customWidth="1"/>
    <col min="772" max="772" width="7.109375" style="343" customWidth="1"/>
    <col min="773" max="773" width="6.44140625" style="343" customWidth="1"/>
    <col min="774" max="777" width="7.109375" style="343" customWidth="1"/>
    <col min="778" max="778" width="7.44140625" style="343" customWidth="1"/>
    <col min="779" max="779" width="7.88671875" style="343" customWidth="1"/>
    <col min="780" max="781" width="6.88671875" style="343" customWidth="1"/>
    <col min="782" max="785" width="7.109375" style="343" customWidth="1"/>
    <col min="786" max="786" width="7.44140625" style="343" customWidth="1"/>
    <col min="787" max="787" width="7.109375" style="343" customWidth="1"/>
    <col min="788" max="788" width="5.21875" style="343" customWidth="1"/>
    <col min="789" max="797" width="10.6640625" style="343" customWidth="1"/>
    <col min="798" max="801" width="8.6640625" style="343" customWidth="1"/>
    <col min="802" max="1003" width="9" style="343"/>
    <col min="1004" max="1004" width="5.44140625" style="343" customWidth="1"/>
    <col min="1005" max="1005" width="7.44140625" style="343" customWidth="1"/>
    <col min="1006" max="1006" width="8.109375" style="343" customWidth="1"/>
    <col min="1007" max="1007" width="8.33203125" style="343" customWidth="1"/>
    <col min="1008" max="1009" width="5" style="343" customWidth="1"/>
    <col min="1010" max="1010" width="5.33203125" style="343" customWidth="1"/>
    <col min="1011" max="1011" width="6" style="343" customWidth="1"/>
    <col min="1012" max="1013" width="6.6640625" style="343" customWidth="1"/>
    <col min="1014" max="1014" width="7.77734375" style="343" customWidth="1"/>
    <col min="1015" max="1015" width="7.6640625" style="343" customWidth="1"/>
    <col min="1016" max="1016" width="6.6640625" style="343" customWidth="1"/>
    <col min="1017" max="1017" width="5.109375" style="343" customWidth="1"/>
    <col min="1018" max="1018" width="5.33203125" style="343" customWidth="1"/>
    <col min="1019" max="1019" width="5.44140625" style="343" customWidth="1"/>
    <col min="1020" max="1023" width="6.6640625" style="343" customWidth="1"/>
    <col min="1024" max="1024" width="6.77734375" style="343" customWidth="1"/>
    <col min="1025" max="1025" width="5.109375" style="343" customWidth="1"/>
    <col min="1026" max="1026" width="7.109375" style="343" customWidth="1"/>
    <col min="1027" max="1027" width="6.109375" style="343" customWidth="1"/>
    <col min="1028" max="1028" width="7.109375" style="343" customWidth="1"/>
    <col min="1029" max="1029" width="6.44140625" style="343" customWidth="1"/>
    <col min="1030" max="1033" width="7.109375" style="343" customWidth="1"/>
    <col min="1034" max="1034" width="7.44140625" style="343" customWidth="1"/>
    <col min="1035" max="1035" width="7.88671875" style="343" customWidth="1"/>
    <col min="1036" max="1037" width="6.88671875" style="343" customWidth="1"/>
    <col min="1038" max="1041" width="7.109375" style="343" customWidth="1"/>
    <col min="1042" max="1042" width="7.44140625" style="343" customWidth="1"/>
    <col min="1043" max="1043" width="7.109375" style="343" customWidth="1"/>
    <col min="1044" max="1044" width="5.21875" style="343" customWidth="1"/>
    <col min="1045" max="1053" width="10.6640625" style="343" customWidth="1"/>
    <col min="1054" max="1057" width="8.6640625" style="343" customWidth="1"/>
    <col min="1058" max="1259" width="9" style="343"/>
    <col min="1260" max="1260" width="5.44140625" style="343" customWidth="1"/>
    <col min="1261" max="1261" width="7.44140625" style="343" customWidth="1"/>
    <col min="1262" max="1262" width="8.109375" style="343" customWidth="1"/>
    <col min="1263" max="1263" width="8.33203125" style="343" customWidth="1"/>
    <col min="1264" max="1265" width="5" style="343" customWidth="1"/>
    <col min="1266" max="1266" width="5.33203125" style="343" customWidth="1"/>
    <col min="1267" max="1267" width="6" style="343" customWidth="1"/>
    <col min="1268" max="1269" width="6.6640625" style="343" customWidth="1"/>
    <col min="1270" max="1270" width="7.77734375" style="343" customWidth="1"/>
    <col min="1271" max="1271" width="7.6640625" style="343" customWidth="1"/>
    <col min="1272" max="1272" width="6.6640625" style="343" customWidth="1"/>
    <col min="1273" max="1273" width="5.109375" style="343" customWidth="1"/>
    <col min="1274" max="1274" width="5.33203125" style="343" customWidth="1"/>
    <col min="1275" max="1275" width="5.44140625" style="343" customWidth="1"/>
    <col min="1276" max="1279" width="6.6640625" style="343" customWidth="1"/>
    <col min="1280" max="1280" width="6.77734375" style="343" customWidth="1"/>
    <col min="1281" max="1281" width="5.109375" style="343" customWidth="1"/>
    <col min="1282" max="1282" width="7.109375" style="343" customWidth="1"/>
    <col min="1283" max="1283" width="6.109375" style="343" customWidth="1"/>
    <col min="1284" max="1284" width="7.109375" style="343" customWidth="1"/>
    <col min="1285" max="1285" width="6.44140625" style="343" customWidth="1"/>
    <col min="1286" max="1289" width="7.109375" style="343" customWidth="1"/>
    <col min="1290" max="1290" width="7.44140625" style="343" customWidth="1"/>
    <col min="1291" max="1291" width="7.88671875" style="343" customWidth="1"/>
    <col min="1292" max="1293" width="6.88671875" style="343" customWidth="1"/>
    <col min="1294" max="1297" width="7.109375" style="343" customWidth="1"/>
    <col min="1298" max="1298" width="7.44140625" style="343" customWidth="1"/>
    <col min="1299" max="1299" width="7.109375" style="343" customWidth="1"/>
    <col min="1300" max="1300" width="5.21875" style="343" customWidth="1"/>
    <col min="1301" max="1309" width="10.6640625" style="343" customWidth="1"/>
    <col min="1310" max="1313" width="8.6640625" style="343" customWidth="1"/>
    <col min="1314" max="1515" width="9" style="343"/>
    <col min="1516" max="1516" width="5.44140625" style="343" customWidth="1"/>
    <col min="1517" max="1517" width="7.44140625" style="343" customWidth="1"/>
    <col min="1518" max="1518" width="8.109375" style="343" customWidth="1"/>
    <col min="1519" max="1519" width="8.33203125" style="343" customWidth="1"/>
    <col min="1520" max="1521" width="5" style="343" customWidth="1"/>
    <col min="1522" max="1522" width="5.33203125" style="343" customWidth="1"/>
    <col min="1523" max="1523" width="6" style="343" customWidth="1"/>
    <col min="1524" max="1525" width="6.6640625" style="343" customWidth="1"/>
    <col min="1526" max="1526" width="7.77734375" style="343" customWidth="1"/>
    <col min="1527" max="1527" width="7.6640625" style="343" customWidth="1"/>
    <col min="1528" max="1528" width="6.6640625" style="343" customWidth="1"/>
    <col min="1529" max="1529" width="5.109375" style="343" customWidth="1"/>
    <col min="1530" max="1530" width="5.33203125" style="343" customWidth="1"/>
    <col min="1531" max="1531" width="5.44140625" style="343" customWidth="1"/>
    <col min="1532" max="1535" width="6.6640625" style="343" customWidth="1"/>
    <col min="1536" max="1536" width="6.77734375" style="343" customWidth="1"/>
    <col min="1537" max="1537" width="5.109375" style="343" customWidth="1"/>
    <col min="1538" max="1538" width="7.109375" style="343" customWidth="1"/>
    <col min="1539" max="1539" width="6.109375" style="343" customWidth="1"/>
    <col min="1540" max="1540" width="7.109375" style="343" customWidth="1"/>
    <col min="1541" max="1541" width="6.44140625" style="343" customWidth="1"/>
    <col min="1542" max="1545" width="7.109375" style="343" customWidth="1"/>
    <col min="1546" max="1546" width="7.44140625" style="343" customWidth="1"/>
    <col min="1547" max="1547" width="7.88671875" style="343" customWidth="1"/>
    <col min="1548" max="1549" width="6.88671875" style="343" customWidth="1"/>
    <col min="1550" max="1553" width="7.109375" style="343" customWidth="1"/>
    <col min="1554" max="1554" width="7.44140625" style="343" customWidth="1"/>
    <col min="1555" max="1555" width="7.109375" style="343" customWidth="1"/>
    <col min="1556" max="1556" width="5.21875" style="343" customWidth="1"/>
    <col min="1557" max="1565" width="10.6640625" style="343" customWidth="1"/>
    <col min="1566" max="1569" width="8.6640625" style="343" customWidth="1"/>
    <col min="1570" max="1771" width="9" style="343"/>
    <col min="1772" max="1772" width="5.44140625" style="343" customWidth="1"/>
    <col min="1773" max="1773" width="7.44140625" style="343" customWidth="1"/>
    <col min="1774" max="1774" width="8.109375" style="343" customWidth="1"/>
    <col min="1775" max="1775" width="8.33203125" style="343" customWidth="1"/>
    <col min="1776" max="1777" width="5" style="343" customWidth="1"/>
    <col min="1778" max="1778" width="5.33203125" style="343" customWidth="1"/>
    <col min="1779" max="1779" width="6" style="343" customWidth="1"/>
    <col min="1780" max="1781" width="6.6640625" style="343" customWidth="1"/>
    <col min="1782" max="1782" width="7.77734375" style="343" customWidth="1"/>
    <col min="1783" max="1783" width="7.6640625" style="343" customWidth="1"/>
    <col min="1784" max="1784" width="6.6640625" style="343" customWidth="1"/>
    <col min="1785" max="1785" width="5.109375" style="343" customWidth="1"/>
    <col min="1786" max="1786" width="5.33203125" style="343" customWidth="1"/>
    <col min="1787" max="1787" width="5.44140625" style="343" customWidth="1"/>
    <col min="1788" max="1791" width="6.6640625" style="343" customWidth="1"/>
    <col min="1792" max="1792" width="6.77734375" style="343" customWidth="1"/>
    <col min="1793" max="1793" width="5.109375" style="343" customWidth="1"/>
    <col min="1794" max="1794" width="7.109375" style="343" customWidth="1"/>
    <col min="1795" max="1795" width="6.109375" style="343" customWidth="1"/>
    <col min="1796" max="1796" width="7.109375" style="343" customWidth="1"/>
    <col min="1797" max="1797" width="6.44140625" style="343" customWidth="1"/>
    <col min="1798" max="1801" width="7.109375" style="343" customWidth="1"/>
    <col min="1802" max="1802" width="7.44140625" style="343" customWidth="1"/>
    <col min="1803" max="1803" width="7.88671875" style="343" customWidth="1"/>
    <col min="1804" max="1805" width="6.88671875" style="343" customWidth="1"/>
    <col min="1806" max="1809" width="7.109375" style="343" customWidth="1"/>
    <col min="1810" max="1810" width="7.44140625" style="343" customWidth="1"/>
    <col min="1811" max="1811" width="7.109375" style="343" customWidth="1"/>
    <col min="1812" max="1812" width="5.21875" style="343" customWidth="1"/>
    <col min="1813" max="1821" width="10.6640625" style="343" customWidth="1"/>
    <col min="1822" max="1825" width="8.6640625" style="343" customWidth="1"/>
    <col min="1826" max="2027" width="9" style="343"/>
    <col min="2028" max="2028" width="5.44140625" style="343" customWidth="1"/>
    <col min="2029" max="2029" width="7.44140625" style="343" customWidth="1"/>
    <col min="2030" max="2030" width="8.109375" style="343" customWidth="1"/>
    <col min="2031" max="2031" width="8.33203125" style="343" customWidth="1"/>
    <col min="2032" max="2033" width="5" style="343" customWidth="1"/>
    <col min="2034" max="2034" width="5.33203125" style="343" customWidth="1"/>
    <col min="2035" max="2035" width="6" style="343" customWidth="1"/>
    <col min="2036" max="2037" width="6.6640625" style="343" customWidth="1"/>
    <col min="2038" max="2038" width="7.77734375" style="343" customWidth="1"/>
    <col min="2039" max="2039" width="7.6640625" style="343" customWidth="1"/>
    <col min="2040" max="2040" width="6.6640625" style="343" customWidth="1"/>
    <col min="2041" max="2041" width="5.109375" style="343" customWidth="1"/>
    <col min="2042" max="2042" width="5.33203125" style="343" customWidth="1"/>
    <col min="2043" max="2043" width="5.44140625" style="343" customWidth="1"/>
    <col min="2044" max="2047" width="6.6640625" style="343" customWidth="1"/>
    <col min="2048" max="2048" width="6.77734375" style="343" customWidth="1"/>
    <col min="2049" max="2049" width="5.109375" style="343" customWidth="1"/>
    <col min="2050" max="2050" width="7.109375" style="343" customWidth="1"/>
    <col min="2051" max="2051" width="6.109375" style="343" customWidth="1"/>
    <col min="2052" max="2052" width="7.109375" style="343" customWidth="1"/>
    <col min="2053" max="2053" width="6.44140625" style="343" customWidth="1"/>
    <col min="2054" max="2057" width="7.109375" style="343" customWidth="1"/>
    <col min="2058" max="2058" width="7.44140625" style="343" customWidth="1"/>
    <col min="2059" max="2059" width="7.88671875" style="343" customWidth="1"/>
    <col min="2060" max="2061" width="6.88671875" style="343" customWidth="1"/>
    <col min="2062" max="2065" width="7.109375" style="343" customWidth="1"/>
    <col min="2066" max="2066" width="7.44140625" style="343" customWidth="1"/>
    <col min="2067" max="2067" width="7.109375" style="343" customWidth="1"/>
    <col min="2068" max="2068" width="5.21875" style="343" customWidth="1"/>
    <col min="2069" max="2077" width="10.6640625" style="343" customWidth="1"/>
    <col min="2078" max="2081" width="8.6640625" style="343" customWidth="1"/>
    <col min="2082" max="2283" width="9" style="343"/>
    <col min="2284" max="2284" width="5.44140625" style="343" customWidth="1"/>
    <col min="2285" max="2285" width="7.44140625" style="343" customWidth="1"/>
    <col min="2286" max="2286" width="8.109375" style="343" customWidth="1"/>
    <col min="2287" max="2287" width="8.33203125" style="343" customWidth="1"/>
    <col min="2288" max="2289" width="5" style="343" customWidth="1"/>
    <col min="2290" max="2290" width="5.33203125" style="343" customWidth="1"/>
    <col min="2291" max="2291" width="6" style="343" customWidth="1"/>
    <col min="2292" max="2293" width="6.6640625" style="343" customWidth="1"/>
    <col min="2294" max="2294" width="7.77734375" style="343" customWidth="1"/>
    <col min="2295" max="2295" width="7.6640625" style="343" customWidth="1"/>
    <col min="2296" max="2296" width="6.6640625" style="343" customWidth="1"/>
    <col min="2297" max="2297" width="5.109375" style="343" customWidth="1"/>
    <col min="2298" max="2298" width="5.33203125" style="343" customWidth="1"/>
    <col min="2299" max="2299" width="5.44140625" style="343" customWidth="1"/>
    <col min="2300" max="2303" width="6.6640625" style="343" customWidth="1"/>
    <col min="2304" max="2304" width="6.77734375" style="343" customWidth="1"/>
    <col min="2305" max="2305" width="5.109375" style="343" customWidth="1"/>
    <col min="2306" max="2306" width="7.109375" style="343" customWidth="1"/>
    <col min="2307" max="2307" width="6.109375" style="343" customWidth="1"/>
    <col min="2308" max="2308" width="7.109375" style="343" customWidth="1"/>
    <col min="2309" max="2309" width="6.44140625" style="343" customWidth="1"/>
    <col min="2310" max="2313" width="7.109375" style="343" customWidth="1"/>
    <col min="2314" max="2314" width="7.44140625" style="343" customWidth="1"/>
    <col min="2315" max="2315" width="7.88671875" style="343" customWidth="1"/>
    <col min="2316" max="2317" width="6.88671875" style="343" customWidth="1"/>
    <col min="2318" max="2321" width="7.109375" style="343" customWidth="1"/>
    <col min="2322" max="2322" width="7.44140625" style="343" customWidth="1"/>
    <col min="2323" max="2323" width="7.109375" style="343" customWidth="1"/>
    <col min="2324" max="2324" width="5.21875" style="343" customWidth="1"/>
    <col min="2325" max="2333" width="10.6640625" style="343" customWidth="1"/>
    <col min="2334" max="2337" width="8.6640625" style="343" customWidth="1"/>
    <col min="2338" max="2539" width="9" style="343"/>
    <col min="2540" max="2540" width="5.44140625" style="343" customWidth="1"/>
    <col min="2541" max="2541" width="7.44140625" style="343" customWidth="1"/>
    <col min="2542" max="2542" width="8.109375" style="343" customWidth="1"/>
    <col min="2543" max="2543" width="8.33203125" style="343" customWidth="1"/>
    <col min="2544" max="2545" width="5" style="343" customWidth="1"/>
    <col min="2546" max="2546" width="5.33203125" style="343" customWidth="1"/>
    <col min="2547" max="2547" width="6" style="343" customWidth="1"/>
    <col min="2548" max="2549" width="6.6640625" style="343" customWidth="1"/>
    <col min="2550" max="2550" width="7.77734375" style="343" customWidth="1"/>
    <col min="2551" max="2551" width="7.6640625" style="343" customWidth="1"/>
    <col min="2552" max="2552" width="6.6640625" style="343" customWidth="1"/>
    <col min="2553" max="2553" width="5.109375" style="343" customWidth="1"/>
    <col min="2554" max="2554" width="5.33203125" style="343" customWidth="1"/>
    <col min="2555" max="2555" width="5.44140625" style="343" customWidth="1"/>
    <col min="2556" max="2559" width="6.6640625" style="343" customWidth="1"/>
    <col min="2560" max="2560" width="6.77734375" style="343" customWidth="1"/>
    <col min="2561" max="2561" width="5.109375" style="343" customWidth="1"/>
    <col min="2562" max="2562" width="7.109375" style="343" customWidth="1"/>
    <col min="2563" max="2563" width="6.109375" style="343" customWidth="1"/>
    <col min="2564" max="2564" width="7.109375" style="343" customWidth="1"/>
    <col min="2565" max="2565" width="6.44140625" style="343" customWidth="1"/>
    <col min="2566" max="2569" width="7.109375" style="343" customWidth="1"/>
    <col min="2570" max="2570" width="7.44140625" style="343" customWidth="1"/>
    <col min="2571" max="2571" width="7.88671875" style="343" customWidth="1"/>
    <col min="2572" max="2573" width="6.88671875" style="343" customWidth="1"/>
    <col min="2574" max="2577" width="7.109375" style="343" customWidth="1"/>
    <col min="2578" max="2578" width="7.44140625" style="343" customWidth="1"/>
    <col min="2579" max="2579" width="7.109375" style="343" customWidth="1"/>
    <col min="2580" max="2580" width="5.21875" style="343" customWidth="1"/>
    <col min="2581" max="2589" width="10.6640625" style="343" customWidth="1"/>
    <col min="2590" max="2593" width="8.6640625" style="343" customWidth="1"/>
    <col min="2594" max="2795" width="9" style="343"/>
    <col min="2796" max="2796" width="5.44140625" style="343" customWidth="1"/>
    <col min="2797" max="2797" width="7.44140625" style="343" customWidth="1"/>
    <col min="2798" max="2798" width="8.109375" style="343" customWidth="1"/>
    <col min="2799" max="2799" width="8.33203125" style="343" customWidth="1"/>
    <col min="2800" max="2801" width="5" style="343" customWidth="1"/>
    <col min="2802" max="2802" width="5.33203125" style="343" customWidth="1"/>
    <col min="2803" max="2803" width="6" style="343" customWidth="1"/>
    <col min="2804" max="2805" width="6.6640625" style="343" customWidth="1"/>
    <col min="2806" max="2806" width="7.77734375" style="343" customWidth="1"/>
    <col min="2807" max="2807" width="7.6640625" style="343" customWidth="1"/>
    <col min="2808" max="2808" width="6.6640625" style="343" customWidth="1"/>
    <col min="2809" max="2809" width="5.109375" style="343" customWidth="1"/>
    <col min="2810" max="2810" width="5.33203125" style="343" customWidth="1"/>
    <col min="2811" max="2811" width="5.44140625" style="343" customWidth="1"/>
    <col min="2812" max="2815" width="6.6640625" style="343" customWidth="1"/>
    <col min="2816" max="2816" width="6.77734375" style="343" customWidth="1"/>
    <col min="2817" max="2817" width="5.109375" style="343" customWidth="1"/>
    <col min="2818" max="2818" width="7.109375" style="343" customWidth="1"/>
    <col min="2819" max="2819" width="6.109375" style="343" customWidth="1"/>
    <col min="2820" max="2820" width="7.109375" style="343" customWidth="1"/>
    <col min="2821" max="2821" width="6.44140625" style="343" customWidth="1"/>
    <col min="2822" max="2825" width="7.109375" style="343" customWidth="1"/>
    <col min="2826" max="2826" width="7.44140625" style="343" customWidth="1"/>
    <col min="2827" max="2827" width="7.88671875" style="343" customWidth="1"/>
    <col min="2828" max="2829" width="6.88671875" style="343" customWidth="1"/>
    <col min="2830" max="2833" width="7.109375" style="343" customWidth="1"/>
    <col min="2834" max="2834" width="7.44140625" style="343" customWidth="1"/>
    <col min="2835" max="2835" width="7.109375" style="343" customWidth="1"/>
    <col min="2836" max="2836" width="5.21875" style="343" customWidth="1"/>
    <col min="2837" max="2845" width="10.6640625" style="343" customWidth="1"/>
    <col min="2846" max="2849" width="8.6640625" style="343" customWidth="1"/>
    <col min="2850" max="3051" width="9" style="343"/>
    <col min="3052" max="3052" width="5.44140625" style="343" customWidth="1"/>
    <col min="3053" max="3053" width="7.44140625" style="343" customWidth="1"/>
    <col min="3054" max="3054" width="8.109375" style="343" customWidth="1"/>
    <col min="3055" max="3055" width="8.33203125" style="343" customWidth="1"/>
    <col min="3056" max="3057" width="5" style="343" customWidth="1"/>
    <col min="3058" max="3058" width="5.33203125" style="343" customWidth="1"/>
    <col min="3059" max="3059" width="6" style="343" customWidth="1"/>
    <col min="3060" max="3061" width="6.6640625" style="343" customWidth="1"/>
    <col min="3062" max="3062" width="7.77734375" style="343" customWidth="1"/>
    <col min="3063" max="3063" width="7.6640625" style="343" customWidth="1"/>
    <col min="3064" max="3064" width="6.6640625" style="343" customWidth="1"/>
    <col min="3065" max="3065" width="5.109375" style="343" customWidth="1"/>
    <col min="3066" max="3066" width="5.33203125" style="343" customWidth="1"/>
    <col min="3067" max="3067" width="5.44140625" style="343" customWidth="1"/>
    <col min="3068" max="3071" width="6.6640625" style="343" customWidth="1"/>
    <col min="3072" max="3072" width="6.77734375" style="343" customWidth="1"/>
    <col min="3073" max="3073" width="5.109375" style="343" customWidth="1"/>
    <col min="3074" max="3074" width="7.109375" style="343" customWidth="1"/>
    <col min="3075" max="3075" width="6.109375" style="343" customWidth="1"/>
    <col min="3076" max="3076" width="7.109375" style="343" customWidth="1"/>
    <col min="3077" max="3077" width="6.44140625" style="343" customWidth="1"/>
    <col min="3078" max="3081" width="7.109375" style="343" customWidth="1"/>
    <col min="3082" max="3082" width="7.44140625" style="343" customWidth="1"/>
    <col min="3083" max="3083" width="7.88671875" style="343" customWidth="1"/>
    <col min="3084" max="3085" width="6.88671875" style="343" customWidth="1"/>
    <col min="3086" max="3089" width="7.109375" style="343" customWidth="1"/>
    <col min="3090" max="3090" width="7.44140625" style="343" customWidth="1"/>
    <col min="3091" max="3091" width="7.109375" style="343" customWidth="1"/>
    <col min="3092" max="3092" width="5.21875" style="343" customWidth="1"/>
    <col min="3093" max="3101" width="10.6640625" style="343" customWidth="1"/>
    <col min="3102" max="3105" width="8.6640625" style="343" customWidth="1"/>
    <col min="3106" max="3307" width="9" style="343"/>
    <col min="3308" max="3308" width="5.44140625" style="343" customWidth="1"/>
    <col min="3309" max="3309" width="7.44140625" style="343" customWidth="1"/>
    <col min="3310" max="3310" width="8.109375" style="343" customWidth="1"/>
    <col min="3311" max="3311" width="8.33203125" style="343" customWidth="1"/>
    <col min="3312" max="3313" width="5" style="343" customWidth="1"/>
    <col min="3314" max="3314" width="5.33203125" style="343" customWidth="1"/>
    <col min="3315" max="3315" width="6" style="343" customWidth="1"/>
    <col min="3316" max="3317" width="6.6640625" style="343" customWidth="1"/>
    <col min="3318" max="3318" width="7.77734375" style="343" customWidth="1"/>
    <col min="3319" max="3319" width="7.6640625" style="343" customWidth="1"/>
    <col min="3320" max="3320" width="6.6640625" style="343" customWidth="1"/>
    <col min="3321" max="3321" width="5.109375" style="343" customWidth="1"/>
    <col min="3322" max="3322" width="5.33203125" style="343" customWidth="1"/>
    <col min="3323" max="3323" width="5.44140625" style="343" customWidth="1"/>
    <col min="3324" max="3327" width="6.6640625" style="343" customWidth="1"/>
    <col min="3328" max="3328" width="6.77734375" style="343" customWidth="1"/>
    <col min="3329" max="3329" width="5.109375" style="343" customWidth="1"/>
    <col min="3330" max="3330" width="7.109375" style="343" customWidth="1"/>
    <col min="3331" max="3331" width="6.109375" style="343" customWidth="1"/>
    <col min="3332" max="3332" width="7.109375" style="343" customWidth="1"/>
    <col min="3333" max="3333" width="6.44140625" style="343" customWidth="1"/>
    <col min="3334" max="3337" width="7.109375" style="343" customWidth="1"/>
    <col min="3338" max="3338" width="7.44140625" style="343" customWidth="1"/>
    <col min="3339" max="3339" width="7.88671875" style="343" customWidth="1"/>
    <col min="3340" max="3341" width="6.88671875" style="343" customWidth="1"/>
    <col min="3342" max="3345" width="7.109375" style="343" customWidth="1"/>
    <col min="3346" max="3346" width="7.44140625" style="343" customWidth="1"/>
    <col min="3347" max="3347" width="7.109375" style="343" customWidth="1"/>
    <col min="3348" max="3348" width="5.21875" style="343" customWidth="1"/>
    <col min="3349" max="3357" width="10.6640625" style="343" customWidth="1"/>
    <col min="3358" max="3361" width="8.6640625" style="343" customWidth="1"/>
    <col min="3362" max="3563" width="9" style="343"/>
    <col min="3564" max="3564" width="5.44140625" style="343" customWidth="1"/>
    <col min="3565" max="3565" width="7.44140625" style="343" customWidth="1"/>
    <col min="3566" max="3566" width="8.109375" style="343" customWidth="1"/>
    <col min="3567" max="3567" width="8.33203125" style="343" customWidth="1"/>
    <col min="3568" max="3569" width="5" style="343" customWidth="1"/>
    <col min="3570" max="3570" width="5.33203125" style="343" customWidth="1"/>
    <col min="3571" max="3571" width="6" style="343" customWidth="1"/>
    <col min="3572" max="3573" width="6.6640625" style="343" customWidth="1"/>
    <col min="3574" max="3574" width="7.77734375" style="343" customWidth="1"/>
    <col min="3575" max="3575" width="7.6640625" style="343" customWidth="1"/>
    <col min="3576" max="3576" width="6.6640625" style="343" customWidth="1"/>
    <col min="3577" max="3577" width="5.109375" style="343" customWidth="1"/>
    <col min="3578" max="3578" width="5.33203125" style="343" customWidth="1"/>
    <col min="3579" max="3579" width="5.44140625" style="343" customWidth="1"/>
    <col min="3580" max="3583" width="6.6640625" style="343" customWidth="1"/>
    <col min="3584" max="3584" width="6.77734375" style="343" customWidth="1"/>
    <col min="3585" max="3585" width="5.109375" style="343" customWidth="1"/>
    <col min="3586" max="3586" width="7.109375" style="343" customWidth="1"/>
    <col min="3587" max="3587" width="6.109375" style="343" customWidth="1"/>
    <col min="3588" max="3588" width="7.109375" style="343" customWidth="1"/>
    <col min="3589" max="3589" width="6.44140625" style="343" customWidth="1"/>
    <col min="3590" max="3593" width="7.109375" style="343" customWidth="1"/>
    <col min="3594" max="3594" width="7.44140625" style="343" customWidth="1"/>
    <col min="3595" max="3595" width="7.88671875" style="343" customWidth="1"/>
    <col min="3596" max="3597" width="6.88671875" style="343" customWidth="1"/>
    <col min="3598" max="3601" width="7.109375" style="343" customWidth="1"/>
    <col min="3602" max="3602" width="7.44140625" style="343" customWidth="1"/>
    <col min="3603" max="3603" width="7.109375" style="343" customWidth="1"/>
    <col min="3604" max="3604" width="5.21875" style="343" customWidth="1"/>
    <col min="3605" max="3613" width="10.6640625" style="343" customWidth="1"/>
    <col min="3614" max="3617" width="8.6640625" style="343" customWidth="1"/>
    <col min="3618" max="3819" width="9" style="343"/>
    <col min="3820" max="3820" width="5.44140625" style="343" customWidth="1"/>
    <col min="3821" max="3821" width="7.44140625" style="343" customWidth="1"/>
    <col min="3822" max="3822" width="8.109375" style="343" customWidth="1"/>
    <col min="3823" max="3823" width="8.33203125" style="343" customWidth="1"/>
    <col min="3824" max="3825" width="5" style="343" customWidth="1"/>
    <col min="3826" max="3826" width="5.33203125" style="343" customWidth="1"/>
    <col min="3827" max="3827" width="6" style="343" customWidth="1"/>
    <col min="3828" max="3829" width="6.6640625" style="343" customWidth="1"/>
    <col min="3830" max="3830" width="7.77734375" style="343" customWidth="1"/>
    <col min="3831" max="3831" width="7.6640625" style="343" customWidth="1"/>
    <col min="3832" max="3832" width="6.6640625" style="343" customWidth="1"/>
    <col min="3833" max="3833" width="5.109375" style="343" customWidth="1"/>
    <col min="3834" max="3834" width="5.33203125" style="343" customWidth="1"/>
    <col min="3835" max="3835" width="5.44140625" style="343" customWidth="1"/>
    <col min="3836" max="3839" width="6.6640625" style="343" customWidth="1"/>
    <col min="3840" max="3840" width="6.77734375" style="343" customWidth="1"/>
    <col min="3841" max="3841" width="5.109375" style="343" customWidth="1"/>
    <col min="3842" max="3842" width="7.109375" style="343" customWidth="1"/>
    <col min="3843" max="3843" width="6.109375" style="343" customWidth="1"/>
    <col min="3844" max="3844" width="7.109375" style="343" customWidth="1"/>
    <col min="3845" max="3845" width="6.44140625" style="343" customWidth="1"/>
    <col min="3846" max="3849" width="7.109375" style="343" customWidth="1"/>
    <col min="3850" max="3850" width="7.44140625" style="343" customWidth="1"/>
    <col min="3851" max="3851" width="7.88671875" style="343" customWidth="1"/>
    <col min="3852" max="3853" width="6.88671875" style="343" customWidth="1"/>
    <col min="3854" max="3857" width="7.109375" style="343" customWidth="1"/>
    <col min="3858" max="3858" width="7.44140625" style="343" customWidth="1"/>
    <col min="3859" max="3859" width="7.109375" style="343" customWidth="1"/>
    <col min="3860" max="3860" width="5.21875" style="343" customWidth="1"/>
    <col min="3861" max="3869" width="10.6640625" style="343" customWidth="1"/>
    <col min="3870" max="3873" width="8.6640625" style="343" customWidth="1"/>
    <col min="3874" max="4075" width="9" style="343"/>
    <col min="4076" max="4076" width="5.44140625" style="343" customWidth="1"/>
    <col min="4077" max="4077" width="7.44140625" style="343" customWidth="1"/>
    <col min="4078" max="4078" width="8.109375" style="343" customWidth="1"/>
    <col min="4079" max="4079" width="8.33203125" style="343" customWidth="1"/>
    <col min="4080" max="4081" width="5" style="343" customWidth="1"/>
    <col min="4082" max="4082" width="5.33203125" style="343" customWidth="1"/>
    <col min="4083" max="4083" width="6" style="343" customWidth="1"/>
    <col min="4084" max="4085" width="6.6640625" style="343" customWidth="1"/>
    <col min="4086" max="4086" width="7.77734375" style="343" customWidth="1"/>
    <col min="4087" max="4087" width="7.6640625" style="343" customWidth="1"/>
    <col min="4088" max="4088" width="6.6640625" style="343" customWidth="1"/>
    <col min="4089" max="4089" width="5.109375" style="343" customWidth="1"/>
    <col min="4090" max="4090" width="5.33203125" style="343" customWidth="1"/>
    <col min="4091" max="4091" width="5.44140625" style="343" customWidth="1"/>
    <col min="4092" max="4095" width="6.6640625" style="343" customWidth="1"/>
    <col min="4096" max="4096" width="6.77734375" style="343" customWidth="1"/>
    <col min="4097" max="4097" width="5.109375" style="343" customWidth="1"/>
    <col min="4098" max="4098" width="7.109375" style="343" customWidth="1"/>
    <col min="4099" max="4099" width="6.109375" style="343" customWidth="1"/>
    <col min="4100" max="4100" width="7.109375" style="343" customWidth="1"/>
    <col min="4101" max="4101" width="6.44140625" style="343" customWidth="1"/>
    <col min="4102" max="4105" width="7.109375" style="343" customWidth="1"/>
    <col min="4106" max="4106" width="7.44140625" style="343" customWidth="1"/>
    <col min="4107" max="4107" width="7.88671875" style="343" customWidth="1"/>
    <col min="4108" max="4109" width="6.88671875" style="343" customWidth="1"/>
    <col min="4110" max="4113" width="7.109375" style="343" customWidth="1"/>
    <col min="4114" max="4114" width="7.44140625" style="343" customWidth="1"/>
    <col min="4115" max="4115" width="7.109375" style="343" customWidth="1"/>
    <col min="4116" max="4116" width="5.21875" style="343" customWidth="1"/>
    <col min="4117" max="4125" width="10.6640625" style="343" customWidth="1"/>
    <col min="4126" max="4129" width="8.6640625" style="343" customWidth="1"/>
    <col min="4130" max="4331" width="9" style="343"/>
    <col min="4332" max="4332" width="5.44140625" style="343" customWidth="1"/>
    <col min="4333" max="4333" width="7.44140625" style="343" customWidth="1"/>
    <col min="4334" max="4334" width="8.109375" style="343" customWidth="1"/>
    <col min="4335" max="4335" width="8.33203125" style="343" customWidth="1"/>
    <col min="4336" max="4337" width="5" style="343" customWidth="1"/>
    <col min="4338" max="4338" width="5.33203125" style="343" customWidth="1"/>
    <col min="4339" max="4339" width="6" style="343" customWidth="1"/>
    <col min="4340" max="4341" width="6.6640625" style="343" customWidth="1"/>
    <col min="4342" max="4342" width="7.77734375" style="343" customWidth="1"/>
    <col min="4343" max="4343" width="7.6640625" style="343" customWidth="1"/>
    <col min="4344" max="4344" width="6.6640625" style="343" customWidth="1"/>
    <col min="4345" max="4345" width="5.109375" style="343" customWidth="1"/>
    <col min="4346" max="4346" width="5.33203125" style="343" customWidth="1"/>
    <col min="4347" max="4347" width="5.44140625" style="343" customWidth="1"/>
    <col min="4348" max="4351" width="6.6640625" style="343" customWidth="1"/>
    <col min="4352" max="4352" width="6.77734375" style="343" customWidth="1"/>
    <col min="4353" max="4353" width="5.109375" style="343" customWidth="1"/>
    <col min="4354" max="4354" width="7.109375" style="343" customWidth="1"/>
    <col min="4355" max="4355" width="6.109375" style="343" customWidth="1"/>
    <col min="4356" max="4356" width="7.109375" style="343" customWidth="1"/>
    <col min="4357" max="4357" width="6.44140625" style="343" customWidth="1"/>
    <col min="4358" max="4361" width="7.109375" style="343" customWidth="1"/>
    <col min="4362" max="4362" width="7.44140625" style="343" customWidth="1"/>
    <col min="4363" max="4363" width="7.88671875" style="343" customWidth="1"/>
    <col min="4364" max="4365" width="6.88671875" style="343" customWidth="1"/>
    <col min="4366" max="4369" width="7.109375" style="343" customWidth="1"/>
    <col min="4370" max="4370" width="7.44140625" style="343" customWidth="1"/>
    <col min="4371" max="4371" width="7.109375" style="343" customWidth="1"/>
    <col min="4372" max="4372" width="5.21875" style="343" customWidth="1"/>
    <col min="4373" max="4381" width="10.6640625" style="343" customWidth="1"/>
    <col min="4382" max="4385" width="8.6640625" style="343" customWidth="1"/>
    <col min="4386" max="4587" width="9" style="343"/>
    <col min="4588" max="4588" width="5.44140625" style="343" customWidth="1"/>
    <col min="4589" max="4589" width="7.44140625" style="343" customWidth="1"/>
    <col min="4590" max="4590" width="8.109375" style="343" customWidth="1"/>
    <col min="4591" max="4591" width="8.33203125" style="343" customWidth="1"/>
    <col min="4592" max="4593" width="5" style="343" customWidth="1"/>
    <col min="4594" max="4594" width="5.33203125" style="343" customWidth="1"/>
    <col min="4595" max="4595" width="6" style="343" customWidth="1"/>
    <col min="4596" max="4597" width="6.6640625" style="343" customWidth="1"/>
    <col min="4598" max="4598" width="7.77734375" style="343" customWidth="1"/>
    <col min="4599" max="4599" width="7.6640625" style="343" customWidth="1"/>
    <col min="4600" max="4600" width="6.6640625" style="343" customWidth="1"/>
    <col min="4601" max="4601" width="5.109375" style="343" customWidth="1"/>
    <col min="4602" max="4602" width="5.33203125" style="343" customWidth="1"/>
    <col min="4603" max="4603" width="5.44140625" style="343" customWidth="1"/>
    <col min="4604" max="4607" width="6.6640625" style="343" customWidth="1"/>
    <col min="4608" max="4608" width="6.77734375" style="343" customWidth="1"/>
    <col min="4609" max="4609" width="5.109375" style="343" customWidth="1"/>
    <col min="4610" max="4610" width="7.109375" style="343" customWidth="1"/>
    <col min="4611" max="4611" width="6.109375" style="343" customWidth="1"/>
    <col min="4612" max="4612" width="7.109375" style="343" customWidth="1"/>
    <col min="4613" max="4613" width="6.44140625" style="343" customWidth="1"/>
    <col min="4614" max="4617" width="7.109375" style="343" customWidth="1"/>
    <col min="4618" max="4618" width="7.44140625" style="343" customWidth="1"/>
    <col min="4619" max="4619" width="7.88671875" style="343" customWidth="1"/>
    <col min="4620" max="4621" width="6.88671875" style="343" customWidth="1"/>
    <col min="4622" max="4625" width="7.109375" style="343" customWidth="1"/>
    <col min="4626" max="4626" width="7.44140625" style="343" customWidth="1"/>
    <col min="4627" max="4627" width="7.109375" style="343" customWidth="1"/>
    <col min="4628" max="4628" width="5.21875" style="343" customWidth="1"/>
    <col min="4629" max="4637" width="10.6640625" style="343" customWidth="1"/>
    <col min="4638" max="4641" width="8.6640625" style="343" customWidth="1"/>
    <col min="4642" max="4843" width="9" style="343"/>
    <col min="4844" max="4844" width="5.44140625" style="343" customWidth="1"/>
    <col min="4845" max="4845" width="7.44140625" style="343" customWidth="1"/>
    <col min="4846" max="4846" width="8.109375" style="343" customWidth="1"/>
    <col min="4847" max="4847" width="8.33203125" style="343" customWidth="1"/>
    <col min="4848" max="4849" width="5" style="343" customWidth="1"/>
    <col min="4850" max="4850" width="5.33203125" style="343" customWidth="1"/>
    <col min="4851" max="4851" width="6" style="343" customWidth="1"/>
    <col min="4852" max="4853" width="6.6640625" style="343" customWidth="1"/>
    <col min="4854" max="4854" width="7.77734375" style="343" customWidth="1"/>
    <col min="4855" max="4855" width="7.6640625" style="343" customWidth="1"/>
    <col min="4856" max="4856" width="6.6640625" style="343" customWidth="1"/>
    <col min="4857" max="4857" width="5.109375" style="343" customWidth="1"/>
    <col min="4858" max="4858" width="5.33203125" style="343" customWidth="1"/>
    <col min="4859" max="4859" width="5.44140625" style="343" customWidth="1"/>
    <col min="4860" max="4863" width="6.6640625" style="343" customWidth="1"/>
    <col min="4864" max="4864" width="6.77734375" style="343" customWidth="1"/>
    <col min="4865" max="4865" width="5.109375" style="343" customWidth="1"/>
    <col min="4866" max="4866" width="7.109375" style="343" customWidth="1"/>
    <col min="4867" max="4867" width="6.109375" style="343" customWidth="1"/>
    <col min="4868" max="4868" width="7.109375" style="343" customWidth="1"/>
    <col min="4869" max="4869" width="6.44140625" style="343" customWidth="1"/>
    <col min="4870" max="4873" width="7.109375" style="343" customWidth="1"/>
    <col min="4874" max="4874" width="7.44140625" style="343" customWidth="1"/>
    <col min="4875" max="4875" width="7.88671875" style="343" customWidth="1"/>
    <col min="4876" max="4877" width="6.88671875" style="343" customWidth="1"/>
    <col min="4878" max="4881" width="7.109375" style="343" customWidth="1"/>
    <col min="4882" max="4882" width="7.44140625" style="343" customWidth="1"/>
    <col min="4883" max="4883" width="7.109375" style="343" customWidth="1"/>
    <col min="4884" max="4884" width="5.21875" style="343" customWidth="1"/>
    <col min="4885" max="4893" width="10.6640625" style="343" customWidth="1"/>
    <col min="4894" max="4897" width="8.6640625" style="343" customWidth="1"/>
    <col min="4898" max="5099" width="9" style="343"/>
    <col min="5100" max="5100" width="5.44140625" style="343" customWidth="1"/>
    <col min="5101" max="5101" width="7.44140625" style="343" customWidth="1"/>
    <col min="5102" max="5102" width="8.109375" style="343" customWidth="1"/>
    <col min="5103" max="5103" width="8.33203125" style="343" customWidth="1"/>
    <col min="5104" max="5105" width="5" style="343" customWidth="1"/>
    <col min="5106" max="5106" width="5.33203125" style="343" customWidth="1"/>
    <col min="5107" max="5107" width="6" style="343" customWidth="1"/>
    <col min="5108" max="5109" width="6.6640625" style="343" customWidth="1"/>
    <col min="5110" max="5110" width="7.77734375" style="343" customWidth="1"/>
    <col min="5111" max="5111" width="7.6640625" style="343" customWidth="1"/>
    <col min="5112" max="5112" width="6.6640625" style="343" customWidth="1"/>
    <col min="5113" max="5113" width="5.109375" style="343" customWidth="1"/>
    <col min="5114" max="5114" width="5.33203125" style="343" customWidth="1"/>
    <col min="5115" max="5115" width="5.44140625" style="343" customWidth="1"/>
    <col min="5116" max="5119" width="6.6640625" style="343" customWidth="1"/>
    <col min="5120" max="5120" width="6.77734375" style="343" customWidth="1"/>
    <col min="5121" max="5121" width="5.109375" style="343" customWidth="1"/>
    <col min="5122" max="5122" width="7.109375" style="343" customWidth="1"/>
    <col min="5123" max="5123" width="6.109375" style="343" customWidth="1"/>
    <col min="5124" max="5124" width="7.109375" style="343" customWidth="1"/>
    <col min="5125" max="5125" width="6.44140625" style="343" customWidth="1"/>
    <col min="5126" max="5129" width="7.109375" style="343" customWidth="1"/>
    <col min="5130" max="5130" width="7.44140625" style="343" customWidth="1"/>
    <col min="5131" max="5131" width="7.88671875" style="343" customWidth="1"/>
    <col min="5132" max="5133" width="6.88671875" style="343" customWidth="1"/>
    <col min="5134" max="5137" width="7.109375" style="343" customWidth="1"/>
    <col min="5138" max="5138" width="7.44140625" style="343" customWidth="1"/>
    <col min="5139" max="5139" width="7.109375" style="343" customWidth="1"/>
    <col min="5140" max="5140" width="5.21875" style="343" customWidth="1"/>
    <col min="5141" max="5149" width="10.6640625" style="343" customWidth="1"/>
    <col min="5150" max="5153" width="8.6640625" style="343" customWidth="1"/>
    <col min="5154" max="5355" width="9" style="343"/>
    <col min="5356" max="5356" width="5.44140625" style="343" customWidth="1"/>
    <col min="5357" max="5357" width="7.44140625" style="343" customWidth="1"/>
    <col min="5358" max="5358" width="8.109375" style="343" customWidth="1"/>
    <col min="5359" max="5359" width="8.33203125" style="343" customWidth="1"/>
    <col min="5360" max="5361" width="5" style="343" customWidth="1"/>
    <col min="5362" max="5362" width="5.33203125" style="343" customWidth="1"/>
    <col min="5363" max="5363" width="6" style="343" customWidth="1"/>
    <col min="5364" max="5365" width="6.6640625" style="343" customWidth="1"/>
    <col min="5366" max="5366" width="7.77734375" style="343" customWidth="1"/>
    <col min="5367" max="5367" width="7.6640625" style="343" customWidth="1"/>
    <col min="5368" max="5368" width="6.6640625" style="343" customWidth="1"/>
    <col min="5369" max="5369" width="5.109375" style="343" customWidth="1"/>
    <col min="5370" max="5370" width="5.33203125" style="343" customWidth="1"/>
    <col min="5371" max="5371" width="5.44140625" style="343" customWidth="1"/>
    <col min="5372" max="5375" width="6.6640625" style="343" customWidth="1"/>
    <col min="5376" max="5376" width="6.77734375" style="343" customWidth="1"/>
    <col min="5377" max="5377" width="5.109375" style="343" customWidth="1"/>
    <col min="5378" max="5378" width="7.109375" style="343" customWidth="1"/>
    <col min="5379" max="5379" width="6.109375" style="343" customWidth="1"/>
    <col min="5380" max="5380" width="7.109375" style="343" customWidth="1"/>
    <col min="5381" max="5381" width="6.44140625" style="343" customWidth="1"/>
    <col min="5382" max="5385" width="7.109375" style="343" customWidth="1"/>
    <col min="5386" max="5386" width="7.44140625" style="343" customWidth="1"/>
    <col min="5387" max="5387" width="7.88671875" style="343" customWidth="1"/>
    <col min="5388" max="5389" width="6.88671875" style="343" customWidth="1"/>
    <col min="5390" max="5393" width="7.109375" style="343" customWidth="1"/>
    <col min="5394" max="5394" width="7.44140625" style="343" customWidth="1"/>
    <col min="5395" max="5395" width="7.109375" style="343" customWidth="1"/>
    <col min="5396" max="5396" width="5.21875" style="343" customWidth="1"/>
    <col min="5397" max="5405" width="10.6640625" style="343" customWidth="1"/>
    <col min="5406" max="5409" width="8.6640625" style="343" customWidth="1"/>
    <col min="5410" max="5611" width="9" style="343"/>
    <col min="5612" max="5612" width="5.44140625" style="343" customWidth="1"/>
    <col min="5613" max="5613" width="7.44140625" style="343" customWidth="1"/>
    <col min="5614" max="5614" width="8.109375" style="343" customWidth="1"/>
    <col min="5615" max="5615" width="8.33203125" style="343" customWidth="1"/>
    <col min="5616" max="5617" width="5" style="343" customWidth="1"/>
    <col min="5618" max="5618" width="5.33203125" style="343" customWidth="1"/>
    <col min="5619" max="5619" width="6" style="343" customWidth="1"/>
    <col min="5620" max="5621" width="6.6640625" style="343" customWidth="1"/>
    <col min="5622" max="5622" width="7.77734375" style="343" customWidth="1"/>
    <col min="5623" max="5623" width="7.6640625" style="343" customWidth="1"/>
    <col min="5624" max="5624" width="6.6640625" style="343" customWidth="1"/>
    <col min="5625" max="5625" width="5.109375" style="343" customWidth="1"/>
    <col min="5626" max="5626" width="5.33203125" style="343" customWidth="1"/>
    <col min="5627" max="5627" width="5.44140625" style="343" customWidth="1"/>
    <col min="5628" max="5631" width="6.6640625" style="343" customWidth="1"/>
    <col min="5632" max="5632" width="6.77734375" style="343" customWidth="1"/>
    <col min="5633" max="5633" width="5.109375" style="343" customWidth="1"/>
    <col min="5634" max="5634" width="7.109375" style="343" customWidth="1"/>
    <col min="5635" max="5635" width="6.109375" style="343" customWidth="1"/>
    <col min="5636" max="5636" width="7.109375" style="343" customWidth="1"/>
    <col min="5637" max="5637" width="6.44140625" style="343" customWidth="1"/>
    <col min="5638" max="5641" width="7.109375" style="343" customWidth="1"/>
    <col min="5642" max="5642" width="7.44140625" style="343" customWidth="1"/>
    <col min="5643" max="5643" width="7.88671875" style="343" customWidth="1"/>
    <col min="5644" max="5645" width="6.88671875" style="343" customWidth="1"/>
    <col min="5646" max="5649" width="7.109375" style="343" customWidth="1"/>
    <col min="5650" max="5650" width="7.44140625" style="343" customWidth="1"/>
    <col min="5651" max="5651" width="7.109375" style="343" customWidth="1"/>
    <col min="5652" max="5652" width="5.21875" style="343" customWidth="1"/>
    <col min="5653" max="5661" width="10.6640625" style="343" customWidth="1"/>
    <col min="5662" max="5665" width="8.6640625" style="343" customWidth="1"/>
    <col min="5666" max="5867" width="9" style="343"/>
    <col min="5868" max="5868" width="5.44140625" style="343" customWidth="1"/>
    <col min="5869" max="5869" width="7.44140625" style="343" customWidth="1"/>
    <col min="5870" max="5870" width="8.109375" style="343" customWidth="1"/>
    <col min="5871" max="5871" width="8.33203125" style="343" customWidth="1"/>
    <col min="5872" max="5873" width="5" style="343" customWidth="1"/>
    <col min="5874" max="5874" width="5.33203125" style="343" customWidth="1"/>
    <col min="5875" max="5875" width="6" style="343" customWidth="1"/>
    <col min="5876" max="5877" width="6.6640625" style="343" customWidth="1"/>
    <col min="5878" max="5878" width="7.77734375" style="343" customWidth="1"/>
    <col min="5879" max="5879" width="7.6640625" style="343" customWidth="1"/>
    <col min="5880" max="5880" width="6.6640625" style="343" customWidth="1"/>
    <col min="5881" max="5881" width="5.109375" style="343" customWidth="1"/>
    <col min="5882" max="5882" width="5.33203125" style="343" customWidth="1"/>
    <col min="5883" max="5883" width="5.44140625" style="343" customWidth="1"/>
    <col min="5884" max="5887" width="6.6640625" style="343" customWidth="1"/>
    <col min="5888" max="5888" width="6.77734375" style="343" customWidth="1"/>
    <col min="5889" max="5889" width="5.109375" style="343" customWidth="1"/>
    <col min="5890" max="5890" width="7.109375" style="343" customWidth="1"/>
    <col min="5891" max="5891" width="6.109375" style="343" customWidth="1"/>
    <col min="5892" max="5892" width="7.109375" style="343" customWidth="1"/>
    <col min="5893" max="5893" width="6.44140625" style="343" customWidth="1"/>
    <col min="5894" max="5897" width="7.109375" style="343" customWidth="1"/>
    <col min="5898" max="5898" width="7.44140625" style="343" customWidth="1"/>
    <col min="5899" max="5899" width="7.88671875" style="343" customWidth="1"/>
    <col min="5900" max="5901" width="6.88671875" style="343" customWidth="1"/>
    <col min="5902" max="5905" width="7.109375" style="343" customWidth="1"/>
    <col min="5906" max="5906" width="7.44140625" style="343" customWidth="1"/>
    <col min="5907" max="5907" width="7.109375" style="343" customWidth="1"/>
    <col min="5908" max="5908" width="5.21875" style="343" customWidth="1"/>
    <col min="5909" max="5917" width="10.6640625" style="343" customWidth="1"/>
    <col min="5918" max="5921" width="8.6640625" style="343" customWidth="1"/>
    <col min="5922" max="6123" width="9" style="343"/>
    <col min="6124" max="6124" width="5.44140625" style="343" customWidth="1"/>
    <col min="6125" max="6125" width="7.44140625" style="343" customWidth="1"/>
    <col min="6126" max="6126" width="8.109375" style="343" customWidth="1"/>
    <col min="6127" max="6127" width="8.33203125" style="343" customWidth="1"/>
    <col min="6128" max="6129" width="5" style="343" customWidth="1"/>
    <col min="6130" max="6130" width="5.33203125" style="343" customWidth="1"/>
    <col min="6131" max="6131" width="6" style="343" customWidth="1"/>
    <col min="6132" max="6133" width="6.6640625" style="343" customWidth="1"/>
    <col min="6134" max="6134" width="7.77734375" style="343" customWidth="1"/>
    <col min="6135" max="6135" width="7.6640625" style="343" customWidth="1"/>
    <col min="6136" max="6136" width="6.6640625" style="343" customWidth="1"/>
    <col min="6137" max="6137" width="5.109375" style="343" customWidth="1"/>
    <col min="6138" max="6138" width="5.33203125" style="343" customWidth="1"/>
    <col min="6139" max="6139" width="5.44140625" style="343" customWidth="1"/>
    <col min="6140" max="6143" width="6.6640625" style="343" customWidth="1"/>
    <col min="6144" max="6144" width="6.77734375" style="343" customWidth="1"/>
    <col min="6145" max="6145" width="5.109375" style="343" customWidth="1"/>
    <col min="6146" max="6146" width="7.109375" style="343" customWidth="1"/>
    <col min="6147" max="6147" width="6.109375" style="343" customWidth="1"/>
    <col min="6148" max="6148" width="7.109375" style="343" customWidth="1"/>
    <col min="6149" max="6149" width="6.44140625" style="343" customWidth="1"/>
    <col min="6150" max="6153" width="7.109375" style="343" customWidth="1"/>
    <col min="6154" max="6154" width="7.44140625" style="343" customWidth="1"/>
    <col min="6155" max="6155" width="7.88671875" style="343" customWidth="1"/>
    <col min="6156" max="6157" width="6.88671875" style="343" customWidth="1"/>
    <col min="6158" max="6161" width="7.109375" style="343" customWidth="1"/>
    <col min="6162" max="6162" width="7.44140625" style="343" customWidth="1"/>
    <col min="6163" max="6163" width="7.109375" style="343" customWidth="1"/>
    <col min="6164" max="6164" width="5.21875" style="343" customWidth="1"/>
    <col min="6165" max="6173" width="10.6640625" style="343" customWidth="1"/>
    <col min="6174" max="6177" width="8.6640625" style="343" customWidth="1"/>
    <col min="6178" max="6379" width="9" style="343"/>
    <col min="6380" max="6380" width="5.44140625" style="343" customWidth="1"/>
    <col min="6381" max="6381" width="7.44140625" style="343" customWidth="1"/>
    <col min="6382" max="6382" width="8.109375" style="343" customWidth="1"/>
    <col min="6383" max="6383" width="8.33203125" style="343" customWidth="1"/>
    <col min="6384" max="6385" width="5" style="343" customWidth="1"/>
    <col min="6386" max="6386" width="5.33203125" style="343" customWidth="1"/>
    <col min="6387" max="6387" width="6" style="343" customWidth="1"/>
    <col min="6388" max="6389" width="6.6640625" style="343" customWidth="1"/>
    <col min="6390" max="6390" width="7.77734375" style="343" customWidth="1"/>
    <col min="6391" max="6391" width="7.6640625" style="343" customWidth="1"/>
    <col min="6392" max="6392" width="6.6640625" style="343" customWidth="1"/>
    <col min="6393" max="6393" width="5.109375" style="343" customWidth="1"/>
    <col min="6394" max="6394" width="5.33203125" style="343" customWidth="1"/>
    <col min="6395" max="6395" width="5.44140625" style="343" customWidth="1"/>
    <col min="6396" max="6399" width="6.6640625" style="343" customWidth="1"/>
    <col min="6400" max="6400" width="6.77734375" style="343" customWidth="1"/>
    <col min="6401" max="6401" width="5.109375" style="343" customWidth="1"/>
    <col min="6402" max="6402" width="7.109375" style="343" customWidth="1"/>
    <col min="6403" max="6403" width="6.109375" style="343" customWidth="1"/>
    <col min="6404" max="6404" width="7.109375" style="343" customWidth="1"/>
    <col min="6405" max="6405" width="6.44140625" style="343" customWidth="1"/>
    <col min="6406" max="6409" width="7.109375" style="343" customWidth="1"/>
    <col min="6410" max="6410" width="7.44140625" style="343" customWidth="1"/>
    <col min="6411" max="6411" width="7.88671875" style="343" customWidth="1"/>
    <col min="6412" max="6413" width="6.88671875" style="343" customWidth="1"/>
    <col min="6414" max="6417" width="7.109375" style="343" customWidth="1"/>
    <col min="6418" max="6418" width="7.44140625" style="343" customWidth="1"/>
    <col min="6419" max="6419" width="7.109375" style="343" customWidth="1"/>
    <col min="6420" max="6420" width="5.21875" style="343" customWidth="1"/>
    <col min="6421" max="6429" width="10.6640625" style="343" customWidth="1"/>
    <col min="6430" max="6433" width="8.6640625" style="343" customWidth="1"/>
    <col min="6434" max="6635" width="9" style="343"/>
    <col min="6636" max="6636" width="5.44140625" style="343" customWidth="1"/>
    <col min="6637" max="6637" width="7.44140625" style="343" customWidth="1"/>
    <col min="6638" max="6638" width="8.109375" style="343" customWidth="1"/>
    <col min="6639" max="6639" width="8.33203125" style="343" customWidth="1"/>
    <col min="6640" max="6641" width="5" style="343" customWidth="1"/>
    <col min="6642" max="6642" width="5.33203125" style="343" customWidth="1"/>
    <col min="6643" max="6643" width="6" style="343" customWidth="1"/>
    <col min="6644" max="6645" width="6.6640625" style="343" customWidth="1"/>
    <col min="6646" max="6646" width="7.77734375" style="343" customWidth="1"/>
    <col min="6647" max="6647" width="7.6640625" style="343" customWidth="1"/>
    <col min="6648" max="6648" width="6.6640625" style="343" customWidth="1"/>
    <col min="6649" max="6649" width="5.109375" style="343" customWidth="1"/>
    <col min="6650" max="6650" width="5.33203125" style="343" customWidth="1"/>
    <col min="6651" max="6651" width="5.44140625" style="343" customWidth="1"/>
    <col min="6652" max="6655" width="6.6640625" style="343" customWidth="1"/>
    <col min="6656" max="6656" width="6.77734375" style="343" customWidth="1"/>
    <col min="6657" max="6657" width="5.109375" style="343" customWidth="1"/>
    <col min="6658" max="6658" width="7.109375" style="343" customWidth="1"/>
    <col min="6659" max="6659" width="6.109375" style="343" customWidth="1"/>
    <col min="6660" max="6660" width="7.109375" style="343" customWidth="1"/>
    <col min="6661" max="6661" width="6.44140625" style="343" customWidth="1"/>
    <col min="6662" max="6665" width="7.109375" style="343" customWidth="1"/>
    <col min="6666" max="6666" width="7.44140625" style="343" customWidth="1"/>
    <col min="6667" max="6667" width="7.88671875" style="343" customWidth="1"/>
    <col min="6668" max="6669" width="6.88671875" style="343" customWidth="1"/>
    <col min="6670" max="6673" width="7.109375" style="343" customWidth="1"/>
    <col min="6674" max="6674" width="7.44140625" style="343" customWidth="1"/>
    <col min="6675" max="6675" width="7.109375" style="343" customWidth="1"/>
    <col min="6676" max="6676" width="5.21875" style="343" customWidth="1"/>
    <col min="6677" max="6685" width="10.6640625" style="343" customWidth="1"/>
    <col min="6686" max="6689" width="8.6640625" style="343" customWidth="1"/>
    <col min="6690" max="6891" width="9" style="343"/>
    <col min="6892" max="6892" width="5.44140625" style="343" customWidth="1"/>
    <col min="6893" max="6893" width="7.44140625" style="343" customWidth="1"/>
    <col min="6894" max="6894" width="8.109375" style="343" customWidth="1"/>
    <col min="6895" max="6895" width="8.33203125" style="343" customWidth="1"/>
    <col min="6896" max="6897" width="5" style="343" customWidth="1"/>
    <col min="6898" max="6898" width="5.33203125" style="343" customWidth="1"/>
    <col min="6899" max="6899" width="6" style="343" customWidth="1"/>
    <col min="6900" max="6901" width="6.6640625" style="343" customWidth="1"/>
    <col min="6902" max="6902" width="7.77734375" style="343" customWidth="1"/>
    <col min="6903" max="6903" width="7.6640625" style="343" customWidth="1"/>
    <col min="6904" max="6904" width="6.6640625" style="343" customWidth="1"/>
    <col min="6905" max="6905" width="5.109375" style="343" customWidth="1"/>
    <col min="6906" max="6906" width="5.33203125" style="343" customWidth="1"/>
    <col min="6907" max="6907" width="5.44140625" style="343" customWidth="1"/>
    <col min="6908" max="6911" width="6.6640625" style="343" customWidth="1"/>
    <col min="6912" max="6912" width="6.77734375" style="343" customWidth="1"/>
    <col min="6913" max="6913" width="5.109375" style="343" customWidth="1"/>
    <col min="6914" max="6914" width="7.109375" style="343" customWidth="1"/>
    <col min="6915" max="6915" width="6.109375" style="343" customWidth="1"/>
    <col min="6916" max="6916" width="7.109375" style="343" customWidth="1"/>
    <col min="6917" max="6917" width="6.44140625" style="343" customWidth="1"/>
    <col min="6918" max="6921" width="7.109375" style="343" customWidth="1"/>
    <col min="6922" max="6922" width="7.44140625" style="343" customWidth="1"/>
    <col min="6923" max="6923" width="7.88671875" style="343" customWidth="1"/>
    <col min="6924" max="6925" width="6.88671875" style="343" customWidth="1"/>
    <col min="6926" max="6929" width="7.109375" style="343" customWidth="1"/>
    <col min="6930" max="6930" width="7.44140625" style="343" customWidth="1"/>
    <col min="6931" max="6931" width="7.109375" style="343" customWidth="1"/>
    <col min="6932" max="6932" width="5.21875" style="343" customWidth="1"/>
    <col min="6933" max="6941" width="10.6640625" style="343" customWidth="1"/>
    <col min="6942" max="6945" width="8.6640625" style="343" customWidth="1"/>
    <col min="6946" max="7147" width="9" style="343"/>
    <col min="7148" max="7148" width="5.44140625" style="343" customWidth="1"/>
    <col min="7149" max="7149" width="7.44140625" style="343" customWidth="1"/>
    <col min="7150" max="7150" width="8.109375" style="343" customWidth="1"/>
    <col min="7151" max="7151" width="8.33203125" style="343" customWidth="1"/>
    <col min="7152" max="7153" width="5" style="343" customWidth="1"/>
    <col min="7154" max="7154" width="5.33203125" style="343" customWidth="1"/>
    <col min="7155" max="7155" width="6" style="343" customWidth="1"/>
    <col min="7156" max="7157" width="6.6640625" style="343" customWidth="1"/>
    <col min="7158" max="7158" width="7.77734375" style="343" customWidth="1"/>
    <col min="7159" max="7159" width="7.6640625" style="343" customWidth="1"/>
    <col min="7160" max="7160" width="6.6640625" style="343" customWidth="1"/>
    <col min="7161" max="7161" width="5.109375" style="343" customWidth="1"/>
    <col min="7162" max="7162" width="5.33203125" style="343" customWidth="1"/>
    <col min="7163" max="7163" width="5.44140625" style="343" customWidth="1"/>
    <col min="7164" max="7167" width="6.6640625" style="343" customWidth="1"/>
    <col min="7168" max="7168" width="6.77734375" style="343" customWidth="1"/>
    <col min="7169" max="7169" width="5.109375" style="343" customWidth="1"/>
    <col min="7170" max="7170" width="7.109375" style="343" customWidth="1"/>
    <col min="7171" max="7171" width="6.109375" style="343" customWidth="1"/>
    <col min="7172" max="7172" width="7.109375" style="343" customWidth="1"/>
    <col min="7173" max="7173" width="6.44140625" style="343" customWidth="1"/>
    <col min="7174" max="7177" width="7.109375" style="343" customWidth="1"/>
    <col min="7178" max="7178" width="7.44140625" style="343" customWidth="1"/>
    <col min="7179" max="7179" width="7.88671875" style="343" customWidth="1"/>
    <col min="7180" max="7181" width="6.88671875" style="343" customWidth="1"/>
    <col min="7182" max="7185" width="7.109375" style="343" customWidth="1"/>
    <col min="7186" max="7186" width="7.44140625" style="343" customWidth="1"/>
    <col min="7187" max="7187" width="7.109375" style="343" customWidth="1"/>
    <col min="7188" max="7188" width="5.21875" style="343" customWidth="1"/>
    <col min="7189" max="7197" width="10.6640625" style="343" customWidth="1"/>
    <col min="7198" max="7201" width="8.6640625" style="343" customWidth="1"/>
    <col min="7202" max="7403" width="9" style="343"/>
    <col min="7404" max="7404" width="5.44140625" style="343" customWidth="1"/>
    <col min="7405" max="7405" width="7.44140625" style="343" customWidth="1"/>
    <col min="7406" max="7406" width="8.109375" style="343" customWidth="1"/>
    <col min="7407" max="7407" width="8.33203125" style="343" customWidth="1"/>
    <col min="7408" max="7409" width="5" style="343" customWidth="1"/>
    <col min="7410" max="7410" width="5.33203125" style="343" customWidth="1"/>
    <col min="7411" max="7411" width="6" style="343" customWidth="1"/>
    <col min="7412" max="7413" width="6.6640625" style="343" customWidth="1"/>
    <col min="7414" max="7414" width="7.77734375" style="343" customWidth="1"/>
    <col min="7415" max="7415" width="7.6640625" style="343" customWidth="1"/>
    <col min="7416" max="7416" width="6.6640625" style="343" customWidth="1"/>
    <col min="7417" max="7417" width="5.109375" style="343" customWidth="1"/>
    <col min="7418" max="7418" width="5.33203125" style="343" customWidth="1"/>
    <col min="7419" max="7419" width="5.44140625" style="343" customWidth="1"/>
    <col min="7420" max="7423" width="6.6640625" style="343" customWidth="1"/>
    <col min="7424" max="7424" width="6.77734375" style="343" customWidth="1"/>
    <col min="7425" max="7425" width="5.109375" style="343" customWidth="1"/>
    <col min="7426" max="7426" width="7.109375" style="343" customWidth="1"/>
    <col min="7427" max="7427" width="6.109375" style="343" customWidth="1"/>
    <col min="7428" max="7428" width="7.109375" style="343" customWidth="1"/>
    <col min="7429" max="7429" width="6.44140625" style="343" customWidth="1"/>
    <col min="7430" max="7433" width="7.109375" style="343" customWidth="1"/>
    <col min="7434" max="7434" width="7.44140625" style="343" customWidth="1"/>
    <col min="7435" max="7435" width="7.88671875" style="343" customWidth="1"/>
    <col min="7436" max="7437" width="6.88671875" style="343" customWidth="1"/>
    <col min="7438" max="7441" width="7.109375" style="343" customWidth="1"/>
    <col min="7442" max="7442" width="7.44140625" style="343" customWidth="1"/>
    <col min="7443" max="7443" width="7.109375" style="343" customWidth="1"/>
    <col min="7444" max="7444" width="5.21875" style="343" customWidth="1"/>
    <col min="7445" max="7453" width="10.6640625" style="343" customWidth="1"/>
    <col min="7454" max="7457" width="8.6640625" style="343" customWidth="1"/>
    <col min="7458" max="7659" width="9" style="343"/>
    <col min="7660" max="7660" width="5.44140625" style="343" customWidth="1"/>
    <col min="7661" max="7661" width="7.44140625" style="343" customWidth="1"/>
    <col min="7662" max="7662" width="8.109375" style="343" customWidth="1"/>
    <col min="7663" max="7663" width="8.33203125" style="343" customWidth="1"/>
    <col min="7664" max="7665" width="5" style="343" customWidth="1"/>
    <col min="7666" max="7666" width="5.33203125" style="343" customWidth="1"/>
    <col min="7667" max="7667" width="6" style="343" customWidth="1"/>
    <col min="7668" max="7669" width="6.6640625" style="343" customWidth="1"/>
    <col min="7670" max="7670" width="7.77734375" style="343" customWidth="1"/>
    <col min="7671" max="7671" width="7.6640625" style="343" customWidth="1"/>
    <col min="7672" max="7672" width="6.6640625" style="343" customWidth="1"/>
    <col min="7673" max="7673" width="5.109375" style="343" customWidth="1"/>
    <col min="7674" max="7674" width="5.33203125" style="343" customWidth="1"/>
    <col min="7675" max="7675" width="5.44140625" style="343" customWidth="1"/>
    <col min="7676" max="7679" width="6.6640625" style="343" customWidth="1"/>
    <col min="7680" max="7680" width="6.77734375" style="343" customWidth="1"/>
    <col min="7681" max="7681" width="5.109375" style="343" customWidth="1"/>
    <col min="7682" max="7682" width="7.109375" style="343" customWidth="1"/>
    <col min="7683" max="7683" width="6.109375" style="343" customWidth="1"/>
    <col min="7684" max="7684" width="7.109375" style="343" customWidth="1"/>
    <col min="7685" max="7685" width="6.44140625" style="343" customWidth="1"/>
    <col min="7686" max="7689" width="7.109375" style="343" customWidth="1"/>
    <col min="7690" max="7690" width="7.44140625" style="343" customWidth="1"/>
    <col min="7691" max="7691" width="7.88671875" style="343" customWidth="1"/>
    <col min="7692" max="7693" width="6.88671875" style="343" customWidth="1"/>
    <col min="7694" max="7697" width="7.109375" style="343" customWidth="1"/>
    <col min="7698" max="7698" width="7.44140625" style="343" customWidth="1"/>
    <col min="7699" max="7699" width="7.109375" style="343" customWidth="1"/>
    <col min="7700" max="7700" width="5.21875" style="343" customWidth="1"/>
    <col min="7701" max="7709" width="10.6640625" style="343" customWidth="1"/>
    <col min="7710" max="7713" width="8.6640625" style="343" customWidth="1"/>
    <col min="7714" max="7915" width="9" style="343"/>
    <col min="7916" max="7916" width="5.44140625" style="343" customWidth="1"/>
    <col min="7917" max="7917" width="7.44140625" style="343" customWidth="1"/>
    <col min="7918" max="7918" width="8.109375" style="343" customWidth="1"/>
    <col min="7919" max="7919" width="8.33203125" style="343" customWidth="1"/>
    <col min="7920" max="7921" width="5" style="343" customWidth="1"/>
    <col min="7922" max="7922" width="5.33203125" style="343" customWidth="1"/>
    <col min="7923" max="7923" width="6" style="343" customWidth="1"/>
    <col min="7924" max="7925" width="6.6640625" style="343" customWidth="1"/>
    <col min="7926" max="7926" width="7.77734375" style="343" customWidth="1"/>
    <col min="7927" max="7927" width="7.6640625" style="343" customWidth="1"/>
    <col min="7928" max="7928" width="6.6640625" style="343" customWidth="1"/>
    <col min="7929" max="7929" width="5.109375" style="343" customWidth="1"/>
    <col min="7930" max="7930" width="5.33203125" style="343" customWidth="1"/>
    <col min="7931" max="7931" width="5.44140625" style="343" customWidth="1"/>
    <col min="7932" max="7935" width="6.6640625" style="343" customWidth="1"/>
    <col min="7936" max="7936" width="6.77734375" style="343" customWidth="1"/>
    <col min="7937" max="7937" width="5.109375" style="343" customWidth="1"/>
    <col min="7938" max="7938" width="7.109375" style="343" customWidth="1"/>
    <col min="7939" max="7939" width="6.109375" style="343" customWidth="1"/>
    <col min="7940" max="7940" width="7.109375" style="343" customWidth="1"/>
    <col min="7941" max="7941" width="6.44140625" style="343" customWidth="1"/>
    <col min="7942" max="7945" width="7.109375" style="343" customWidth="1"/>
    <col min="7946" max="7946" width="7.44140625" style="343" customWidth="1"/>
    <col min="7947" max="7947" width="7.88671875" style="343" customWidth="1"/>
    <col min="7948" max="7949" width="6.88671875" style="343" customWidth="1"/>
    <col min="7950" max="7953" width="7.109375" style="343" customWidth="1"/>
    <col min="7954" max="7954" width="7.44140625" style="343" customWidth="1"/>
    <col min="7955" max="7955" width="7.109375" style="343" customWidth="1"/>
    <col min="7956" max="7956" width="5.21875" style="343" customWidth="1"/>
    <col min="7957" max="7965" width="10.6640625" style="343" customWidth="1"/>
    <col min="7966" max="7969" width="8.6640625" style="343" customWidth="1"/>
    <col min="7970" max="8171" width="9" style="343"/>
    <col min="8172" max="8172" width="5.44140625" style="343" customWidth="1"/>
    <col min="8173" max="8173" width="7.44140625" style="343" customWidth="1"/>
    <col min="8174" max="8174" width="8.109375" style="343" customWidth="1"/>
    <col min="8175" max="8175" width="8.33203125" style="343" customWidth="1"/>
    <col min="8176" max="8177" width="5" style="343" customWidth="1"/>
    <col min="8178" max="8178" width="5.33203125" style="343" customWidth="1"/>
    <col min="8179" max="8179" width="6" style="343" customWidth="1"/>
    <col min="8180" max="8181" width="6.6640625" style="343" customWidth="1"/>
    <col min="8182" max="8182" width="7.77734375" style="343" customWidth="1"/>
    <col min="8183" max="8183" width="7.6640625" style="343" customWidth="1"/>
    <col min="8184" max="8184" width="6.6640625" style="343" customWidth="1"/>
    <col min="8185" max="8185" width="5.109375" style="343" customWidth="1"/>
    <col min="8186" max="8186" width="5.33203125" style="343" customWidth="1"/>
    <col min="8187" max="8187" width="5.44140625" style="343" customWidth="1"/>
    <col min="8188" max="8191" width="6.6640625" style="343" customWidth="1"/>
    <col min="8192" max="8192" width="6.77734375" style="343" customWidth="1"/>
    <col min="8193" max="8193" width="5.109375" style="343" customWidth="1"/>
    <col min="8194" max="8194" width="7.109375" style="343" customWidth="1"/>
    <col min="8195" max="8195" width="6.109375" style="343" customWidth="1"/>
    <col min="8196" max="8196" width="7.109375" style="343" customWidth="1"/>
    <col min="8197" max="8197" width="6.44140625" style="343" customWidth="1"/>
    <col min="8198" max="8201" width="7.109375" style="343" customWidth="1"/>
    <col min="8202" max="8202" width="7.44140625" style="343" customWidth="1"/>
    <col min="8203" max="8203" width="7.88671875" style="343" customWidth="1"/>
    <col min="8204" max="8205" width="6.88671875" style="343" customWidth="1"/>
    <col min="8206" max="8209" width="7.109375" style="343" customWidth="1"/>
    <col min="8210" max="8210" width="7.44140625" style="343" customWidth="1"/>
    <col min="8211" max="8211" width="7.109375" style="343" customWidth="1"/>
    <col min="8212" max="8212" width="5.21875" style="343" customWidth="1"/>
    <col min="8213" max="8221" width="10.6640625" style="343" customWidth="1"/>
    <col min="8222" max="8225" width="8.6640625" style="343" customWidth="1"/>
    <col min="8226" max="8427" width="9" style="343"/>
    <col min="8428" max="8428" width="5.44140625" style="343" customWidth="1"/>
    <col min="8429" max="8429" width="7.44140625" style="343" customWidth="1"/>
    <col min="8430" max="8430" width="8.109375" style="343" customWidth="1"/>
    <col min="8431" max="8431" width="8.33203125" style="343" customWidth="1"/>
    <col min="8432" max="8433" width="5" style="343" customWidth="1"/>
    <col min="8434" max="8434" width="5.33203125" style="343" customWidth="1"/>
    <col min="8435" max="8435" width="6" style="343" customWidth="1"/>
    <col min="8436" max="8437" width="6.6640625" style="343" customWidth="1"/>
    <col min="8438" max="8438" width="7.77734375" style="343" customWidth="1"/>
    <col min="8439" max="8439" width="7.6640625" style="343" customWidth="1"/>
    <col min="8440" max="8440" width="6.6640625" style="343" customWidth="1"/>
    <col min="8441" max="8441" width="5.109375" style="343" customWidth="1"/>
    <col min="8442" max="8442" width="5.33203125" style="343" customWidth="1"/>
    <col min="8443" max="8443" width="5.44140625" style="343" customWidth="1"/>
    <col min="8444" max="8447" width="6.6640625" style="343" customWidth="1"/>
    <col min="8448" max="8448" width="6.77734375" style="343" customWidth="1"/>
    <col min="8449" max="8449" width="5.109375" style="343" customWidth="1"/>
    <col min="8450" max="8450" width="7.109375" style="343" customWidth="1"/>
    <col min="8451" max="8451" width="6.109375" style="343" customWidth="1"/>
    <col min="8452" max="8452" width="7.109375" style="343" customWidth="1"/>
    <col min="8453" max="8453" width="6.44140625" style="343" customWidth="1"/>
    <col min="8454" max="8457" width="7.109375" style="343" customWidth="1"/>
    <col min="8458" max="8458" width="7.44140625" style="343" customWidth="1"/>
    <col min="8459" max="8459" width="7.88671875" style="343" customWidth="1"/>
    <col min="8460" max="8461" width="6.88671875" style="343" customWidth="1"/>
    <col min="8462" max="8465" width="7.109375" style="343" customWidth="1"/>
    <col min="8466" max="8466" width="7.44140625" style="343" customWidth="1"/>
    <col min="8467" max="8467" width="7.109375" style="343" customWidth="1"/>
    <col min="8468" max="8468" width="5.21875" style="343" customWidth="1"/>
    <col min="8469" max="8477" width="10.6640625" style="343" customWidth="1"/>
    <col min="8478" max="8481" width="8.6640625" style="343" customWidth="1"/>
    <col min="8482" max="8683" width="9" style="343"/>
    <col min="8684" max="8684" width="5.44140625" style="343" customWidth="1"/>
    <col min="8685" max="8685" width="7.44140625" style="343" customWidth="1"/>
    <col min="8686" max="8686" width="8.109375" style="343" customWidth="1"/>
    <col min="8687" max="8687" width="8.33203125" style="343" customWidth="1"/>
    <col min="8688" max="8689" width="5" style="343" customWidth="1"/>
    <col min="8690" max="8690" width="5.33203125" style="343" customWidth="1"/>
    <col min="8691" max="8691" width="6" style="343" customWidth="1"/>
    <col min="8692" max="8693" width="6.6640625" style="343" customWidth="1"/>
    <col min="8694" max="8694" width="7.77734375" style="343" customWidth="1"/>
    <col min="8695" max="8695" width="7.6640625" style="343" customWidth="1"/>
    <col min="8696" max="8696" width="6.6640625" style="343" customWidth="1"/>
    <col min="8697" max="8697" width="5.109375" style="343" customWidth="1"/>
    <col min="8698" max="8698" width="5.33203125" style="343" customWidth="1"/>
    <col min="8699" max="8699" width="5.44140625" style="343" customWidth="1"/>
    <col min="8700" max="8703" width="6.6640625" style="343" customWidth="1"/>
    <col min="8704" max="8704" width="6.77734375" style="343" customWidth="1"/>
    <col min="8705" max="8705" width="5.109375" style="343" customWidth="1"/>
    <col min="8706" max="8706" width="7.109375" style="343" customWidth="1"/>
    <col min="8707" max="8707" width="6.109375" style="343" customWidth="1"/>
    <col min="8708" max="8708" width="7.109375" style="343" customWidth="1"/>
    <col min="8709" max="8709" width="6.44140625" style="343" customWidth="1"/>
    <col min="8710" max="8713" width="7.109375" style="343" customWidth="1"/>
    <col min="8714" max="8714" width="7.44140625" style="343" customWidth="1"/>
    <col min="8715" max="8715" width="7.88671875" style="343" customWidth="1"/>
    <col min="8716" max="8717" width="6.88671875" style="343" customWidth="1"/>
    <col min="8718" max="8721" width="7.109375" style="343" customWidth="1"/>
    <col min="8722" max="8722" width="7.44140625" style="343" customWidth="1"/>
    <col min="8723" max="8723" width="7.109375" style="343" customWidth="1"/>
    <col min="8724" max="8724" width="5.21875" style="343" customWidth="1"/>
    <col min="8725" max="8733" width="10.6640625" style="343" customWidth="1"/>
    <col min="8734" max="8737" width="8.6640625" style="343" customWidth="1"/>
    <col min="8738" max="8939" width="9" style="343"/>
    <col min="8940" max="8940" width="5.44140625" style="343" customWidth="1"/>
    <col min="8941" max="8941" width="7.44140625" style="343" customWidth="1"/>
    <col min="8942" max="8942" width="8.109375" style="343" customWidth="1"/>
    <col min="8943" max="8943" width="8.33203125" style="343" customWidth="1"/>
    <col min="8944" max="8945" width="5" style="343" customWidth="1"/>
    <col min="8946" max="8946" width="5.33203125" style="343" customWidth="1"/>
    <col min="8947" max="8947" width="6" style="343" customWidth="1"/>
    <col min="8948" max="8949" width="6.6640625" style="343" customWidth="1"/>
    <col min="8950" max="8950" width="7.77734375" style="343" customWidth="1"/>
    <col min="8951" max="8951" width="7.6640625" style="343" customWidth="1"/>
    <col min="8952" max="8952" width="6.6640625" style="343" customWidth="1"/>
    <col min="8953" max="8953" width="5.109375" style="343" customWidth="1"/>
    <col min="8954" max="8954" width="5.33203125" style="343" customWidth="1"/>
    <col min="8955" max="8955" width="5.44140625" style="343" customWidth="1"/>
    <col min="8956" max="8959" width="6.6640625" style="343" customWidth="1"/>
    <col min="8960" max="8960" width="6.77734375" style="343" customWidth="1"/>
    <col min="8961" max="8961" width="5.109375" style="343" customWidth="1"/>
    <col min="8962" max="8962" width="7.109375" style="343" customWidth="1"/>
    <col min="8963" max="8963" width="6.109375" style="343" customWidth="1"/>
    <col min="8964" max="8964" width="7.109375" style="343" customWidth="1"/>
    <col min="8965" max="8965" width="6.44140625" style="343" customWidth="1"/>
    <col min="8966" max="8969" width="7.109375" style="343" customWidth="1"/>
    <col min="8970" max="8970" width="7.44140625" style="343" customWidth="1"/>
    <col min="8971" max="8971" width="7.88671875" style="343" customWidth="1"/>
    <col min="8972" max="8973" width="6.88671875" style="343" customWidth="1"/>
    <col min="8974" max="8977" width="7.109375" style="343" customWidth="1"/>
    <col min="8978" max="8978" width="7.44140625" style="343" customWidth="1"/>
    <col min="8979" max="8979" width="7.109375" style="343" customWidth="1"/>
    <col min="8980" max="8980" width="5.21875" style="343" customWidth="1"/>
    <col min="8981" max="8989" width="10.6640625" style="343" customWidth="1"/>
    <col min="8990" max="8993" width="8.6640625" style="343" customWidth="1"/>
    <col min="8994" max="9195" width="9" style="343"/>
    <col min="9196" max="9196" width="5.44140625" style="343" customWidth="1"/>
    <col min="9197" max="9197" width="7.44140625" style="343" customWidth="1"/>
    <col min="9198" max="9198" width="8.109375" style="343" customWidth="1"/>
    <col min="9199" max="9199" width="8.33203125" style="343" customWidth="1"/>
    <col min="9200" max="9201" width="5" style="343" customWidth="1"/>
    <col min="9202" max="9202" width="5.33203125" style="343" customWidth="1"/>
    <col min="9203" max="9203" width="6" style="343" customWidth="1"/>
    <col min="9204" max="9205" width="6.6640625" style="343" customWidth="1"/>
    <col min="9206" max="9206" width="7.77734375" style="343" customWidth="1"/>
    <col min="9207" max="9207" width="7.6640625" style="343" customWidth="1"/>
    <col min="9208" max="9208" width="6.6640625" style="343" customWidth="1"/>
    <col min="9209" max="9209" width="5.109375" style="343" customWidth="1"/>
    <col min="9210" max="9210" width="5.33203125" style="343" customWidth="1"/>
    <col min="9211" max="9211" width="5.44140625" style="343" customWidth="1"/>
    <col min="9212" max="9215" width="6.6640625" style="343" customWidth="1"/>
    <col min="9216" max="9216" width="6.77734375" style="343" customWidth="1"/>
    <col min="9217" max="9217" width="5.109375" style="343" customWidth="1"/>
    <col min="9218" max="9218" width="7.109375" style="343" customWidth="1"/>
    <col min="9219" max="9219" width="6.109375" style="343" customWidth="1"/>
    <col min="9220" max="9220" width="7.109375" style="343" customWidth="1"/>
    <col min="9221" max="9221" width="6.44140625" style="343" customWidth="1"/>
    <col min="9222" max="9225" width="7.109375" style="343" customWidth="1"/>
    <col min="9226" max="9226" width="7.44140625" style="343" customWidth="1"/>
    <col min="9227" max="9227" width="7.88671875" style="343" customWidth="1"/>
    <col min="9228" max="9229" width="6.88671875" style="343" customWidth="1"/>
    <col min="9230" max="9233" width="7.109375" style="343" customWidth="1"/>
    <col min="9234" max="9234" width="7.44140625" style="343" customWidth="1"/>
    <col min="9235" max="9235" width="7.109375" style="343" customWidth="1"/>
    <col min="9236" max="9236" width="5.21875" style="343" customWidth="1"/>
    <col min="9237" max="9245" width="10.6640625" style="343" customWidth="1"/>
    <col min="9246" max="9249" width="8.6640625" style="343" customWidth="1"/>
    <col min="9250" max="9451" width="9" style="343"/>
    <col min="9452" max="9452" width="5.44140625" style="343" customWidth="1"/>
    <col min="9453" max="9453" width="7.44140625" style="343" customWidth="1"/>
    <col min="9454" max="9454" width="8.109375" style="343" customWidth="1"/>
    <col min="9455" max="9455" width="8.33203125" style="343" customWidth="1"/>
    <col min="9456" max="9457" width="5" style="343" customWidth="1"/>
    <col min="9458" max="9458" width="5.33203125" style="343" customWidth="1"/>
    <col min="9459" max="9459" width="6" style="343" customWidth="1"/>
    <col min="9460" max="9461" width="6.6640625" style="343" customWidth="1"/>
    <col min="9462" max="9462" width="7.77734375" style="343" customWidth="1"/>
    <col min="9463" max="9463" width="7.6640625" style="343" customWidth="1"/>
    <col min="9464" max="9464" width="6.6640625" style="343" customWidth="1"/>
    <col min="9465" max="9465" width="5.109375" style="343" customWidth="1"/>
    <col min="9466" max="9466" width="5.33203125" style="343" customWidth="1"/>
    <col min="9467" max="9467" width="5.44140625" style="343" customWidth="1"/>
    <col min="9468" max="9471" width="6.6640625" style="343" customWidth="1"/>
    <col min="9472" max="9472" width="6.77734375" style="343" customWidth="1"/>
    <col min="9473" max="9473" width="5.109375" style="343" customWidth="1"/>
    <col min="9474" max="9474" width="7.109375" style="343" customWidth="1"/>
    <col min="9475" max="9475" width="6.109375" style="343" customWidth="1"/>
    <col min="9476" max="9476" width="7.109375" style="343" customWidth="1"/>
    <col min="9477" max="9477" width="6.44140625" style="343" customWidth="1"/>
    <col min="9478" max="9481" width="7.109375" style="343" customWidth="1"/>
    <col min="9482" max="9482" width="7.44140625" style="343" customWidth="1"/>
    <col min="9483" max="9483" width="7.88671875" style="343" customWidth="1"/>
    <col min="9484" max="9485" width="6.88671875" style="343" customWidth="1"/>
    <col min="9486" max="9489" width="7.109375" style="343" customWidth="1"/>
    <col min="9490" max="9490" width="7.44140625" style="343" customWidth="1"/>
    <col min="9491" max="9491" width="7.109375" style="343" customWidth="1"/>
    <col min="9492" max="9492" width="5.21875" style="343" customWidth="1"/>
    <col min="9493" max="9501" width="10.6640625" style="343" customWidth="1"/>
    <col min="9502" max="9505" width="8.6640625" style="343" customWidth="1"/>
    <col min="9506" max="9707" width="9" style="343"/>
    <col min="9708" max="9708" width="5.44140625" style="343" customWidth="1"/>
    <col min="9709" max="9709" width="7.44140625" style="343" customWidth="1"/>
    <col min="9710" max="9710" width="8.109375" style="343" customWidth="1"/>
    <col min="9711" max="9711" width="8.33203125" style="343" customWidth="1"/>
    <col min="9712" max="9713" width="5" style="343" customWidth="1"/>
    <col min="9714" max="9714" width="5.33203125" style="343" customWidth="1"/>
    <col min="9715" max="9715" width="6" style="343" customWidth="1"/>
    <col min="9716" max="9717" width="6.6640625" style="343" customWidth="1"/>
    <col min="9718" max="9718" width="7.77734375" style="343" customWidth="1"/>
    <col min="9719" max="9719" width="7.6640625" style="343" customWidth="1"/>
    <col min="9720" max="9720" width="6.6640625" style="343" customWidth="1"/>
    <col min="9721" max="9721" width="5.109375" style="343" customWidth="1"/>
    <col min="9722" max="9722" width="5.33203125" style="343" customWidth="1"/>
    <col min="9723" max="9723" width="5.44140625" style="343" customWidth="1"/>
    <col min="9724" max="9727" width="6.6640625" style="343" customWidth="1"/>
    <col min="9728" max="9728" width="6.77734375" style="343" customWidth="1"/>
    <col min="9729" max="9729" width="5.109375" style="343" customWidth="1"/>
    <col min="9730" max="9730" width="7.109375" style="343" customWidth="1"/>
    <col min="9731" max="9731" width="6.109375" style="343" customWidth="1"/>
    <col min="9732" max="9732" width="7.109375" style="343" customWidth="1"/>
    <col min="9733" max="9733" width="6.44140625" style="343" customWidth="1"/>
    <col min="9734" max="9737" width="7.109375" style="343" customWidth="1"/>
    <col min="9738" max="9738" width="7.44140625" style="343" customWidth="1"/>
    <col min="9739" max="9739" width="7.88671875" style="343" customWidth="1"/>
    <col min="9740" max="9741" width="6.88671875" style="343" customWidth="1"/>
    <col min="9742" max="9745" width="7.109375" style="343" customWidth="1"/>
    <col min="9746" max="9746" width="7.44140625" style="343" customWidth="1"/>
    <col min="9747" max="9747" width="7.109375" style="343" customWidth="1"/>
    <col min="9748" max="9748" width="5.21875" style="343" customWidth="1"/>
    <col min="9749" max="9757" width="10.6640625" style="343" customWidth="1"/>
    <col min="9758" max="9761" width="8.6640625" style="343" customWidth="1"/>
    <col min="9762" max="9963" width="9" style="343"/>
    <col min="9964" max="9964" width="5.44140625" style="343" customWidth="1"/>
    <col min="9965" max="9965" width="7.44140625" style="343" customWidth="1"/>
    <col min="9966" max="9966" width="8.109375" style="343" customWidth="1"/>
    <col min="9967" max="9967" width="8.33203125" style="343" customWidth="1"/>
    <col min="9968" max="9969" width="5" style="343" customWidth="1"/>
    <col min="9970" max="9970" width="5.33203125" style="343" customWidth="1"/>
    <col min="9971" max="9971" width="6" style="343" customWidth="1"/>
    <col min="9972" max="9973" width="6.6640625" style="343" customWidth="1"/>
    <col min="9974" max="9974" width="7.77734375" style="343" customWidth="1"/>
    <col min="9975" max="9975" width="7.6640625" style="343" customWidth="1"/>
    <col min="9976" max="9976" width="6.6640625" style="343" customWidth="1"/>
    <col min="9977" max="9977" width="5.109375" style="343" customWidth="1"/>
    <col min="9978" max="9978" width="5.33203125" style="343" customWidth="1"/>
    <col min="9979" max="9979" width="5.44140625" style="343" customWidth="1"/>
    <col min="9980" max="9983" width="6.6640625" style="343" customWidth="1"/>
    <col min="9984" max="9984" width="6.77734375" style="343" customWidth="1"/>
    <col min="9985" max="9985" width="5.109375" style="343" customWidth="1"/>
    <col min="9986" max="9986" width="7.109375" style="343" customWidth="1"/>
    <col min="9987" max="9987" width="6.109375" style="343" customWidth="1"/>
    <col min="9988" max="9988" width="7.109375" style="343" customWidth="1"/>
    <col min="9989" max="9989" width="6.44140625" style="343" customWidth="1"/>
    <col min="9990" max="9993" width="7.109375" style="343" customWidth="1"/>
    <col min="9994" max="9994" width="7.44140625" style="343" customWidth="1"/>
    <col min="9995" max="9995" width="7.88671875" style="343" customWidth="1"/>
    <col min="9996" max="9997" width="6.88671875" style="343" customWidth="1"/>
    <col min="9998" max="10001" width="7.109375" style="343" customWidth="1"/>
    <col min="10002" max="10002" width="7.44140625" style="343" customWidth="1"/>
    <col min="10003" max="10003" width="7.109375" style="343" customWidth="1"/>
    <col min="10004" max="10004" width="5.21875" style="343" customWidth="1"/>
    <col min="10005" max="10013" width="10.6640625" style="343" customWidth="1"/>
    <col min="10014" max="10017" width="8.6640625" style="343" customWidth="1"/>
    <col min="10018" max="10219" width="9" style="343"/>
    <col min="10220" max="10220" width="5.44140625" style="343" customWidth="1"/>
    <col min="10221" max="10221" width="7.44140625" style="343" customWidth="1"/>
    <col min="10222" max="10222" width="8.109375" style="343" customWidth="1"/>
    <col min="10223" max="10223" width="8.33203125" style="343" customWidth="1"/>
    <col min="10224" max="10225" width="5" style="343" customWidth="1"/>
    <col min="10226" max="10226" width="5.33203125" style="343" customWidth="1"/>
    <col min="10227" max="10227" width="6" style="343" customWidth="1"/>
    <col min="10228" max="10229" width="6.6640625" style="343" customWidth="1"/>
    <col min="10230" max="10230" width="7.77734375" style="343" customWidth="1"/>
    <col min="10231" max="10231" width="7.6640625" style="343" customWidth="1"/>
    <col min="10232" max="10232" width="6.6640625" style="343" customWidth="1"/>
    <col min="10233" max="10233" width="5.109375" style="343" customWidth="1"/>
    <col min="10234" max="10234" width="5.33203125" style="343" customWidth="1"/>
    <col min="10235" max="10235" width="5.44140625" style="343" customWidth="1"/>
    <col min="10236" max="10239" width="6.6640625" style="343" customWidth="1"/>
    <col min="10240" max="10240" width="6.77734375" style="343" customWidth="1"/>
    <col min="10241" max="10241" width="5.109375" style="343" customWidth="1"/>
    <col min="10242" max="10242" width="7.109375" style="343" customWidth="1"/>
    <col min="10243" max="10243" width="6.109375" style="343" customWidth="1"/>
    <col min="10244" max="10244" width="7.109375" style="343" customWidth="1"/>
    <col min="10245" max="10245" width="6.44140625" style="343" customWidth="1"/>
    <col min="10246" max="10249" width="7.109375" style="343" customWidth="1"/>
    <col min="10250" max="10250" width="7.44140625" style="343" customWidth="1"/>
    <col min="10251" max="10251" width="7.88671875" style="343" customWidth="1"/>
    <col min="10252" max="10253" width="6.88671875" style="343" customWidth="1"/>
    <col min="10254" max="10257" width="7.109375" style="343" customWidth="1"/>
    <col min="10258" max="10258" width="7.44140625" style="343" customWidth="1"/>
    <col min="10259" max="10259" width="7.109375" style="343" customWidth="1"/>
    <col min="10260" max="10260" width="5.21875" style="343" customWidth="1"/>
    <col min="10261" max="10269" width="10.6640625" style="343" customWidth="1"/>
    <col min="10270" max="10273" width="8.6640625" style="343" customWidth="1"/>
    <col min="10274" max="10475" width="9" style="343"/>
    <col min="10476" max="10476" width="5.44140625" style="343" customWidth="1"/>
    <col min="10477" max="10477" width="7.44140625" style="343" customWidth="1"/>
    <col min="10478" max="10478" width="8.109375" style="343" customWidth="1"/>
    <col min="10479" max="10479" width="8.33203125" style="343" customWidth="1"/>
    <col min="10480" max="10481" width="5" style="343" customWidth="1"/>
    <col min="10482" max="10482" width="5.33203125" style="343" customWidth="1"/>
    <col min="10483" max="10483" width="6" style="343" customWidth="1"/>
    <col min="10484" max="10485" width="6.6640625" style="343" customWidth="1"/>
    <col min="10486" max="10486" width="7.77734375" style="343" customWidth="1"/>
    <col min="10487" max="10487" width="7.6640625" style="343" customWidth="1"/>
    <col min="10488" max="10488" width="6.6640625" style="343" customWidth="1"/>
    <col min="10489" max="10489" width="5.109375" style="343" customWidth="1"/>
    <col min="10490" max="10490" width="5.33203125" style="343" customWidth="1"/>
    <col min="10491" max="10491" width="5.44140625" style="343" customWidth="1"/>
    <col min="10492" max="10495" width="6.6640625" style="343" customWidth="1"/>
    <col min="10496" max="10496" width="6.77734375" style="343" customWidth="1"/>
    <col min="10497" max="10497" width="5.109375" style="343" customWidth="1"/>
    <col min="10498" max="10498" width="7.109375" style="343" customWidth="1"/>
    <col min="10499" max="10499" width="6.109375" style="343" customWidth="1"/>
    <col min="10500" max="10500" width="7.109375" style="343" customWidth="1"/>
    <col min="10501" max="10501" width="6.44140625" style="343" customWidth="1"/>
    <col min="10502" max="10505" width="7.109375" style="343" customWidth="1"/>
    <col min="10506" max="10506" width="7.44140625" style="343" customWidth="1"/>
    <col min="10507" max="10507" width="7.88671875" style="343" customWidth="1"/>
    <col min="10508" max="10509" width="6.88671875" style="343" customWidth="1"/>
    <col min="10510" max="10513" width="7.109375" style="343" customWidth="1"/>
    <col min="10514" max="10514" width="7.44140625" style="343" customWidth="1"/>
    <col min="10515" max="10515" width="7.109375" style="343" customWidth="1"/>
    <col min="10516" max="10516" width="5.21875" style="343" customWidth="1"/>
    <col min="10517" max="10525" width="10.6640625" style="343" customWidth="1"/>
    <col min="10526" max="10529" width="8.6640625" style="343" customWidth="1"/>
    <col min="10530" max="10731" width="9" style="343"/>
    <col min="10732" max="10732" width="5.44140625" style="343" customWidth="1"/>
    <col min="10733" max="10733" width="7.44140625" style="343" customWidth="1"/>
    <col min="10734" max="10734" width="8.109375" style="343" customWidth="1"/>
    <col min="10735" max="10735" width="8.33203125" style="343" customWidth="1"/>
    <col min="10736" max="10737" width="5" style="343" customWidth="1"/>
    <col min="10738" max="10738" width="5.33203125" style="343" customWidth="1"/>
    <col min="10739" max="10739" width="6" style="343" customWidth="1"/>
    <col min="10740" max="10741" width="6.6640625" style="343" customWidth="1"/>
    <col min="10742" max="10742" width="7.77734375" style="343" customWidth="1"/>
    <col min="10743" max="10743" width="7.6640625" style="343" customWidth="1"/>
    <col min="10744" max="10744" width="6.6640625" style="343" customWidth="1"/>
    <col min="10745" max="10745" width="5.109375" style="343" customWidth="1"/>
    <col min="10746" max="10746" width="5.33203125" style="343" customWidth="1"/>
    <col min="10747" max="10747" width="5.44140625" style="343" customWidth="1"/>
    <col min="10748" max="10751" width="6.6640625" style="343" customWidth="1"/>
    <col min="10752" max="10752" width="6.77734375" style="343" customWidth="1"/>
    <col min="10753" max="10753" width="5.109375" style="343" customWidth="1"/>
    <col min="10754" max="10754" width="7.109375" style="343" customWidth="1"/>
    <col min="10755" max="10755" width="6.109375" style="343" customWidth="1"/>
    <col min="10756" max="10756" width="7.109375" style="343" customWidth="1"/>
    <col min="10757" max="10757" width="6.44140625" style="343" customWidth="1"/>
    <col min="10758" max="10761" width="7.109375" style="343" customWidth="1"/>
    <col min="10762" max="10762" width="7.44140625" style="343" customWidth="1"/>
    <col min="10763" max="10763" width="7.88671875" style="343" customWidth="1"/>
    <col min="10764" max="10765" width="6.88671875" style="343" customWidth="1"/>
    <col min="10766" max="10769" width="7.109375" style="343" customWidth="1"/>
    <col min="10770" max="10770" width="7.44140625" style="343" customWidth="1"/>
    <col min="10771" max="10771" width="7.109375" style="343" customWidth="1"/>
    <col min="10772" max="10772" width="5.21875" style="343" customWidth="1"/>
    <col min="10773" max="10781" width="10.6640625" style="343" customWidth="1"/>
    <col min="10782" max="10785" width="8.6640625" style="343" customWidth="1"/>
    <col min="10786" max="10987" width="9" style="343"/>
    <col min="10988" max="10988" width="5.44140625" style="343" customWidth="1"/>
    <col min="10989" max="10989" width="7.44140625" style="343" customWidth="1"/>
    <col min="10990" max="10990" width="8.109375" style="343" customWidth="1"/>
    <col min="10991" max="10991" width="8.33203125" style="343" customWidth="1"/>
    <col min="10992" max="10993" width="5" style="343" customWidth="1"/>
    <col min="10994" max="10994" width="5.33203125" style="343" customWidth="1"/>
    <col min="10995" max="10995" width="6" style="343" customWidth="1"/>
    <col min="10996" max="10997" width="6.6640625" style="343" customWidth="1"/>
    <col min="10998" max="10998" width="7.77734375" style="343" customWidth="1"/>
    <col min="10999" max="10999" width="7.6640625" style="343" customWidth="1"/>
    <col min="11000" max="11000" width="6.6640625" style="343" customWidth="1"/>
    <col min="11001" max="11001" width="5.109375" style="343" customWidth="1"/>
    <col min="11002" max="11002" width="5.33203125" style="343" customWidth="1"/>
    <col min="11003" max="11003" width="5.44140625" style="343" customWidth="1"/>
    <col min="11004" max="11007" width="6.6640625" style="343" customWidth="1"/>
    <col min="11008" max="11008" width="6.77734375" style="343" customWidth="1"/>
    <col min="11009" max="11009" width="5.109375" style="343" customWidth="1"/>
    <col min="11010" max="11010" width="7.109375" style="343" customWidth="1"/>
    <col min="11011" max="11011" width="6.109375" style="343" customWidth="1"/>
    <col min="11012" max="11012" width="7.109375" style="343" customWidth="1"/>
    <col min="11013" max="11013" width="6.44140625" style="343" customWidth="1"/>
    <col min="11014" max="11017" width="7.109375" style="343" customWidth="1"/>
    <col min="11018" max="11018" width="7.44140625" style="343" customWidth="1"/>
    <col min="11019" max="11019" width="7.88671875" style="343" customWidth="1"/>
    <col min="11020" max="11021" width="6.88671875" style="343" customWidth="1"/>
    <col min="11022" max="11025" width="7.109375" style="343" customWidth="1"/>
    <col min="11026" max="11026" width="7.44140625" style="343" customWidth="1"/>
    <col min="11027" max="11027" width="7.109375" style="343" customWidth="1"/>
    <col min="11028" max="11028" width="5.21875" style="343" customWidth="1"/>
    <col min="11029" max="11037" width="10.6640625" style="343" customWidth="1"/>
    <col min="11038" max="11041" width="8.6640625" style="343" customWidth="1"/>
    <col min="11042" max="11243" width="9" style="343"/>
    <col min="11244" max="11244" width="5.44140625" style="343" customWidth="1"/>
    <col min="11245" max="11245" width="7.44140625" style="343" customWidth="1"/>
    <col min="11246" max="11246" width="8.109375" style="343" customWidth="1"/>
    <col min="11247" max="11247" width="8.33203125" style="343" customWidth="1"/>
    <col min="11248" max="11249" width="5" style="343" customWidth="1"/>
    <col min="11250" max="11250" width="5.33203125" style="343" customWidth="1"/>
    <col min="11251" max="11251" width="6" style="343" customWidth="1"/>
    <col min="11252" max="11253" width="6.6640625" style="343" customWidth="1"/>
    <col min="11254" max="11254" width="7.77734375" style="343" customWidth="1"/>
    <col min="11255" max="11255" width="7.6640625" style="343" customWidth="1"/>
    <col min="11256" max="11256" width="6.6640625" style="343" customWidth="1"/>
    <col min="11257" max="11257" width="5.109375" style="343" customWidth="1"/>
    <col min="11258" max="11258" width="5.33203125" style="343" customWidth="1"/>
    <col min="11259" max="11259" width="5.44140625" style="343" customWidth="1"/>
    <col min="11260" max="11263" width="6.6640625" style="343" customWidth="1"/>
    <col min="11264" max="11264" width="6.77734375" style="343" customWidth="1"/>
    <col min="11265" max="11265" width="5.109375" style="343" customWidth="1"/>
    <col min="11266" max="11266" width="7.109375" style="343" customWidth="1"/>
    <col min="11267" max="11267" width="6.109375" style="343" customWidth="1"/>
    <col min="11268" max="11268" width="7.109375" style="343" customWidth="1"/>
    <col min="11269" max="11269" width="6.44140625" style="343" customWidth="1"/>
    <col min="11270" max="11273" width="7.109375" style="343" customWidth="1"/>
    <col min="11274" max="11274" width="7.44140625" style="343" customWidth="1"/>
    <col min="11275" max="11275" width="7.88671875" style="343" customWidth="1"/>
    <col min="11276" max="11277" width="6.88671875" style="343" customWidth="1"/>
    <col min="11278" max="11281" width="7.109375" style="343" customWidth="1"/>
    <col min="11282" max="11282" width="7.44140625" style="343" customWidth="1"/>
    <col min="11283" max="11283" width="7.109375" style="343" customWidth="1"/>
    <col min="11284" max="11284" width="5.21875" style="343" customWidth="1"/>
    <col min="11285" max="11293" width="10.6640625" style="343" customWidth="1"/>
    <col min="11294" max="11297" width="8.6640625" style="343" customWidth="1"/>
    <col min="11298" max="11499" width="9" style="343"/>
    <col min="11500" max="11500" width="5.44140625" style="343" customWidth="1"/>
    <col min="11501" max="11501" width="7.44140625" style="343" customWidth="1"/>
    <col min="11502" max="11502" width="8.109375" style="343" customWidth="1"/>
    <col min="11503" max="11503" width="8.33203125" style="343" customWidth="1"/>
    <col min="11504" max="11505" width="5" style="343" customWidth="1"/>
    <col min="11506" max="11506" width="5.33203125" style="343" customWidth="1"/>
    <col min="11507" max="11507" width="6" style="343" customWidth="1"/>
    <col min="11508" max="11509" width="6.6640625" style="343" customWidth="1"/>
    <col min="11510" max="11510" width="7.77734375" style="343" customWidth="1"/>
    <col min="11511" max="11511" width="7.6640625" style="343" customWidth="1"/>
    <col min="11512" max="11512" width="6.6640625" style="343" customWidth="1"/>
    <col min="11513" max="11513" width="5.109375" style="343" customWidth="1"/>
    <col min="11514" max="11514" width="5.33203125" style="343" customWidth="1"/>
    <col min="11515" max="11515" width="5.44140625" style="343" customWidth="1"/>
    <col min="11516" max="11519" width="6.6640625" style="343" customWidth="1"/>
    <col min="11520" max="11520" width="6.77734375" style="343" customWidth="1"/>
    <col min="11521" max="11521" width="5.109375" style="343" customWidth="1"/>
    <col min="11522" max="11522" width="7.109375" style="343" customWidth="1"/>
    <col min="11523" max="11523" width="6.109375" style="343" customWidth="1"/>
    <col min="11524" max="11524" width="7.109375" style="343" customWidth="1"/>
    <col min="11525" max="11525" width="6.44140625" style="343" customWidth="1"/>
    <col min="11526" max="11529" width="7.109375" style="343" customWidth="1"/>
    <col min="11530" max="11530" width="7.44140625" style="343" customWidth="1"/>
    <col min="11531" max="11531" width="7.88671875" style="343" customWidth="1"/>
    <col min="11532" max="11533" width="6.88671875" style="343" customWidth="1"/>
    <col min="11534" max="11537" width="7.109375" style="343" customWidth="1"/>
    <col min="11538" max="11538" width="7.44140625" style="343" customWidth="1"/>
    <col min="11539" max="11539" width="7.109375" style="343" customWidth="1"/>
    <col min="11540" max="11540" width="5.21875" style="343" customWidth="1"/>
    <col min="11541" max="11549" width="10.6640625" style="343" customWidth="1"/>
    <col min="11550" max="11553" width="8.6640625" style="343" customWidth="1"/>
    <col min="11554" max="11755" width="9" style="343"/>
    <col min="11756" max="11756" width="5.44140625" style="343" customWidth="1"/>
    <col min="11757" max="11757" width="7.44140625" style="343" customWidth="1"/>
    <col min="11758" max="11758" width="8.109375" style="343" customWidth="1"/>
    <col min="11759" max="11759" width="8.33203125" style="343" customWidth="1"/>
    <col min="11760" max="11761" width="5" style="343" customWidth="1"/>
    <col min="11762" max="11762" width="5.33203125" style="343" customWidth="1"/>
    <col min="11763" max="11763" width="6" style="343" customWidth="1"/>
    <col min="11764" max="11765" width="6.6640625" style="343" customWidth="1"/>
    <col min="11766" max="11766" width="7.77734375" style="343" customWidth="1"/>
    <col min="11767" max="11767" width="7.6640625" style="343" customWidth="1"/>
    <col min="11768" max="11768" width="6.6640625" style="343" customWidth="1"/>
    <col min="11769" max="11769" width="5.109375" style="343" customWidth="1"/>
    <col min="11770" max="11770" width="5.33203125" style="343" customWidth="1"/>
    <col min="11771" max="11771" width="5.44140625" style="343" customWidth="1"/>
    <col min="11772" max="11775" width="6.6640625" style="343" customWidth="1"/>
    <col min="11776" max="11776" width="6.77734375" style="343" customWidth="1"/>
    <col min="11777" max="11777" width="5.109375" style="343" customWidth="1"/>
    <col min="11778" max="11778" width="7.109375" style="343" customWidth="1"/>
    <col min="11779" max="11779" width="6.109375" style="343" customWidth="1"/>
    <col min="11780" max="11780" width="7.109375" style="343" customWidth="1"/>
    <col min="11781" max="11781" width="6.44140625" style="343" customWidth="1"/>
    <col min="11782" max="11785" width="7.109375" style="343" customWidth="1"/>
    <col min="11786" max="11786" width="7.44140625" style="343" customWidth="1"/>
    <col min="11787" max="11787" width="7.88671875" style="343" customWidth="1"/>
    <col min="11788" max="11789" width="6.88671875" style="343" customWidth="1"/>
    <col min="11790" max="11793" width="7.109375" style="343" customWidth="1"/>
    <col min="11794" max="11794" width="7.44140625" style="343" customWidth="1"/>
    <col min="11795" max="11795" width="7.109375" style="343" customWidth="1"/>
    <col min="11796" max="11796" width="5.21875" style="343" customWidth="1"/>
    <col min="11797" max="11805" width="10.6640625" style="343" customWidth="1"/>
    <col min="11806" max="11809" width="8.6640625" style="343" customWidth="1"/>
    <col min="11810" max="12011" width="9" style="343"/>
    <col min="12012" max="12012" width="5.44140625" style="343" customWidth="1"/>
    <col min="12013" max="12013" width="7.44140625" style="343" customWidth="1"/>
    <col min="12014" max="12014" width="8.109375" style="343" customWidth="1"/>
    <col min="12015" max="12015" width="8.33203125" style="343" customWidth="1"/>
    <col min="12016" max="12017" width="5" style="343" customWidth="1"/>
    <col min="12018" max="12018" width="5.33203125" style="343" customWidth="1"/>
    <col min="12019" max="12019" width="6" style="343" customWidth="1"/>
    <col min="12020" max="12021" width="6.6640625" style="343" customWidth="1"/>
    <col min="12022" max="12022" width="7.77734375" style="343" customWidth="1"/>
    <col min="12023" max="12023" width="7.6640625" style="343" customWidth="1"/>
    <col min="12024" max="12024" width="6.6640625" style="343" customWidth="1"/>
    <col min="12025" max="12025" width="5.109375" style="343" customWidth="1"/>
    <col min="12026" max="12026" width="5.33203125" style="343" customWidth="1"/>
    <col min="12027" max="12027" width="5.44140625" style="343" customWidth="1"/>
    <col min="12028" max="12031" width="6.6640625" style="343" customWidth="1"/>
    <col min="12032" max="12032" width="6.77734375" style="343" customWidth="1"/>
    <col min="12033" max="12033" width="5.109375" style="343" customWidth="1"/>
    <col min="12034" max="12034" width="7.109375" style="343" customWidth="1"/>
    <col min="12035" max="12035" width="6.109375" style="343" customWidth="1"/>
    <col min="12036" max="12036" width="7.109375" style="343" customWidth="1"/>
    <col min="12037" max="12037" width="6.44140625" style="343" customWidth="1"/>
    <col min="12038" max="12041" width="7.109375" style="343" customWidth="1"/>
    <col min="12042" max="12042" width="7.44140625" style="343" customWidth="1"/>
    <col min="12043" max="12043" width="7.88671875" style="343" customWidth="1"/>
    <col min="12044" max="12045" width="6.88671875" style="343" customWidth="1"/>
    <col min="12046" max="12049" width="7.109375" style="343" customWidth="1"/>
    <col min="12050" max="12050" width="7.44140625" style="343" customWidth="1"/>
    <col min="12051" max="12051" width="7.109375" style="343" customWidth="1"/>
    <col min="12052" max="12052" width="5.21875" style="343" customWidth="1"/>
    <col min="12053" max="12061" width="10.6640625" style="343" customWidth="1"/>
    <col min="12062" max="12065" width="8.6640625" style="343" customWidth="1"/>
    <col min="12066" max="12267" width="9" style="343"/>
    <col min="12268" max="12268" width="5.44140625" style="343" customWidth="1"/>
    <col min="12269" max="12269" width="7.44140625" style="343" customWidth="1"/>
    <col min="12270" max="12270" width="8.109375" style="343" customWidth="1"/>
    <col min="12271" max="12271" width="8.33203125" style="343" customWidth="1"/>
    <col min="12272" max="12273" width="5" style="343" customWidth="1"/>
    <col min="12274" max="12274" width="5.33203125" style="343" customWidth="1"/>
    <col min="12275" max="12275" width="6" style="343" customWidth="1"/>
    <col min="12276" max="12277" width="6.6640625" style="343" customWidth="1"/>
    <col min="12278" max="12278" width="7.77734375" style="343" customWidth="1"/>
    <col min="12279" max="12279" width="7.6640625" style="343" customWidth="1"/>
    <col min="12280" max="12280" width="6.6640625" style="343" customWidth="1"/>
    <col min="12281" max="12281" width="5.109375" style="343" customWidth="1"/>
    <col min="12282" max="12282" width="5.33203125" style="343" customWidth="1"/>
    <col min="12283" max="12283" width="5.44140625" style="343" customWidth="1"/>
    <col min="12284" max="12287" width="6.6640625" style="343" customWidth="1"/>
    <col min="12288" max="12288" width="6.77734375" style="343" customWidth="1"/>
    <col min="12289" max="12289" width="5.109375" style="343" customWidth="1"/>
    <col min="12290" max="12290" width="7.109375" style="343" customWidth="1"/>
    <col min="12291" max="12291" width="6.109375" style="343" customWidth="1"/>
    <col min="12292" max="12292" width="7.109375" style="343" customWidth="1"/>
    <col min="12293" max="12293" width="6.44140625" style="343" customWidth="1"/>
    <col min="12294" max="12297" width="7.109375" style="343" customWidth="1"/>
    <col min="12298" max="12298" width="7.44140625" style="343" customWidth="1"/>
    <col min="12299" max="12299" width="7.88671875" style="343" customWidth="1"/>
    <col min="12300" max="12301" width="6.88671875" style="343" customWidth="1"/>
    <col min="12302" max="12305" width="7.109375" style="343" customWidth="1"/>
    <col min="12306" max="12306" width="7.44140625" style="343" customWidth="1"/>
    <col min="12307" max="12307" width="7.109375" style="343" customWidth="1"/>
    <col min="12308" max="12308" width="5.21875" style="343" customWidth="1"/>
    <col min="12309" max="12317" width="10.6640625" style="343" customWidth="1"/>
    <col min="12318" max="12321" width="8.6640625" style="343" customWidth="1"/>
    <col min="12322" max="12523" width="9" style="343"/>
    <col min="12524" max="12524" width="5.44140625" style="343" customWidth="1"/>
    <col min="12525" max="12525" width="7.44140625" style="343" customWidth="1"/>
    <col min="12526" max="12526" width="8.109375" style="343" customWidth="1"/>
    <col min="12527" max="12527" width="8.33203125" style="343" customWidth="1"/>
    <col min="12528" max="12529" width="5" style="343" customWidth="1"/>
    <col min="12530" max="12530" width="5.33203125" style="343" customWidth="1"/>
    <col min="12531" max="12531" width="6" style="343" customWidth="1"/>
    <col min="12532" max="12533" width="6.6640625" style="343" customWidth="1"/>
    <col min="12534" max="12534" width="7.77734375" style="343" customWidth="1"/>
    <col min="12535" max="12535" width="7.6640625" style="343" customWidth="1"/>
    <col min="12536" max="12536" width="6.6640625" style="343" customWidth="1"/>
    <col min="12537" max="12537" width="5.109375" style="343" customWidth="1"/>
    <col min="12538" max="12538" width="5.33203125" style="343" customWidth="1"/>
    <col min="12539" max="12539" width="5.44140625" style="343" customWidth="1"/>
    <col min="12540" max="12543" width="6.6640625" style="343" customWidth="1"/>
    <col min="12544" max="12544" width="6.77734375" style="343" customWidth="1"/>
    <col min="12545" max="12545" width="5.109375" style="343" customWidth="1"/>
    <col min="12546" max="12546" width="7.109375" style="343" customWidth="1"/>
    <col min="12547" max="12547" width="6.109375" style="343" customWidth="1"/>
    <col min="12548" max="12548" width="7.109375" style="343" customWidth="1"/>
    <col min="12549" max="12549" width="6.44140625" style="343" customWidth="1"/>
    <col min="12550" max="12553" width="7.109375" style="343" customWidth="1"/>
    <col min="12554" max="12554" width="7.44140625" style="343" customWidth="1"/>
    <col min="12555" max="12555" width="7.88671875" style="343" customWidth="1"/>
    <col min="12556" max="12557" width="6.88671875" style="343" customWidth="1"/>
    <col min="12558" max="12561" width="7.109375" style="343" customWidth="1"/>
    <col min="12562" max="12562" width="7.44140625" style="343" customWidth="1"/>
    <col min="12563" max="12563" width="7.109375" style="343" customWidth="1"/>
    <col min="12564" max="12564" width="5.21875" style="343" customWidth="1"/>
    <col min="12565" max="12573" width="10.6640625" style="343" customWidth="1"/>
    <col min="12574" max="12577" width="8.6640625" style="343" customWidth="1"/>
    <col min="12578" max="12779" width="9" style="343"/>
    <col min="12780" max="12780" width="5.44140625" style="343" customWidth="1"/>
    <col min="12781" max="12781" width="7.44140625" style="343" customWidth="1"/>
    <col min="12782" max="12782" width="8.109375" style="343" customWidth="1"/>
    <col min="12783" max="12783" width="8.33203125" style="343" customWidth="1"/>
    <col min="12784" max="12785" width="5" style="343" customWidth="1"/>
    <col min="12786" max="12786" width="5.33203125" style="343" customWidth="1"/>
    <col min="12787" max="12787" width="6" style="343" customWidth="1"/>
    <col min="12788" max="12789" width="6.6640625" style="343" customWidth="1"/>
    <col min="12790" max="12790" width="7.77734375" style="343" customWidth="1"/>
    <col min="12791" max="12791" width="7.6640625" style="343" customWidth="1"/>
    <col min="12792" max="12792" width="6.6640625" style="343" customWidth="1"/>
    <col min="12793" max="12793" width="5.109375" style="343" customWidth="1"/>
    <col min="12794" max="12794" width="5.33203125" style="343" customWidth="1"/>
    <col min="12795" max="12795" width="5.44140625" style="343" customWidth="1"/>
    <col min="12796" max="12799" width="6.6640625" style="343" customWidth="1"/>
    <col min="12800" max="12800" width="6.77734375" style="343" customWidth="1"/>
    <col min="12801" max="12801" width="5.109375" style="343" customWidth="1"/>
    <col min="12802" max="12802" width="7.109375" style="343" customWidth="1"/>
    <col min="12803" max="12803" width="6.109375" style="343" customWidth="1"/>
    <col min="12804" max="12804" width="7.109375" style="343" customWidth="1"/>
    <col min="12805" max="12805" width="6.44140625" style="343" customWidth="1"/>
    <col min="12806" max="12809" width="7.109375" style="343" customWidth="1"/>
    <col min="12810" max="12810" width="7.44140625" style="343" customWidth="1"/>
    <col min="12811" max="12811" width="7.88671875" style="343" customWidth="1"/>
    <col min="12812" max="12813" width="6.88671875" style="343" customWidth="1"/>
    <col min="12814" max="12817" width="7.109375" style="343" customWidth="1"/>
    <col min="12818" max="12818" width="7.44140625" style="343" customWidth="1"/>
    <col min="12819" max="12819" width="7.109375" style="343" customWidth="1"/>
    <col min="12820" max="12820" width="5.21875" style="343" customWidth="1"/>
    <col min="12821" max="12829" width="10.6640625" style="343" customWidth="1"/>
    <col min="12830" max="12833" width="8.6640625" style="343" customWidth="1"/>
    <col min="12834" max="13035" width="9" style="343"/>
    <col min="13036" max="13036" width="5.44140625" style="343" customWidth="1"/>
    <col min="13037" max="13037" width="7.44140625" style="343" customWidth="1"/>
    <col min="13038" max="13038" width="8.109375" style="343" customWidth="1"/>
    <col min="13039" max="13039" width="8.33203125" style="343" customWidth="1"/>
    <col min="13040" max="13041" width="5" style="343" customWidth="1"/>
    <col min="13042" max="13042" width="5.33203125" style="343" customWidth="1"/>
    <col min="13043" max="13043" width="6" style="343" customWidth="1"/>
    <col min="13044" max="13045" width="6.6640625" style="343" customWidth="1"/>
    <col min="13046" max="13046" width="7.77734375" style="343" customWidth="1"/>
    <col min="13047" max="13047" width="7.6640625" style="343" customWidth="1"/>
    <col min="13048" max="13048" width="6.6640625" style="343" customWidth="1"/>
    <col min="13049" max="13049" width="5.109375" style="343" customWidth="1"/>
    <col min="13050" max="13050" width="5.33203125" style="343" customWidth="1"/>
    <col min="13051" max="13051" width="5.44140625" style="343" customWidth="1"/>
    <col min="13052" max="13055" width="6.6640625" style="343" customWidth="1"/>
    <col min="13056" max="13056" width="6.77734375" style="343" customWidth="1"/>
    <col min="13057" max="13057" width="5.109375" style="343" customWidth="1"/>
    <col min="13058" max="13058" width="7.109375" style="343" customWidth="1"/>
    <col min="13059" max="13059" width="6.109375" style="343" customWidth="1"/>
    <col min="13060" max="13060" width="7.109375" style="343" customWidth="1"/>
    <col min="13061" max="13061" width="6.44140625" style="343" customWidth="1"/>
    <col min="13062" max="13065" width="7.109375" style="343" customWidth="1"/>
    <col min="13066" max="13066" width="7.44140625" style="343" customWidth="1"/>
    <col min="13067" max="13067" width="7.88671875" style="343" customWidth="1"/>
    <col min="13068" max="13069" width="6.88671875" style="343" customWidth="1"/>
    <col min="13070" max="13073" width="7.109375" style="343" customWidth="1"/>
    <col min="13074" max="13074" width="7.44140625" style="343" customWidth="1"/>
    <col min="13075" max="13075" width="7.109375" style="343" customWidth="1"/>
    <col min="13076" max="13076" width="5.21875" style="343" customWidth="1"/>
    <col min="13077" max="13085" width="10.6640625" style="343" customWidth="1"/>
    <col min="13086" max="13089" width="8.6640625" style="343" customWidth="1"/>
    <col min="13090" max="13291" width="9" style="343"/>
    <col min="13292" max="13292" width="5.44140625" style="343" customWidth="1"/>
    <col min="13293" max="13293" width="7.44140625" style="343" customWidth="1"/>
    <col min="13294" max="13294" width="8.109375" style="343" customWidth="1"/>
    <col min="13295" max="13295" width="8.33203125" style="343" customWidth="1"/>
    <col min="13296" max="13297" width="5" style="343" customWidth="1"/>
    <col min="13298" max="13298" width="5.33203125" style="343" customWidth="1"/>
    <col min="13299" max="13299" width="6" style="343" customWidth="1"/>
    <col min="13300" max="13301" width="6.6640625" style="343" customWidth="1"/>
    <col min="13302" max="13302" width="7.77734375" style="343" customWidth="1"/>
    <col min="13303" max="13303" width="7.6640625" style="343" customWidth="1"/>
    <col min="13304" max="13304" width="6.6640625" style="343" customWidth="1"/>
    <col min="13305" max="13305" width="5.109375" style="343" customWidth="1"/>
    <col min="13306" max="13306" width="5.33203125" style="343" customWidth="1"/>
    <col min="13307" max="13307" width="5.44140625" style="343" customWidth="1"/>
    <col min="13308" max="13311" width="6.6640625" style="343" customWidth="1"/>
    <col min="13312" max="13312" width="6.77734375" style="343" customWidth="1"/>
    <col min="13313" max="13313" width="5.109375" style="343" customWidth="1"/>
    <col min="13314" max="13314" width="7.109375" style="343" customWidth="1"/>
    <col min="13315" max="13315" width="6.109375" style="343" customWidth="1"/>
    <col min="13316" max="13316" width="7.109375" style="343" customWidth="1"/>
    <col min="13317" max="13317" width="6.44140625" style="343" customWidth="1"/>
    <col min="13318" max="13321" width="7.109375" style="343" customWidth="1"/>
    <col min="13322" max="13322" width="7.44140625" style="343" customWidth="1"/>
    <col min="13323" max="13323" width="7.88671875" style="343" customWidth="1"/>
    <col min="13324" max="13325" width="6.88671875" style="343" customWidth="1"/>
    <col min="13326" max="13329" width="7.109375" style="343" customWidth="1"/>
    <col min="13330" max="13330" width="7.44140625" style="343" customWidth="1"/>
    <col min="13331" max="13331" width="7.109375" style="343" customWidth="1"/>
    <col min="13332" max="13332" width="5.21875" style="343" customWidth="1"/>
    <col min="13333" max="13341" width="10.6640625" style="343" customWidth="1"/>
    <col min="13342" max="13345" width="8.6640625" style="343" customWidth="1"/>
    <col min="13346" max="13547" width="9" style="343"/>
    <col min="13548" max="13548" width="5.44140625" style="343" customWidth="1"/>
    <col min="13549" max="13549" width="7.44140625" style="343" customWidth="1"/>
    <col min="13550" max="13550" width="8.109375" style="343" customWidth="1"/>
    <col min="13551" max="13551" width="8.33203125" style="343" customWidth="1"/>
    <col min="13552" max="13553" width="5" style="343" customWidth="1"/>
    <col min="13554" max="13554" width="5.33203125" style="343" customWidth="1"/>
    <col min="13555" max="13555" width="6" style="343" customWidth="1"/>
    <col min="13556" max="13557" width="6.6640625" style="343" customWidth="1"/>
    <col min="13558" max="13558" width="7.77734375" style="343" customWidth="1"/>
    <col min="13559" max="13559" width="7.6640625" style="343" customWidth="1"/>
    <col min="13560" max="13560" width="6.6640625" style="343" customWidth="1"/>
    <col min="13561" max="13561" width="5.109375" style="343" customWidth="1"/>
    <col min="13562" max="13562" width="5.33203125" style="343" customWidth="1"/>
    <col min="13563" max="13563" width="5.44140625" style="343" customWidth="1"/>
    <col min="13564" max="13567" width="6.6640625" style="343" customWidth="1"/>
    <col min="13568" max="13568" width="6.77734375" style="343" customWidth="1"/>
    <col min="13569" max="13569" width="5.109375" style="343" customWidth="1"/>
    <col min="13570" max="13570" width="7.109375" style="343" customWidth="1"/>
    <col min="13571" max="13571" width="6.109375" style="343" customWidth="1"/>
    <col min="13572" max="13572" width="7.109375" style="343" customWidth="1"/>
    <col min="13573" max="13573" width="6.44140625" style="343" customWidth="1"/>
    <col min="13574" max="13577" width="7.109375" style="343" customWidth="1"/>
    <col min="13578" max="13578" width="7.44140625" style="343" customWidth="1"/>
    <col min="13579" max="13579" width="7.88671875" style="343" customWidth="1"/>
    <col min="13580" max="13581" width="6.88671875" style="343" customWidth="1"/>
    <col min="13582" max="13585" width="7.109375" style="343" customWidth="1"/>
    <col min="13586" max="13586" width="7.44140625" style="343" customWidth="1"/>
    <col min="13587" max="13587" width="7.109375" style="343" customWidth="1"/>
    <col min="13588" max="13588" width="5.21875" style="343" customWidth="1"/>
    <col min="13589" max="13597" width="10.6640625" style="343" customWidth="1"/>
    <col min="13598" max="13601" width="8.6640625" style="343" customWidth="1"/>
    <col min="13602" max="13803" width="9" style="343"/>
    <col min="13804" max="13804" width="5.44140625" style="343" customWidth="1"/>
    <col min="13805" max="13805" width="7.44140625" style="343" customWidth="1"/>
    <col min="13806" max="13806" width="8.109375" style="343" customWidth="1"/>
    <col min="13807" max="13807" width="8.33203125" style="343" customWidth="1"/>
    <col min="13808" max="13809" width="5" style="343" customWidth="1"/>
    <col min="13810" max="13810" width="5.33203125" style="343" customWidth="1"/>
    <col min="13811" max="13811" width="6" style="343" customWidth="1"/>
    <col min="13812" max="13813" width="6.6640625" style="343" customWidth="1"/>
    <col min="13814" max="13814" width="7.77734375" style="343" customWidth="1"/>
    <col min="13815" max="13815" width="7.6640625" style="343" customWidth="1"/>
    <col min="13816" max="13816" width="6.6640625" style="343" customWidth="1"/>
    <col min="13817" max="13817" width="5.109375" style="343" customWidth="1"/>
    <col min="13818" max="13818" width="5.33203125" style="343" customWidth="1"/>
    <col min="13819" max="13819" width="5.44140625" style="343" customWidth="1"/>
    <col min="13820" max="13823" width="6.6640625" style="343" customWidth="1"/>
    <col min="13824" max="13824" width="6.77734375" style="343" customWidth="1"/>
    <col min="13825" max="13825" width="5.109375" style="343" customWidth="1"/>
    <col min="13826" max="13826" width="7.109375" style="343" customWidth="1"/>
    <col min="13827" max="13827" width="6.109375" style="343" customWidth="1"/>
    <col min="13828" max="13828" width="7.109375" style="343" customWidth="1"/>
    <col min="13829" max="13829" width="6.44140625" style="343" customWidth="1"/>
    <col min="13830" max="13833" width="7.109375" style="343" customWidth="1"/>
    <col min="13834" max="13834" width="7.44140625" style="343" customWidth="1"/>
    <col min="13835" max="13835" width="7.88671875" style="343" customWidth="1"/>
    <col min="13836" max="13837" width="6.88671875" style="343" customWidth="1"/>
    <col min="13838" max="13841" width="7.109375" style="343" customWidth="1"/>
    <col min="13842" max="13842" width="7.44140625" style="343" customWidth="1"/>
    <col min="13843" max="13843" width="7.109375" style="343" customWidth="1"/>
    <col min="13844" max="13844" width="5.21875" style="343" customWidth="1"/>
    <col min="13845" max="13853" width="10.6640625" style="343" customWidth="1"/>
    <col min="13854" max="13857" width="8.6640625" style="343" customWidth="1"/>
    <col min="13858" max="14059" width="9" style="343"/>
    <col min="14060" max="14060" width="5.44140625" style="343" customWidth="1"/>
    <col min="14061" max="14061" width="7.44140625" style="343" customWidth="1"/>
    <col min="14062" max="14062" width="8.109375" style="343" customWidth="1"/>
    <col min="14063" max="14063" width="8.33203125" style="343" customWidth="1"/>
    <col min="14064" max="14065" width="5" style="343" customWidth="1"/>
    <col min="14066" max="14066" width="5.33203125" style="343" customWidth="1"/>
    <col min="14067" max="14067" width="6" style="343" customWidth="1"/>
    <col min="14068" max="14069" width="6.6640625" style="343" customWidth="1"/>
    <col min="14070" max="14070" width="7.77734375" style="343" customWidth="1"/>
    <col min="14071" max="14071" width="7.6640625" style="343" customWidth="1"/>
    <col min="14072" max="14072" width="6.6640625" style="343" customWidth="1"/>
    <col min="14073" max="14073" width="5.109375" style="343" customWidth="1"/>
    <col min="14074" max="14074" width="5.33203125" style="343" customWidth="1"/>
    <col min="14075" max="14075" width="5.44140625" style="343" customWidth="1"/>
    <col min="14076" max="14079" width="6.6640625" style="343" customWidth="1"/>
    <col min="14080" max="14080" width="6.77734375" style="343" customWidth="1"/>
    <col min="14081" max="14081" width="5.109375" style="343" customWidth="1"/>
    <col min="14082" max="14082" width="7.109375" style="343" customWidth="1"/>
    <col min="14083" max="14083" width="6.109375" style="343" customWidth="1"/>
    <col min="14084" max="14084" width="7.109375" style="343" customWidth="1"/>
    <col min="14085" max="14085" width="6.44140625" style="343" customWidth="1"/>
    <col min="14086" max="14089" width="7.109375" style="343" customWidth="1"/>
    <col min="14090" max="14090" width="7.44140625" style="343" customWidth="1"/>
    <col min="14091" max="14091" width="7.88671875" style="343" customWidth="1"/>
    <col min="14092" max="14093" width="6.88671875" style="343" customWidth="1"/>
    <col min="14094" max="14097" width="7.109375" style="343" customWidth="1"/>
    <col min="14098" max="14098" width="7.44140625" style="343" customWidth="1"/>
    <col min="14099" max="14099" width="7.109375" style="343" customWidth="1"/>
    <col min="14100" max="14100" width="5.21875" style="343" customWidth="1"/>
    <col min="14101" max="14109" width="10.6640625" style="343" customWidth="1"/>
    <col min="14110" max="14113" width="8.6640625" style="343" customWidth="1"/>
    <col min="14114" max="14315" width="9" style="343"/>
    <col min="14316" max="14316" width="5.44140625" style="343" customWidth="1"/>
    <col min="14317" max="14317" width="7.44140625" style="343" customWidth="1"/>
    <col min="14318" max="14318" width="8.109375" style="343" customWidth="1"/>
    <col min="14319" max="14319" width="8.33203125" style="343" customWidth="1"/>
    <col min="14320" max="14321" width="5" style="343" customWidth="1"/>
    <col min="14322" max="14322" width="5.33203125" style="343" customWidth="1"/>
    <col min="14323" max="14323" width="6" style="343" customWidth="1"/>
    <col min="14324" max="14325" width="6.6640625" style="343" customWidth="1"/>
    <col min="14326" max="14326" width="7.77734375" style="343" customWidth="1"/>
    <col min="14327" max="14327" width="7.6640625" style="343" customWidth="1"/>
    <col min="14328" max="14328" width="6.6640625" style="343" customWidth="1"/>
    <col min="14329" max="14329" width="5.109375" style="343" customWidth="1"/>
    <col min="14330" max="14330" width="5.33203125" style="343" customWidth="1"/>
    <col min="14331" max="14331" width="5.44140625" style="343" customWidth="1"/>
    <col min="14332" max="14335" width="6.6640625" style="343" customWidth="1"/>
    <col min="14336" max="14336" width="6.77734375" style="343" customWidth="1"/>
    <col min="14337" max="14337" width="5.109375" style="343" customWidth="1"/>
    <col min="14338" max="14338" width="7.109375" style="343" customWidth="1"/>
    <col min="14339" max="14339" width="6.109375" style="343" customWidth="1"/>
    <col min="14340" max="14340" width="7.109375" style="343" customWidth="1"/>
    <col min="14341" max="14341" width="6.44140625" style="343" customWidth="1"/>
    <col min="14342" max="14345" width="7.109375" style="343" customWidth="1"/>
    <col min="14346" max="14346" width="7.44140625" style="343" customWidth="1"/>
    <col min="14347" max="14347" width="7.88671875" style="343" customWidth="1"/>
    <col min="14348" max="14349" width="6.88671875" style="343" customWidth="1"/>
    <col min="14350" max="14353" width="7.109375" style="343" customWidth="1"/>
    <col min="14354" max="14354" width="7.44140625" style="343" customWidth="1"/>
    <col min="14355" max="14355" width="7.109375" style="343" customWidth="1"/>
    <col min="14356" max="14356" width="5.21875" style="343" customWidth="1"/>
    <col min="14357" max="14365" width="10.6640625" style="343" customWidth="1"/>
    <col min="14366" max="14369" width="8.6640625" style="343" customWidth="1"/>
    <col min="14370" max="14571" width="9" style="343"/>
    <col min="14572" max="14572" width="5.44140625" style="343" customWidth="1"/>
    <col min="14573" max="14573" width="7.44140625" style="343" customWidth="1"/>
    <col min="14574" max="14574" width="8.109375" style="343" customWidth="1"/>
    <col min="14575" max="14575" width="8.33203125" style="343" customWidth="1"/>
    <col min="14576" max="14577" width="5" style="343" customWidth="1"/>
    <col min="14578" max="14578" width="5.33203125" style="343" customWidth="1"/>
    <col min="14579" max="14579" width="6" style="343" customWidth="1"/>
    <col min="14580" max="14581" width="6.6640625" style="343" customWidth="1"/>
    <col min="14582" max="14582" width="7.77734375" style="343" customWidth="1"/>
    <col min="14583" max="14583" width="7.6640625" style="343" customWidth="1"/>
    <col min="14584" max="14584" width="6.6640625" style="343" customWidth="1"/>
    <col min="14585" max="14585" width="5.109375" style="343" customWidth="1"/>
    <col min="14586" max="14586" width="5.33203125" style="343" customWidth="1"/>
    <col min="14587" max="14587" width="5.44140625" style="343" customWidth="1"/>
    <col min="14588" max="14591" width="6.6640625" style="343" customWidth="1"/>
    <col min="14592" max="14592" width="6.77734375" style="343" customWidth="1"/>
    <col min="14593" max="14593" width="5.109375" style="343" customWidth="1"/>
    <col min="14594" max="14594" width="7.109375" style="343" customWidth="1"/>
    <col min="14595" max="14595" width="6.109375" style="343" customWidth="1"/>
    <col min="14596" max="14596" width="7.109375" style="343" customWidth="1"/>
    <col min="14597" max="14597" width="6.44140625" style="343" customWidth="1"/>
    <col min="14598" max="14601" width="7.109375" style="343" customWidth="1"/>
    <col min="14602" max="14602" width="7.44140625" style="343" customWidth="1"/>
    <col min="14603" max="14603" width="7.88671875" style="343" customWidth="1"/>
    <col min="14604" max="14605" width="6.88671875" style="343" customWidth="1"/>
    <col min="14606" max="14609" width="7.109375" style="343" customWidth="1"/>
    <col min="14610" max="14610" width="7.44140625" style="343" customWidth="1"/>
    <col min="14611" max="14611" width="7.109375" style="343" customWidth="1"/>
    <col min="14612" max="14612" width="5.21875" style="343" customWidth="1"/>
    <col min="14613" max="14621" width="10.6640625" style="343" customWidth="1"/>
    <col min="14622" max="14625" width="8.6640625" style="343" customWidth="1"/>
    <col min="14626" max="14827" width="9" style="343"/>
    <col min="14828" max="14828" width="5.44140625" style="343" customWidth="1"/>
    <col min="14829" max="14829" width="7.44140625" style="343" customWidth="1"/>
    <col min="14830" max="14830" width="8.109375" style="343" customWidth="1"/>
    <col min="14831" max="14831" width="8.33203125" style="343" customWidth="1"/>
    <col min="14832" max="14833" width="5" style="343" customWidth="1"/>
    <col min="14834" max="14834" width="5.33203125" style="343" customWidth="1"/>
    <col min="14835" max="14835" width="6" style="343" customWidth="1"/>
    <col min="14836" max="14837" width="6.6640625" style="343" customWidth="1"/>
    <col min="14838" max="14838" width="7.77734375" style="343" customWidth="1"/>
    <col min="14839" max="14839" width="7.6640625" style="343" customWidth="1"/>
    <col min="14840" max="14840" width="6.6640625" style="343" customWidth="1"/>
    <col min="14841" max="14841" width="5.109375" style="343" customWidth="1"/>
    <col min="14842" max="14842" width="5.33203125" style="343" customWidth="1"/>
    <col min="14843" max="14843" width="5.44140625" style="343" customWidth="1"/>
    <col min="14844" max="14847" width="6.6640625" style="343" customWidth="1"/>
    <col min="14848" max="14848" width="6.77734375" style="343" customWidth="1"/>
    <col min="14849" max="14849" width="5.109375" style="343" customWidth="1"/>
    <col min="14850" max="14850" width="7.109375" style="343" customWidth="1"/>
    <col min="14851" max="14851" width="6.109375" style="343" customWidth="1"/>
    <col min="14852" max="14852" width="7.109375" style="343" customWidth="1"/>
    <col min="14853" max="14853" width="6.44140625" style="343" customWidth="1"/>
    <col min="14854" max="14857" width="7.109375" style="343" customWidth="1"/>
    <col min="14858" max="14858" width="7.44140625" style="343" customWidth="1"/>
    <col min="14859" max="14859" width="7.88671875" style="343" customWidth="1"/>
    <col min="14860" max="14861" width="6.88671875" style="343" customWidth="1"/>
    <col min="14862" max="14865" width="7.109375" style="343" customWidth="1"/>
    <col min="14866" max="14866" width="7.44140625" style="343" customWidth="1"/>
    <col min="14867" max="14867" width="7.109375" style="343" customWidth="1"/>
    <col min="14868" max="14868" width="5.21875" style="343" customWidth="1"/>
    <col min="14869" max="14877" width="10.6640625" style="343" customWidth="1"/>
    <col min="14878" max="14881" width="8.6640625" style="343" customWidth="1"/>
    <col min="14882" max="15083" width="9" style="343"/>
    <col min="15084" max="15084" width="5.44140625" style="343" customWidth="1"/>
    <col min="15085" max="15085" width="7.44140625" style="343" customWidth="1"/>
    <col min="15086" max="15086" width="8.109375" style="343" customWidth="1"/>
    <col min="15087" max="15087" width="8.33203125" style="343" customWidth="1"/>
    <col min="15088" max="15089" width="5" style="343" customWidth="1"/>
    <col min="15090" max="15090" width="5.33203125" style="343" customWidth="1"/>
    <col min="15091" max="15091" width="6" style="343" customWidth="1"/>
    <col min="15092" max="15093" width="6.6640625" style="343" customWidth="1"/>
    <col min="15094" max="15094" width="7.77734375" style="343" customWidth="1"/>
    <col min="15095" max="15095" width="7.6640625" style="343" customWidth="1"/>
    <col min="15096" max="15096" width="6.6640625" style="343" customWidth="1"/>
    <col min="15097" max="15097" width="5.109375" style="343" customWidth="1"/>
    <col min="15098" max="15098" width="5.33203125" style="343" customWidth="1"/>
    <col min="15099" max="15099" width="5.44140625" style="343" customWidth="1"/>
    <col min="15100" max="15103" width="6.6640625" style="343" customWidth="1"/>
    <col min="15104" max="15104" width="6.77734375" style="343" customWidth="1"/>
    <col min="15105" max="15105" width="5.109375" style="343" customWidth="1"/>
    <col min="15106" max="15106" width="7.109375" style="343" customWidth="1"/>
    <col min="15107" max="15107" width="6.109375" style="343" customWidth="1"/>
    <col min="15108" max="15108" width="7.109375" style="343" customWidth="1"/>
    <col min="15109" max="15109" width="6.44140625" style="343" customWidth="1"/>
    <col min="15110" max="15113" width="7.109375" style="343" customWidth="1"/>
    <col min="15114" max="15114" width="7.44140625" style="343" customWidth="1"/>
    <col min="15115" max="15115" width="7.88671875" style="343" customWidth="1"/>
    <col min="15116" max="15117" width="6.88671875" style="343" customWidth="1"/>
    <col min="15118" max="15121" width="7.109375" style="343" customWidth="1"/>
    <col min="15122" max="15122" width="7.44140625" style="343" customWidth="1"/>
    <col min="15123" max="15123" width="7.109375" style="343" customWidth="1"/>
    <col min="15124" max="15124" width="5.21875" style="343" customWidth="1"/>
    <col min="15125" max="15133" width="10.6640625" style="343" customWidth="1"/>
    <col min="15134" max="15137" width="8.6640625" style="343" customWidth="1"/>
    <col min="15138" max="15339" width="9" style="343"/>
    <col min="15340" max="15340" width="5.44140625" style="343" customWidth="1"/>
    <col min="15341" max="15341" width="7.44140625" style="343" customWidth="1"/>
    <col min="15342" max="15342" width="8.109375" style="343" customWidth="1"/>
    <col min="15343" max="15343" width="8.33203125" style="343" customWidth="1"/>
    <col min="15344" max="15345" width="5" style="343" customWidth="1"/>
    <col min="15346" max="15346" width="5.33203125" style="343" customWidth="1"/>
    <col min="15347" max="15347" width="6" style="343" customWidth="1"/>
    <col min="15348" max="15349" width="6.6640625" style="343" customWidth="1"/>
    <col min="15350" max="15350" width="7.77734375" style="343" customWidth="1"/>
    <col min="15351" max="15351" width="7.6640625" style="343" customWidth="1"/>
    <col min="15352" max="15352" width="6.6640625" style="343" customWidth="1"/>
    <col min="15353" max="15353" width="5.109375" style="343" customWidth="1"/>
    <col min="15354" max="15354" width="5.33203125" style="343" customWidth="1"/>
    <col min="15355" max="15355" width="5.44140625" style="343" customWidth="1"/>
    <col min="15356" max="15359" width="6.6640625" style="343" customWidth="1"/>
    <col min="15360" max="15360" width="6.77734375" style="343" customWidth="1"/>
    <col min="15361" max="15361" width="5.109375" style="343" customWidth="1"/>
    <col min="15362" max="15362" width="7.109375" style="343" customWidth="1"/>
    <col min="15363" max="15363" width="6.109375" style="343" customWidth="1"/>
    <col min="15364" max="15364" width="7.109375" style="343" customWidth="1"/>
    <col min="15365" max="15365" width="6.44140625" style="343" customWidth="1"/>
    <col min="15366" max="15369" width="7.109375" style="343" customWidth="1"/>
    <col min="15370" max="15370" width="7.44140625" style="343" customWidth="1"/>
    <col min="15371" max="15371" width="7.88671875" style="343" customWidth="1"/>
    <col min="15372" max="15373" width="6.88671875" style="343" customWidth="1"/>
    <col min="15374" max="15377" width="7.109375" style="343" customWidth="1"/>
    <col min="15378" max="15378" width="7.44140625" style="343" customWidth="1"/>
    <col min="15379" max="15379" width="7.109375" style="343" customWidth="1"/>
    <col min="15380" max="15380" width="5.21875" style="343" customWidth="1"/>
    <col min="15381" max="15389" width="10.6640625" style="343" customWidth="1"/>
    <col min="15390" max="15393" width="8.6640625" style="343" customWidth="1"/>
    <col min="15394" max="15595" width="9" style="343"/>
    <col min="15596" max="15596" width="5.44140625" style="343" customWidth="1"/>
    <col min="15597" max="15597" width="7.44140625" style="343" customWidth="1"/>
    <col min="15598" max="15598" width="8.109375" style="343" customWidth="1"/>
    <col min="15599" max="15599" width="8.33203125" style="343" customWidth="1"/>
    <col min="15600" max="15601" width="5" style="343" customWidth="1"/>
    <col min="15602" max="15602" width="5.33203125" style="343" customWidth="1"/>
    <col min="15603" max="15603" width="6" style="343" customWidth="1"/>
    <col min="15604" max="15605" width="6.6640625" style="343" customWidth="1"/>
    <col min="15606" max="15606" width="7.77734375" style="343" customWidth="1"/>
    <col min="15607" max="15607" width="7.6640625" style="343" customWidth="1"/>
    <col min="15608" max="15608" width="6.6640625" style="343" customWidth="1"/>
    <col min="15609" max="15609" width="5.109375" style="343" customWidth="1"/>
    <col min="15610" max="15610" width="5.33203125" style="343" customWidth="1"/>
    <col min="15611" max="15611" width="5.44140625" style="343" customWidth="1"/>
    <col min="15612" max="15615" width="6.6640625" style="343" customWidth="1"/>
    <col min="15616" max="15616" width="6.77734375" style="343" customWidth="1"/>
    <col min="15617" max="15617" width="5.109375" style="343" customWidth="1"/>
    <col min="15618" max="15618" width="7.109375" style="343" customWidth="1"/>
    <col min="15619" max="15619" width="6.109375" style="343" customWidth="1"/>
    <col min="15620" max="15620" width="7.109375" style="343" customWidth="1"/>
    <col min="15621" max="15621" width="6.44140625" style="343" customWidth="1"/>
    <col min="15622" max="15625" width="7.109375" style="343" customWidth="1"/>
    <col min="15626" max="15626" width="7.44140625" style="343" customWidth="1"/>
    <col min="15627" max="15627" width="7.88671875" style="343" customWidth="1"/>
    <col min="15628" max="15629" width="6.88671875" style="343" customWidth="1"/>
    <col min="15630" max="15633" width="7.109375" style="343" customWidth="1"/>
    <col min="15634" max="15634" width="7.44140625" style="343" customWidth="1"/>
    <col min="15635" max="15635" width="7.109375" style="343" customWidth="1"/>
    <col min="15636" max="15636" width="5.21875" style="343" customWidth="1"/>
    <col min="15637" max="15645" width="10.6640625" style="343" customWidth="1"/>
    <col min="15646" max="15649" width="8.6640625" style="343" customWidth="1"/>
    <col min="15650" max="15851" width="9" style="343"/>
    <col min="15852" max="15852" width="5.44140625" style="343" customWidth="1"/>
    <col min="15853" max="15853" width="7.44140625" style="343" customWidth="1"/>
    <col min="15854" max="15854" width="8.109375" style="343" customWidth="1"/>
    <col min="15855" max="15855" width="8.33203125" style="343" customWidth="1"/>
    <col min="15856" max="15857" width="5" style="343" customWidth="1"/>
    <col min="15858" max="15858" width="5.33203125" style="343" customWidth="1"/>
    <col min="15859" max="15859" width="6" style="343" customWidth="1"/>
    <col min="15860" max="15861" width="6.6640625" style="343" customWidth="1"/>
    <col min="15862" max="15862" width="7.77734375" style="343" customWidth="1"/>
    <col min="15863" max="15863" width="7.6640625" style="343" customWidth="1"/>
    <col min="15864" max="15864" width="6.6640625" style="343" customWidth="1"/>
    <col min="15865" max="15865" width="5.109375" style="343" customWidth="1"/>
    <col min="15866" max="15866" width="5.33203125" style="343" customWidth="1"/>
    <col min="15867" max="15867" width="5.44140625" style="343" customWidth="1"/>
    <col min="15868" max="15871" width="6.6640625" style="343" customWidth="1"/>
    <col min="15872" max="15872" width="6.77734375" style="343" customWidth="1"/>
    <col min="15873" max="15873" width="5.109375" style="343" customWidth="1"/>
    <col min="15874" max="15874" width="7.109375" style="343" customWidth="1"/>
    <col min="15875" max="15875" width="6.109375" style="343" customWidth="1"/>
    <col min="15876" max="15876" width="7.109375" style="343" customWidth="1"/>
    <col min="15877" max="15877" width="6.44140625" style="343" customWidth="1"/>
    <col min="15878" max="15881" width="7.109375" style="343" customWidth="1"/>
    <col min="15882" max="15882" width="7.44140625" style="343" customWidth="1"/>
    <col min="15883" max="15883" width="7.88671875" style="343" customWidth="1"/>
    <col min="15884" max="15885" width="6.88671875" style="343" customWidth="1"/>
    <col min="15886" max="15889" width="7.109375" style="343" customWidth="1"/>
    <col min="15890" max="15890" width="7.44140625" style="343" customWidth="1"/>
    <col min="15891" max="15891" width="7.109375" style="343" customWidth="1"/>
    <col min="15892" max="15892" width="5.21875" style="343" customWidth="1"/>
    <col min="15893" max="15901" width="10.6640625" style="343" customWidth="1"/>
    <col min="15902" max="15905" width="8.6640625" style="343" customWidth="1"/>
    <col min="15906" max="16107" width="9" style="343"/>
    <col min="16108" max="16108" width="5.44140625" style="343" customWidth="1"/>
    <col min="16109" max="16109" width="7.44140625" style="343" customWidth="1"/>
    <col min="16110" max="16110" width="8.109375" style="343" customWidth="1"/>
    <col min="16111" max="16111" width="8.33203125" style="343" customWidth="1"/>
    <col min="16112" max="16113" width="5" style="343" customWidth="1"/>
    <col min="16114" max="16114" width="5.33203125" style="343" customWidth="1"/>
    <col min="16115" max="16115" width="6" style="343" customWidth="1"/>
    <col min="16116" max="16117" width="6.6640625" style="343" customWidth="1"/>
    <col min="16118" max="16118" width="7.77734375" style="343" customWidth="1"/>
    <col min="16119" max="16119" width="7.6640625" style="343" customWidth="1"/>
    <col min="16120" max="16120" width="6.6640625" style="343" customWidth="1"/>
    <col min="16121" max="16121" width="5.109375" style="343" customWidth="1"/>
    <col min="16122" max="16122" width="5.33203125" style="343" customWidth="1"/>
    <col min="16123" max="16123" width="5.44140625" style="343" customWidth="1"/>
    <col min="16124" max="16127" width="6.6640625" style="343" customWidth="1"/>
    <col min="16128" max="16128" width="6.77734375" style="343" customWidth="1"/>
    <col min="16129" max="16129" width="5.109375" style="343" customWidth="1"/>
    <col min="16130" max="16130" width="7.109375" style="343" customWidth="1"/>
    <col min="16131" max="16131" width="6.109375" style="343" customWidth="1"/>
    <col min="16132" max="16132" width="7.109375" style="343" customWidth="1"/>
    <col min="16133" max="16133" width="6.44140625" style="343" customWidth="1"/>
    <col min="16134" max="16137" width="7.109375" style="343" customWidth="1"/>
    <col min="16138" max="16138" width="7.44140625" style="343" customWidth="1"/>
    <col min="16139" max="16139" width="7.88671875" style="343" customWidth="1"/>
    <col min="16140" max="16141" width="6.88671875" style="343" customWidth="1"/>
    <col min="16142" max="16145" width="7.109375" style="343" customWidth="1"/>
    <col min="16146" max="16146" width="7.44140625" style="343" customWidth="1"/>
    <col min="16147" max="16147" width="7.109375" style="343" customWidth="1"/>
    <col min="16148" max="16148" width="5.21875" style="343" customWidth="1"/>
    <col min="16149" max="16157" width="10.6640625" style="343" customWidth="1"/>
    <col min="16158" max="16161" width="8.6640625" style="343" customWidth="1"/>
    <col min="16162" max="16384" width="9" style="343"/>
  </cols>
  <sheetData>
    <row r="1" spans="1:112" s="515" customFormat="1" ht="49.8" customHeight="1">
      <c r="A1" s="702" t="s">
        <v>766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  <c r="Q1" s="702"/>
      <c r="R1" s="702"/>
      <c r="S1" s="702"/>
      <c r="T1" s="702"/>
      <c r="U1" s="702"/>
      <c r="V1" s="702"/>
      <c r="W1" s="702"/>
      <c r="X1" s="702"/>
      <c r="Y1" s="702"/>
      <c r="Z1" s="702"/>
      <c r="AA1" s="702"/>
      <c r="AB1" s="702"/>
      <c r="AC1" s="702"/>
      <c r="AD1" s="702"/>
      <c r="AE1" s="702"/>
      <c r="AF1" s="702"/>
      <c r="AG1" s="702"/>
      <c r="AH1" s="703">
        <f>基础数据!A2</f>
        <v>45836</v>
      </c>
      <c r="AI1" s="703"/>
      <c r="AJ1" s="703"/>
    </row>
    <row r="2" spans="1:112" s="515" customFormat="1" ht="19.8" customHeight="1">
      <c r="A2" s="705" t="s">
        <v>129</v>
      </c>
      <c r="B2" s="732" t="s">
        <v>130</v>
      </c>
      <c r="C2" s="704" t="s">
        <v>131</v>
      </c>
      <c r="D2" s="704"/>
      <c r="E2" s="704"/>
      <c r="F2" s="704"/>
      <c r="G2" s="704"/>
      <c r="H2" s="704"/>
      <c r="I2" s="704"/>
      <c r="J2" s="704"/>
      <c r="K2" s="709"/>
      <c r="L2" s="704" t="s">
        <v>132</v>
      </c>
      <c r="M2" s="704"/>
      <c r="N2" s="704"/>
      <c r="O2" s="704"/>
      <c r="P2" s="704"/>
      <c r="Q2" s="704"/>
      <c r="R2" s="704"/>
      <c r="S2" s="704" t="s">
        <v>133</v>
      </c>
      <c r="T2" s="704"/>
      <c r="U2" s="704"/>
      <c r="V2" s="704"/>
      <c r="W2" s="704"/>
      <c r="X2" s="704"/>
      <c r="Y2" s="704"/>
      <c r="Z2" s="709"/>
      <c r="AA2" s="704" t="s">
        <v>134</v>
      </c>
      <c r="AB2" s="704"/>
      <c r="AC2" s="704"/>
      <c r="AD2" s="704"/>
      <c r="AE2" s="704"/>
      <c r="AF2" s="704"/>
      <c r="AG2" s="704"/>
      <c r="AH2" s="729" t="s">
        <v>27</v>
      </c>
      <c r="AI2" s="729"/>
      <c r="AJ2" s="730"/>
    </row>
    <row r="3" spans="1:112" ht="19.8" customHeight="1">
      <c r="A3" s="706"/>
      <c r="B3" s="733"/>
      <c r="C3" s="707" t="s">
        <v>135</v>
      </c>
      <c r="D3" s="707"/>
      <c r="E3" s="707" t="s">
        <v>103</v>
      </c>
      <c r="F3" s="707"/>
      <c r="G3" s="707"/>
      <c r="H3" s="707" t="s">
        <v>109</v>
      </c>
      <c r="I3" s="707"/>
      <c r="J3" s="707"/>
      <c r="K3" s="710"/>
      <c r="L3" s="711" t="s">
        <v>136</v>
      </c>
      <c r="M3" s="707" t="s">
        <v>103</v>
      </c>
      <c r="N3" s="707"/>
      <c r="O3" s="707"/>
      <c r="P3" s="707" t="s">
        <v>109</v>
      </c>
      <c r="Q3" s="707"/>
      <c r="R3" s="707"/>
      <c r="S3" s="707" t="s">
        <v>137</v>
      </c>
      <c r="T3" s="707"/>
      <c r="U3" s="707"/>
      <c r="V3" s="707"/>
      <c r="W3" s="707"/>
      <c r="X3" s="707"/>
      <c r="Y3" s="707"/>
      <c r="Z3" s="710"/>
      <c r="AA3" s="711" t="s">
        <v>136</v>
      </c>
      <c r="AB3" s="707" t="s">
        <v>103</v>
      </c>
      <c r="AC3" s="707"/>
      <c r="AD3" s="707"/>
      <c r="AE3" s="707" t="s">
        <v>109</v>
      </c>
      <c r="AF3" s="707"/>
      <c r="AG3" s="707"/>
      <c r="AH3" s="707"/>
      <c r="AI3" s="707"/>
      <c r="AJ3" s="731"/>
    </row>
    <row r="4" spans="1:112" ht="28.8" customHeight="1">
      <c r="A4" s="706"/>
      <c r="B4" s="733"/>
      <c r="C4" s="398" t="s">
        <v>138</v>
      </c>
      <c r="D4" s="398" t="s">
        <v>136</v>
      </c>
      <c r="E4" s="398" t="s">
        <v>139</v>
      </c>
      <c r="F4" s="398" t="s">
        <v>140</v>
      </c>
      <c r="G4" s="398" t="s">
        <v>141</v>
      </c>
      <c r="H4" s="398" t="s">
        <v>142</v>
      </c>
      <c r="I4" s="398" t="s">
        <v>143</v>
      </c>
      <c r="J4" s="398" t="s">
        <v>144</v>
      </c>
      <c r="K4" s="710"/>
      <c r="L4" s="711"/>
      <c r="M4" s="398" t="s">
        <v>139</v>
      </c>
      <c r="N4" s="398" t="s">
        <v>140</v>
      </c>
      <c r="O4" s="398" t="s">
        <v>141</v>
      </c>
      <c r="P4" s="398" t="s">
        <v>142</v>
      </c>
      <c r="Q4" s="398" t="s">
        <v>143</v>
      </c>
      <c r="R4" s="398" t="s">
        <v>144</v>
      </c>
      <c r="S4" s="707"/>
      <c r="T4" s="398" t="s">
        <v>139</v>
      </c>
      <c r="U4" s="398" t="s">
        <v>140</v>
      </c>
      <c r="V4" s="398" t="s">
        <v>145</v>
      </c>
      <c r="W4" s="398" t="s">
        <v>142</v>
      </c>
      <c r="X4" s="398" t="s">
        <v>143</v>
      </c>
      <c r="Y4" s="398" t="s">
        <v>144</v>
      </c>
      <c r="Z4" s="710"/>
      <c r="AA4" s="711"/>
      <c r="AB4" s="398" t="s">
        <v>139</v>
      </c>
      <c r="AC4" s="398" t="s">
        <v>140</v>
      </c>
      <c r="AD4" s="398" t="s">
        <v>141</v>
      </c>
      <c r="AE4" s="398" t="s">
        <v>142</v>
      </c>
      <c r="AF4" s="398" t="s">
        <v>143</v>
      </c>
      <c r="AG4" s="398" t="s">
        <v>144</v>
      </c>
      <c r="AH4" s="398" t="s">
        <v>139</v>
      </c>
      <c r="AI4" s="398" t="s">
        <v>140</v>
      </c>
      <c r="AJ4" s="446" t="s">
        <v>145</v>
      </c>
    </row>
    <row r="5" spans="1:112" ht="24" customHeight="1">
      <c r="A5" s="399" t="s">
        <v>146</v>
      </c>
      <c r="B5" s="400">
        <f>'1车间表1'!E10</f>
        <v>16</v>
      </c>
      <c r="C5" s="400">
        <f>'1车间表1'!F10</f>
        <v>256</v>
      </c>
      <c r="D5" s="400">
        <f>'1车间表1'!H10</f>
        <v>248.32</v>
      </c>
      <c r="E5" s="400">
        <f>'1车间表1'!I10</f>
        <v>3.91</v>
      </c>
      <c r="F5" s="400">
        <f>'1车间表1'!J10</f>
        <v>0</v>
      </c>
      <c r="G5" s="401">
        <f>'1车间表1'!K10</f>
        <v>195.5</v>
      </c>
      <c r="H5" s="402">
        <f>'1车间表1'!M10</f>
        <v>9.7093120000000006</v>
      </c>
      <c r="I5" s="402">
        <f>'1车间表1'!N10</f>
        <v>0</v>
      </c>
      <c r="J5" s="431">
        <f>'1车间表1'!O10</f>
        <v>48.546559999999999</v>
      </c>
      <c r="K5" s="547" t="s">
        <v>146</v>
      </c>
      <c r="L5" s="400">
        <f>'1车间表1'!D17</f>
        <v>14.392796291791658</v>
      </c>
      <c r="M5" s="400">
        <f>'1车间表1'!F17</f>
        <v>65.670862584895232</v>
      </c>
      <c r="N5" s="400">
        <f>'1车间表1'!G17</f>
        <v>0</v>
      </c>
      <c r="O5" s="400">
        <f>'1车间表1'!H17</f>
        <v>3366.5768212689172</v>
      </c>
      <c r="P5" s="402">
        <f>'1车间表1'!I17</f>
        <v>9.451873474906396</v>
      </c>
      <c r="Q5" s="402">
        <f>'1车间表1'!J17</f>
        <v>0</v>
      </c>
      <c r="R5" s="432">
        <f>'1车间表1'!K17</f>
        <v>48.454454389191021</v>
      </c>
      <c r="S5" s="400">
        <f>'1车间表1'!D22</f>
        <v>0</v>
      </c>
      <c r="T5" s="400">
        <f>'1车间表1'!F22</f>
        <v>0</v>
      </c>
      <c r="U5" s="400">
        <f>'1车间表1'!G22</f>
        <v>0</v>
      </c>
      <c r="V5" s="400">
        <f>'1车间表1'!H22</f>
        <v>0</v>
      </c>
      <c r="W5" s="402">
        <f>'1车间表1'!I22</f>
        <v>0</v>
      </c>
      <c r="X5" s="402">
        <f>'1车间表1'!J22</f>
        <v>0</v>
      </c>
      <c r="Y5" s="432">
        <f>'1车间表1'!K22</f>
        <v>0</v>
      </c>
      <c r="Z5" s="547" t="s">
        <v>146</v>
      </c>
      <c r="AA5" s="411">
        <f>'1车间表1'!D27</f>
        <v>233.92720370820834</v>
      </c>
      <c r="AB5" s="411">
        <f>'1车间表1'!F27</f>
        <v>0.11005069996678257</v>
      </c>
      <c r="AC5" s="411">
        <f>'1车间表1'!G27</f>
        <v>0</v>
      </c>
      <c r="AD5" s="411">
        <f>'1车间表1'!H27</f>
        <v>0.39373621087637162</v>
      </c>
      <c r="AE5" s="402">
        <f>'1车间表1'!I27</f>
        <v>0.25743852509360465</v>
      </c>
      <c r="AF5" s="402">
        <f>'1车间表1'!J27</f>
        <v>0</v>
      </c>
      <c r="AG5" s="431">
        <f>'1车间表1'!K27</f>
        <v>9.2105610808975058E-2</v>
      </c>
      <c r="AH5" s="411">
        <f>'1车间表1'!L17</f>
        <v>97.348539988275135</v>
      </c>
      <c r="AI5" s="411">
        <f>'1车间表1'!L22</f>
        <v>0</v>
      </c>
      <c r="AJ5" s="450">
        <f>'1车间表1'!M17</f>
        <v>99.810273661390255</v>
      </c>
    </row>
    <row r="6" spans="1:112" ht="15.6" hidden="1" customHeight="1">
      <c r="A6" s="399" t="s">
        <v>147</v>
      </c>
      <c r="B6" s="400">
        <f>'2车间表1'!E10</f>
        <v>0</v>
      </c>
      <c r="C6" s="400">
        <f>'2车间表1'!F10</f>
        <v>0</v>
      </c>
      <c r="D6" s="400">
        <f>'2车间表1'!H10</f>
        <v>0</v>
      </c>
      <c r="E6" s="400" t="str">
        <f>'2车间表1'!I10</f>
        <v>0.00</v>
      </c>
      <c r="F6" s="400">
        <f>'2车间表1'!J10</f>
        <v>0</v>
      </c>
      <c r="G6" s="401" t="str">
        <f>'2车间表1'!K10</f>
        <v>0</v>
      </c>
      <c r="H6" s="402">
        <f>'2车间表1'!M10</f>
        <v>0</v>
      </c>
      <c r="I6" s="402">
        <f>'2车间表1'!N10</f>
        <v>0</v>
      </c>
      <c r="J6" s="431">
        <f>'2车间表1'!O10</f>
        <v>0</v>
      </c>
      <c r="K6" s="547" t="s">
        <v>147</v>
      </c>
      <c r="L6" s="400">
        <f>'2车间表1'!D17</f>
        <v>0</v>
      </c>
      <c r="M6" s="400" t="str">
        <f>'2车间表1'!F17</f>
        <v>0.00</v>
      </c>
      <c r="N6" s="400">
        <f>'2车间表1'!G17</f>
        <v>0</v>
      </c>
      <c r="O6" s="400" t="str">
        <f>'2车间表1'!H17</f>
        <v>0</v>
      </c>
      <c r="P6" s="402">
        <f>'2车间表1'!I17</f>
        <v>0</v>
      </c>
      <c r="Q6" s="402">
        <f>'2车间表1'!J17</f>
        <v>0</v>
      </c>
      <c r="R6" s="432">
        <f>'2车间表1'!K17</f>
        <v>0</v>
      </c>
      <c r="S6" s="400">
        <f>'2车间表1'!D22</f>
        <v>0</v>
      </c>
      <c r="T6" s="400">
        <f>'2车间表1'!F22</f>
        <v>0</v>
      </c>
      <c r="U6" s="400">
        <f>'2车间表1'!G22</f>
        <v>0</v>
      </c>
      <c r="V6" s="400">
        <f>'2车间表1'!H22</f>
        <v>0</v>
      </c>
      <c r="W6" s="402">
        <f>'2车间表1'!I22</f>
        <v>0</v>
      </c>
      <c r="X6" s="402">
        <f>'2车间表1'!J22</f>
        <v>0</v>
      </c>
      <c r="Y6" s="432">
        <f>'2车间表1'!K22</f>
        <v>0</v>
      </c>
      <c r="Z6" s="547" t="s">
        <v>147</v>
      </c>
      <c r="AA6" s="411">
        <f>'2车间表1'!D27</f>
        <v>0</v>
      </c>
      <c r="AB6" s="411" t="str">
        <f>'2车间表1'!F27</f>
        <v>0.00</v>
      </c>
      <c r="AC6" s="411">
        <f>'2车间表1'!G27</f>
        <v>0</v>
      </c>
      <c r="AD6" s="411" t="str">
        <f>'2车间表1'!H27</f>
        <v>0</v>
      </c>
      <c r="AE6" s="402">
        <f>'2车间表1'!I27</f>
        <v>0</v>
      </c>
      <c r="AF6" s="402">
        <f>'2车间表1'!J27</f>
        <v>0</v>
      </c>
      <c r="AG6" s="431">
        <f>'2车间表1'!K27</f>
        <v>0</v>
      </c>
      <c r="AH6" s="411" t="str">
        <f>'2车间表1'!L17</f>
        <v>0.00</v>
      </c>
      <c r="AI6" s="411">
        <f>'2车间表1'!L22</f>
        <v>0</v>
      </c>
      <c r="AJ6" s="450" t="str">
        <f>'2车间表1'!M17</f>
        <v>0.00</v>
      </c>
    </row>
    <row r="7" spans="1:112" ht="15.6" hidden="1" customHeight="1">
      <c r="A7" s="403"/>
      <c r="B7" s="400"/>
      <c r="C7" s="400"/>
      <c r="D7" s="400"/>
      <c r="E7" s="400"/>
      <c r="F7" s="400"/>
      <c r="G7" s="401"/>
      <c r="H7" s="402"/>
      <c r="I7" s="402"/>
      <c r="J7" s="431"/>
      <c r="K7" s="548"/>
      <c r="L7" s="400"/>
      <c r="M7" s="400"/>
      <c r="N7" s="400"/>
      <c r="O7" s="400"/>
      <c r="P7" s="402"/>
      <c r="Q7" s="402"/>
      <c r="R7" s="432"/>
      <c r="S7" s="400"/>
      <c r="T7" s="400"/>
      <c r="U7" s="400"/>
      <c r="V7" s="400"/>
      <c r="W7" s="402"/>
      <c r="X7" s="402"/>
      <c r="Y7" s="432"/>
      <c r="Z7" s="548"/>
      <c r="AA7" s="411"/>
      <c r="AB7" s="411"/>
      <c r="AC7" s="411"/>
      <c r="AD7" s="411"/>
      <c r="AE7" s="402"/>
      <c r="AF7" s="402"/>
      <c r="AG7" s="431"/>
      <c r="AH7" s="411"/>
      <c r="AI7" s="411"/>
      <c r="AJ7" s="450"/>
    </row>
    <row r="8" spans="1:112" ht="25.8" hidden="1" customHeight="1">
      <c r="A8" s="403" t="s">
        <v>148</v>
      </c>
      <c r="B8" s="400">
        <f>B6+B5+B7</f>
        <v>16</v>
      </c>
      <c r="C8" s="516">
        <f>C6+C5+C7</f>
        <v>256</v>
      </c>
      <c r="D8" s="517">
        <f>D6+D5+D7</f>
        <v>248.32</v>
      </c>
      <c r="E8" s="518">
        <f>IF(ISERROR(H8/D8*100),"0.00",H8/D8*100)</f>
        <v>3.91</v>
      </c>
      <c r="F8" s="518">
        <f>IF(ISERROR(I8/D8*100),"0.00",I8/D8*100)</f>
        <v>0</v>
      </c>
      <c r="G8" s="519">
        <f>IF(ISERROR(J8/D8*F190983),"0",J8/D8*1000)</f>
        <v>195.5</v>
      </c>
      <c r="H8" s="402">
        <f>H6+H5+H7</f>
        <v>9.7093120000000006</v>
      </c>
      <c r="I8" s="402">
        <f>I6+I5+I7</f>
        <v>0</v>
      </c>
      <c r="J8" s="431">
        <f>J6+J5+J7</f>
        <v>48.546559999999999</v>
      </c>
      <c r="K8" s="548" t="s">
        <v>148</v>
      </c>
      <c r="L8" s="400">
        <f>L6+L5+L7</f>
        <v>14.392796291791658</v>
      </c>
      <c r="M8" s="518">
        <f>IF(ISERROR(P8/L8*100),"0.00",P8/L8*100)</f>
        <v>65.670862584895232</v>
      </c>
      <c r="N8" s="518">
        <f>IF(ISERROR(Q8/L8*100),"0.00",Q8/L8*100)</f>
        <v>0</v>
      </c>
      <c r="O8" s="549">
        <f>IF(ISERROR(R8/L8*1000),"0",R8/L8*1000)</f>
        <v>3366.5768212689172</v>
      </c>
      <c r="P8" s="432">
        <f>P6+P5+P7</f>
        <v>9.451873474906396</v>
      </c>
      <c r="Q8" s="432">
        <f>Q6+Q5+Q7</f>
        <v>0</v>
      </c>
      <c r="R8" s="432">
        <f>R6+R5+R7</f>
        <v>48.454454389191021</v>
      </c>
      <c r="S8" s="432">
        <f>S6+S5+S7</f>
        <v>0</v>
      </c>
      <c r="T8" s="22" t="str">
        <f>IF(ISERROR(W8/S8*100),"0.00",W8/S8*100)</f>
        <v>0.00</v>
      </c>
      <c r="U8" s="22" t="str">
        <f>IF(ISERROR(X8/S8*100),"0.00",X8/S8*100)</f>
        <v>0.00</v>
      </c>
      <c r="V8" s="558" t="str">
        <f>IF(ISERROR(Y8/S8*1000),"0",Y8/S8*1000)</f>
        <v>0</v>
      </c>
      <c r="W8" s="432">
        <f>W6+W5+W7</f>
        <v>0</v>
      </c>
      <c r="X8" s="432">
        <f>X6+X5+X7</f>
        <v>0</v>
      </c>
      <c r="Y8" s="432">
        <f>Y6+Y5+Y7</f>
        <v>0</v>
      </c>
      <c r="Z8" s="548" t="s">
        <v>148</v>
      </c>
      <c r="AA8" s="411">
        <f>AA6+AA5+AA7</f>
        <v>233.92720370820834</v>
      </c>
      <c r="AB8" s="518">
        <f>IF(ISERROR(AE8/AA8*100),"0.00",AE8/AA8*100)</f>
        <v>0.11005069996678257</v>
      </c>
      <c r="AC8" s="518">
        <f>IF(ISERROR(AF8/AA8*100),"0.00",AF8/AA8*100)</f>
        <v>0</v>
      </c>
      <c r="AD8" s="549">
        <f>IF(ISERROR(AG8/AA8*1000),"0",AG8/AA8*1000)</f>
        <v>0.39373621087637162</v>
      </c>
      <c r="AE8" s="402">
        <f>AE6+AE5+AE7</f>
        <v>0.25743852509360465</v>
      </c>
      <c r="AF8" s="402">
        <f>AF6+AF5+AF7</f>
        <v>0</v>
      </c>
      <c r="AG8" s="431">
        <f>AG6+AG5+AG7</f>
        <v>9.2105610808975058E-2</v>
      </c>
      <c r="AH8" s="522">
        <f>IF(ISERROR(P8/H8*100),"0.00",P8/H8*100)</f>
        <v>97.348539988275135</v>
      </c>
      <c r="AI8" s="522" t="str">
        <f>IF(ISERROR(X8/I8*100),"0.00",X8/I8*100)</f>
        <v>0.00</v>
      </c>
      <c r="AJ8" s="566">
        <f>IF(ISERROR((R8)/J8*100),"0.00",(R8)/J8*100)</f>
        <v>99.810273661390255</v>
      </c>
    </row>
    <row r="9" spans="1:112" ht="19.8" customHeight="1">
      <c r="A9" s="706"/>
      <c r="B9" s="733" t="s">
        <v>130</v>
      </c>
      <c r="C9" s="708" t="s">
        <v>131</v>
      </c>
      <c r="D9" s="708"/>
      <c r="E9" s="708"/>
      <c r="F9" s="708"/>
      <c r="G9" s="708"/>
      <c r="H9" s="708"/>
      <c r="I9" s="708"/>
      <c r="J9" s="708"/>
      <c r="K9" s="710"/>
      <c r="L9" s="708" t="s">
        <v>132</v>
      </c>
      <c r="M9" s="708"/>
      <c r="N9" s="708"/>
      <c r="O9" s="708"/>
      <c r="P9" s="708"/>
      <c r="Q9" s="708"/>
      <c r="R9" s="708"/>
      <c r="S9" s="708" t="s">
        <v>149</v>
      </c>
      <c r="T9" s="708"/>
      <c r="U9" s="708"/>
      <c r="V9" s="708"/>
      <c r="W9" s="708"/>
      <c r="X9" s="708"/>
      <c r="Y9" s="708"/>
      <c r="Z9" s="710"/>
      <c r="AA9" s="708" t="s">
        <v>134</v>
      </c>
      <c r="AB9" s="708"/>
      <c r="AC9" s="708"/>
      <c r="AD9" s="708"/>
      <c r="AE9" s="708"/>
      <c r="AF9" s="708"/>
      <c r="AG9" s="708"/>
      <c r="AH9" s="707"/>
      <c r="AI9" s="707"/>
      <c r="AJ9" s="731"/>
      <c r="CU9" s="394"/>
    </row>
    <row r="10" spans="1:112" ht="19.8" customHeight="1">
      <c r="A10" s="706"/>
      <c r="B10" s="733"/>
      <c r="C10" s="707" t="s">
        <v>135</v>
      </c>
      <c r="D10" s="707"/>
      <c r="E10" s="707" t="s">
        <v>103</v>
      </c>
      <c r="F10" s="707"/>
      <c r="G10" s="707"/>
      <c r="H10" s="707" t="s">
        <v>109</v>
      </c>
      <c r="I10" s="707"/>
      <c r="J10" s="707"/>
      <c r="K10" s="710"/>
      <c r="L10" s="716" t="s">
        <v>136</v>
      </c>
      <c r="M10" s="707" t="s">
        <v>103</v>
      </c>
      <c r="N10" s="707"/>
      <c r="O10" s="707"/>
      <c r="P10" s="707" t="s">
        <v>109</v>
      </c>
      <c r="Q10" s="707"/>
      <c r="R10" s="707"/>
      <c r="S10" s="707" t="s">
        <v>137</v>
      </c>
      <c r="T10" s="707"/>
      <c r="U10" s="707"/>
      <c r="V10" s="707"/>
      <c r="W10" s="707"/>
      <c r="X10" s="707"/>
      <c r="Y10" s="707"/>
      <c r="Z10" s="710"/>
      <c r="AA10" s="716" t="s">
        <v>136</v>
      </c>
      <c r="AB10" s="707" t="s">
        <v>103</v>
      </c>
      <c r="AC10" s="707"/>
      <c r="AD10" s="707"/>
      <c r="AE10" s="707" t="s">
        <v>109</v>
      </c>
      <c r="AF10" s="707"/>
      <c r="AG10" s="707"/>
      <c r="AH10" s="707"/>
      <c r="AI10" s="707"/>
      <c r="AJ10" s="731"/>
    </row>
    <row r="11" spans="1:112" ht="28.5" customHeight="1">
      <c r="A11" s="706"/>
      <c r="B11" s="733"/>
      <c r="C11" s="398" t="s">
        <v>138</v>
      </c>
      <c r="D11" s="398" t="s">
        <v>136</v>
      </c>
      <c r="E11" s="398" t="s">
        <v>139</v>
      </c>
      <c r="F11" s="398" t="s">
        <v>140</v>
      </c>
      <c r="G11" s="398" t="s">
        <v>141</v>
      </c>
      <c r="H11" s="398" t="s">
        <v>142</v>
      </c>
      <c r="I11" s="398" t="s">
        <v>143</v>
      </c>
      <c r="J11" s="398" t="s">
        <v>144</v>
      </c>
      <c r="K11" s="710"/>
      <c r="L11" s="717"/>
      <c r="M11" s="398" t="s">
        <v>139</v>
      </c>
      <c r="N11" s="398" t="s">
        <v>140</v>
      </c>
      <c r="O11" s="398" t="s">
        <v>141</v>
      </c>
      <c r="P11" s="398" t="s">
        <v>142</v>
      </c>
      <c r="Q11" s="398" t="s">
        <v>143</v>
      </c>
      <c r="R11" s="398" t="s">
        <v>144</v>
      </c>
      <c r="S11" s="707"/>
      <c r="T11" s="398" t="s">
        <v>139</v>
      </c>
      <c r="U11" s="398" t="s">
        <v>140</v>
      </c>
      <c r="V11" s="398" t="s">
        <v>145</v>
      </c>
      <c r="W11" s="398" t="s">
        <v>142</v>
      </c>
      <c r="X11" s="398" t="s">
        <v>143</v>
      </c>
      <c r="Y11" s="398" t="s">
        <v>144</v>
      </c>
      <c r="Z11" s="710"/>
      <c r="AA11" s="717"/>
      <c r="AB11" s="398" t="s">
        <v>139</v>
      </c>
      <c r="AC11" s="398" t="s">
        <v>140</v>
      </c>
      <c r="AD11" s="398" t="s">
        <v>141</v>
      </c>
      <c r="AE11" s="398" t="s">
        <v>142</v>
      </c>
      <c r="AF11" s="398" t="s">
        <v>143</v>
      </c>
      <c r="AG11" s="398" t="s">
        <v>144</v>
      </c>
      <c r="AH11" s="398" t="s">
        <v>139</v>
      </c>
      <c r="AI11" s="398" t="s">
        <v>140</v>
      </c>
      <c r="AJ11" s="446" t="s">
        <v>145</v>
      </c>
      <c r="CU11"/>
      <c r="CV11"/>
      <c r="CW11"/>
      <c r="CX11"/>
      <c r="CY11"/>
      <c r="CZ11"/>
      <c r="DA11"/>
      <c r="DB11"/>
      <c r="DC11"/>
      <c r="DD11"/>
      <c r="DE11"/>
    </row>
    <row r="12" spans="1:112" ht="24" hidden="1" customHeight="1">
      <c r="A12" s="399" t="s">
        <v>150</v>
      </c>
      <c r="B12" s="406">
        <f>'1车间表1'!E11</f>
        <v>16</v>
      </c>
      <c r="C12" s="406"/>
      <c r="D12" s="406">
        <f>'1车间表1'!H11</f>
        <v>248.32</v>
      </c>
      <c r="E12" s="406">
        <f>'1车间表1'!I11</f>
        <v>3.91</v>
      </c>
      <c r="F12" s="406">
        <f>'1车间表1'!J11</f>
        <v>0</v>
      </c>
      <c r="G12" s="407">
        <f>'1车间表1'!K11</f>
        <v>195.5</v>
      </c>
      <c r="H12" s="408">
        <f>'1车间表1'!M11</f>
        <v>9.7093120000000006</v>
      </c>
      <c r="I12" s="408">
        <f>'1车间表1'!N11</f>
        <v>0</v>
      </c>
      <c r="J12" s="433">
        <f>'1车间表1'!O11</f>
        <v>48.546559999999999</v>
      </c>
      <c r="K12" s="547" t="s">
        <v>150</v>
      </c>
      <c r="L12" s="400">
        <f>'1车间表1'!D18</f>
        <v>14.392796291791658</v>
      </c>
      <c r="M12" s="400">
        <f>'1车间表1'!F18</f>
        <v>65.670862584895232</v>
      </c>
      <c r="N12" s="400">
        <f>'1车间表1'!G18</f>
        <v>0</v>
      </c>
      <c r="O12" s="400">
        <f>'1车间表1'!H18</f>
        <v>3366.5768212689172</v>
      </c>
      <c r="P12" s="432">
        <f>'1车间表1'!I18</f>
        <v>9.451873474906396</v>
      </c>
      <c r="Q12" s="432">
        <f>'1车间表1'!J18</f>
        <v>0</v>
      </c>
      <c r="R12" s="432">
        <f>'1车间表1'!K18</f>
        <v>48.454454389191021</v>
      </c>
      <c r="S12" s="400">
        <f>'1车间表1'!D23</f>
        <v>0</v>
      </c>
      <c r="T12" s="400">
        <f>'1车间表1'!F23</f>
        <v>0</v>
      </c>
      <c r="U12" s="400">
        <f>'1车间表1'!G23</f>
        <v>0</v>
      </c>
      <c r="V12" s="400">
        <f>'1车间表1'!H23</f>
        <v>0</v>
      </c>
      <c r="W12" s="432">
        <f>'1车间表1'!I23</f>
        <v>0</v>
      </c>
      <c r="X12" s="432">
        <f>'1车间表1'!J23</f>
        <v>0</v>
      </c>
      <c r="Y12" s="432">
        <f>'1车间表1'!K23</f>
        <v>0</v>
      </c>
      <c r="Z12" s="547" t="s">
        <v>150</v>
      </c>
      <c r="AA12" s="406">
        <f>'1车间表1'!D28</f>
        <v>233.92720370820834</v>
      </c>
      <c r="AB12" s="406">
        <f>'1车间表1'!F28</f>
        <v>0.11005069996678257</v>
      </c>
      <c r="AC12" s="406">
        <f>'1车间表1'!G28</f>
        <v>0</v>
      </c>
      <c r="AD12" s="406">
        <f>'1车间表1'!H28</f>
        <v>0.39373621087637162</v>
      </c>
      <c r="AE12" s="408">
        <f>'1车间表1'!I28</f>
        <v>0.25743852509360465</v>
      </c>
      <c r="AF12" s="408">
        <f>'1车间表1'!J28</f>
        <v>0</v>
      </c>
      <c r="AG12" s="433">
        <f>'1车间表1'!K28</f>
        <v>9.2105610808975058E-2</v>
      </c>
      <c r="AH12" s="406">
        <f>IF(ISERROR('1车间表1'!L18),"0.00",'1车间表1'!L18)</f>
        <v>97.348539988275135</v>
      </c>
      <c r="AI12" s="406">
        <f>IF(ISERROR('1车间表1'!L23),"0.00",'1车间表1'!L23)</f>
        <v>0</v>
      </c>
      <c r="AJ12" s="451">
        <f>'1车间表1'!M18</f>
        <v>99.810273661390255</v>
      </c>
      <c r="CU12" s="394"/>
      <c r="CV12" s="455"/>
      <c r="DA12" s="394"/>
      <c r="DB12" s="394"/>
      <c r="DC12" s="394"/>
      <c r="DD12" s="456"/>
      <c r="DE12" s="456"/>
      <c r="DG12" s="456"/>
      <c r="DH12" s="455"/>
    </row>
    <row r="13" spans="1:112" ht="24" hidden="1" customHeight="1">
      <c r="A13" s="520" t="s">
        <v>151</v>
      </c>
      <c r="B13" s="406">
        <f>'2车间表1'!E11</f>
        <v>0</v>
      </c>
      <c r="C13" s="406"/>
      <c r="D13" s="406">
        <f>'2车间表1'!H11</f>
        <v>0</v>
      </c>
      <c r="E13" s="406" t="str">
        <f>'2车间表1'!I11</f>
        <v>0.00</v>
      </c>
      <c r="F13" s="406">
        <f>'2车间表1'!J11</f>
        <v>0</v>
      </c>
      <c r="G13" s="407" t="str">
        <f>'2车间表1'!K11</f>
        <v>0</v>
      </c>
      <c r="H13" s="408">
        <f>'2车间表1'!M11</f>
        <v>0</v>
      </c>
      <c r="I13" s="408">
        <f>'2车间表1'!N11</f>
        <v>0</v>
      </c>
      <c r="J13" s="433">
        <f>'2车间表1'!O11</f>
        <v>0</v>
      </c>
      <c r="K13" s="426" t="s">
        <v>151</v>
      </c>
      <c r="L13" s="400">
        <f>'2车间表1'!D18</f>
        <v>0</v>
      </c>
      <c r="M13" s="400" t="str">
        <f>'2车间表1'!F18</f>
        <v>0.00</v>
      </c>
      <c r="N13" s="400">
        <f>'2车间表1'!G18</f>
        <v>0</v>
      </c>
      <c r="O13" s="400" t="str">
        <f>'2车间表1'!H18</f>
        <v>0</v>
      </c>
      <c r="P13" s="432">
        <f>'2车间表1'!I18</f>
        <v>0</v>
      </c>
      <c r="Q13" s="432">
        <f>'2车间表1'!J18</f>
        <v>0</v>
      </c>
      <c r="R13" s="432">
        <f>'2车间表1'!K18</f>
        <v>0</v>
      </c>
      <c r="S13" s="400">
        <f>'2车间表1'!D23</f>
        <v>0</v>
      </c>
      <c r="T13" s="400">
        <f>'2车间表1'!F23</f>
        <v>0</v>
      </c>
      <c r="U13" s="400">
        <f>'2车间表1'!G23</f>
        <v>0</v>
      </c>
      <c r="V13" s="400">
        <f>'2车间表1'!H23</f>
        <v>0</v>
      </c>
      <c r="W13" s="432">
        <f>'2车间表1'!I23</f>
        <v>0</v>
      </c>
      <c r="X13" s="432">
        <f>'2车间表1'!J23</f>
        <v>0</v>
      </c>
      <c r="Y13" s="432">
        <f>'2车间表1'!K23</f>
        <v>0</v>
      </c>
      <c r="Z13" s="426" t="s">
        <v>151</v>
      </c>
      <c r="AA13" s="406">
        <f>'2车间表1'!D28</f>
        <v>0</v>
      </c>
      <c r="AB13" s="406" t="str">
        <f>'2车间表1'!F28</f>
        <v>0.00</v>
      </c>
      <c r="AC13" s="406">
        <f>'2车间表1'!G28</f>
        <v>0</v>
      </c>
      <c r="AD13" s="406" t="str">
        <f>'2车间表1'!H28</f>
        <v>0</v>
      </c>
      <c r="AE13" s="408">
        <f>'2车间表1'!I28</f>
        <v>0</v>
      </c>
      <c r="AF13" s="408">
        <f>'2车间表1'!J28</f>
        <v>0</v>
      </c>
      <c r="AG13" s="433">
        <f>'2车间表1'!K28</f>
        <v>0</v>
      </c>
      <c r="AH13" s="406" t="str">
        <f>'2车间表1'!L18</f>
        <v>0.00</v>
      </c>
      <c r="AI13" s="406">
        <f>'2车间表1'!L23</f>
        <v>0</v>
      </c>
      <c r="AJ13" s="451" t="str">
        <f>'2车间表1'!M18</f>
        <v>0.00</v>
      </c>
      <c r="CU13" s="394"/>
      <c r="CV13" s="394"/>
      <c r="DA13" s="394"/>
      <c r="DB13" s="394"/>
      <c r="DC13" s="394"/>
      <c r="DD13" s="394"/>
      <c r="DE13" s="394"/>
    </row>
    <row r="14" spans="1:112" ht="24" hidden="1" customHeight="1">
      <c r="A14" s="403"/>
      <c r="B14" s="406"/>
      <c r="C14" s="406"/>
      <c r="D14" s="406"/>
      <c r="E14" s="406"/>
      <c r="F14" s="406"/>
      <c r="G14" s="407"/>
      <c r="H14" s="408"/>
      <c r="I14" s="408"/>
      <c r="J14" s="433"/>
      <c r="K14" s="548"/>
      <c r="L14" s="400"/>
      <c r="M14" s="400"/>
      <c r="N14" s="400"/>
      <c r="O14" s="400"/>
      <c r="P14" s="402"/>
      <c r="Q14" s="402"/>
      <c r="R14" s="432"/>
      <c r="S14" s="400"/>
      <c r="T14" s="400"/>
      <c r="U14" s="400"/>
      <c r="V14" s="400"/>
      <c r="W14" s="402"/>
      <c r="X14" s="402"/>
      <c r="Y14" s="432"/>
      <c r="Z14" s="548"/>
      <c r="AA14" s="406"/>
      <c r="AB14" s="406"/>
      <c r="AC14" s="406"/>
      <c r="AD14" s="406"/>
      <c r="AE14" s="408"/>
      <c r="AF14" s="408"/>
      <c r="AG14" s="433"/>
      <c r="AH14" s="406"/>
      <c r="AI14" s="406"/>
      <c r="AJ14" s="451"/>
    </row>
    <row r="15" spans="1:112" ht="27" customHeight="1">
      <c r="A15" s="403" t="s">
        <v>57</v>
      </c>
      <c r="B15" s="411">
        <f>B13+B12+B14</f>
        <v>16</v>
      </c>
      <c r="C15" s="521">
        <f>'2车间表1'!F11+'1车间表1'!F11</f>
        <v>256</v>
      </c>
      <c r="D15" s="522">
        <f>D13+D12+D14</f>
        <v>248.32</v>
      </c>
      <c r="E15" s="518">
        <f>IF(ISERROR(H15/D15*100),"0.00",H15/D15*100)</f>
        <v>3.91</v>
      </c>
      <c r="F15" s="518">
        <f>IF(ISERROR(I15/D15*100),"0.00",I15/D15*100)</f>
        <v>0</v>
      </c>
      <c r="G15" s="519">
        <f>IF(ISERROR(J15/D15*1000),"0",J15/D15*1000)</f>
        <v>195.5</v>
      </c>
      <c r="H15" s="413">
        <f>H13+H12+H14</f>
        <v>9.7093120000000006</v>
      </c>
      <c r="I15" s="432">
        <f>I13+I12+I14</f>
        <v>0</v>
      </c>
      <c r="J15" s="434">
        <f>J13+J12+J14</f>
        <v>48.546559999999999</v>
      </c>
      <c r="K15" s="548" t="s">
        <v>57</v>
      </c>
      <c r="L15" s="400">
        <f>L13+L12+L14</f>
        <v>14.392796291791658</v>
      </c>
      <c r="M15" s="518">
        <f>IF(ISERROR(P15/L15*100),"0.00",P15/L15*100)</f>
        <v>65.670862584895232</v>
      </c>
      <c r="N15" s="518">
        <f>IF(ISERROR(Q15/L15*100),"0.00",Q15/L15*100)</f>
        <v>0</v>
      </c>
      <c r="O15" s="549">
        <f>IF(ISERROR(R15/L15*1000),"0",R15/L15*1000)</f>
        <v>3366.5768212689172</v>
      </c>
      <c r="P15" s="435">
        <f>P13+P12+P14</f>
        <v>9.451873474906396</v>
      </c>
      <c r="Q15" s="402">
        <f>Q13+Q12+Q14</f>
        <v>0</v>
      </c>
      <c r="R15" s="413">
        <f>R13+R12+R14</f>
        <v>48.454454389191021</v>
      </c>
      <c r="S15" s="411">
        <f>S13+S12+S14</f>
        <v>0</v>
      </c>
      <c r="T15" s="22" t="str">
        <f>IF(ISERROR(W15/S15*100),"0.00",W15/S15*100)</f>
        <v>0.00</v>
      </c>
      <c r="U15" s="22" t="str">
        <f>IF(ISERROR(X15/S15*100),"0.00",X15/S15*100)</f>
        <v>0.00</v>
      </c>
      <c r="V15" s="558" t="str">
        <f>IF(ISERROR(Y15/S15*1000),"0",Y15/S15*1000)</f>
        <v>0</v>
      </c>
      <c r="W15" s="402">
        <f>W13+W12+W14</f>
        <v>0</v>
      </c>
      <c r="X15" s="402">
        <f>X13+X12+X14</f>
        <v>0</v>
      </c>
      <c r="Y15" s="413">
        <f>Y13+Y12+Y14</f>
        <v>0</v>
      </c>
      <c r="Z15" s="548" t="s">
        <v>57</v>
      </c>
      <c r="AA15" s="411">
        <f>AA13+AA12+AA14</f>
        <v>233.92720370820834</v>
      </c>
      <c r="AB15" s="518">
        <f>IF(ISERROR(AE15/AA15*100),"0.00",AE15/AA15*100)</f>
        <v>0.11005069996678257</v>
      </c>
      <c r="AC15" s="518">
        <f>IF(ISERROR(AF15/AA15*100),"0.00",AF15/AA15*100)</f>
        <v>0</v>
      </c>
      <c r="AD15" s="549">
        <f>IF(ISERROR(AG15/AA15*1000),"0",AG15/AA15*1000)</f>
        <v>0.39373621087637162</v>
      </c>
      <c r="AE15" s="402">
        <f>AE13+AE12+AE14</f>
        <v>0.25743852509360465</v>
      </c>
      <c r="AF15" s="402">
        <f>AF13+AF12+AF14</f>
        <v>0</v>
      </c>
      <c r="AG15" s="431">
        <f>AG13+AG12+AG14</f>
        <v>9.2105610808975058E-2</v>
      </c>
      <c r="AH15" s="522">
        <f>IF(ISERROR(P15/H15*100),"0.00",P15/H15*100)</f>
        <v>97.348539988275135</v>
      </c>
      <c r="AI15" s="522" t="str">
        <f>IF(ISERROR(X15/I15*100),"0.00",X15/I15*100)</f>
        <v>0.00</v>
      </c>
      <c r="AJ15" s="566">
        <f>IF(ISERROR((R15)/J15*100),"0.00",(R15)/J15*100)</f>
        <v>99.810273661390255</v>
      </c>
    </row>
    <row r="16" spans="1:112" ht="27" customHeight="1">
      <c r="A16" s="414" t="s">
        <v>89</v>
      </c>
      <c r="B16" s="415">
        <f>B29+B8</f>
        <v>16</v>
      </c>
      <c r="C16" s="523">
        <f>C29+C8</f>
        <v>256</v>
      </c>
      <c r="D16" s="524">
        <f>D8+D29</f>
        <v>248.32</v>
      </c>
      <c r="E16" s="525">
        <f>IF(ISERROR(H16/D16*100),"0.00",H16/D16*100)</f>
        <v>3.91</v>
      </c>
      <c r="F16" s="525">
        <f>IF(ISERROR(I16/D16*100),"0.00",I16/D16*100)</f>
        <v>0</v>
      </c>
      <c r="G16" s="526">
        <f>IF(ISERROR(J16/D16*1000),"0",J16/D16*1000)</f>
        <v>195.5</v>
      </c>
      <c r="H16" s="418">
        <f>H29+H8</f>
        <v>9.7093120000000006</v>
      </c>
      <c r="I16" s="418">
        <f>I29+I8</f>
        <v>0</v>
      </c>
      <c r="J16" s="436">
        <f>J29+J8</f>
        <v>48.546559999999999</v>
      </c>
      <c r="K16" s="550" t="s">
        <v>89</v>
      </c>
      <c r="L16" s="551">
        <f>L29+L8</f>
        <v>14.392796291791658</v>
      </c>
      <c r="M16" s="525">
        <f>IF(ISERROR(P16/L16*100),"0.00",P16/L16*100)</f>
        <v>65.670862584895232</v>
      </c>
      <c r="N16" s="525">
        <f>IF(ISERROR(Q16/L16*100),"0.00",Q16/L16*100)</f>
        <v>0</v>
      </c>
      <c r="O16" s="552">
        <f>IF(ISERROR(R16/L16*1000),"0",R16/L16*1000)</f>
        <v>3366.5768212689172</v>
      </c>
      <c r="P16" s="439">
        <f>P29+P8</f>
        <v>9.451873474906396</v>
      </c>
      <c r="Q16" s="444">
        <f>Q29+Q8</f>
        <v>0</v>
      </c>
      <c r="R16" s="418">
        <f>R29+R8</f>
        <v>48.454454389191021</v>
      </c>
      <c r="S16" s="415">
        <f>S29+S8</f>
        <v>0</v>
      </c>
      <c r="T16" s="559" t="str">
        <f>IF(ISERROR(W16/S16*100),"0.00",W16/S16*100)</f>
        <v>0.00</v>
      </c>
      <c r="U16" s="559" t="str">
        <f>IF(ISERROR(X16/S16*100),"0.00",X16/S16*100)</f>
        <v>0.00</v>
      </c>
      <c r="V16" s="560" t="str">
        <f>IF(ISERROR(Y16/S16*1000),"0",Y16/S16*1000)</f>
        <v>0</v>
      </c>
      <c r="W16" s="444">
        <f>W29+W8</f>
        <v>0</v>
      </c>
      <c r="X16" s="439">
        <f>X29+X8</f>
        <v>0</v>
      </c>
      <c r="Y16" s="418">
        <f>Y29+Y8</f>
        <v>0</v>
      </c>
      <c r="Z16" s="550" t="s">
        <v>89</v>
      </c>
      <c r="AA16" s="415">
        <f>AA29+AA8</f>
        <v>233.92720370820834</v>
      </c>
      <c r="AB16" s="525">
        <f>IF(ISERROR(AE16/AA16*100),"0.00",AE16/AA16*100)</f>
        <v>0.11005069996678257</v>
      </c>
      <c r="AC16" s="525">
        <f>IF(ISERROR(AF16/AA16*100),"0.00",AF16/AA16*100)</f>
        <v>0</v>
      </c>
      <c r="AD16" s="552">
        <f>IF(ISERROR(AG16/AA16*1000),"0",AG16/AA16*1000)</f>
        <v>0.39373621087637162</v>
      </c>
      <c r="AE16" s="444">
        <f>AE29+AE8</f>
        <v>0.25743852509360465</v>
      </c>
      <c r="AF16" s="444">
        <f>AF29+AF8</f>
        <v>0</v>
      </c>
      <c r="AG16" s="452">
        <f>AG29+AG8</f>
        <v>9.2105610808975058E-2</v>
      </c>
      <c r="AH16" s="524">
        <f>IF(ISERROR(P16/H16*100),"0.00",P16/H16*100)</f>
        <v>97.348539988275135</v>
      </c>
      <c r="AI16" s="524" t="str">
        <f>IF(ISERROR(X16/I16*100),"0.00",X16/I16*100)</f>
        <v>0.00</v>
      </c>
      <c r="AJ16" s="567">
        <f>IF(ISERROR((R16)/J16*100),"0.00",(R16)/J16*100)</f>
        <v>99.810273661390255</v>
      </c>
    </row>
    <row r="17" spans="1:101">
      <c r="C17"/>
      <c r="D17"/>
      <c r="E17"/>
      <c r="F17"/>
      <c r="G17"/>
      <c r="H17"/>
      <c r="I17"/>
      <c r="J17"/>
      <c r="AD17" s="394"/>
      <c r="AE17" s="394"/>
      <c r="AF17" s="394"/>
      <c r="AG17" s="394"/>
      <c r="AH17" s="394"/>
      <c r="AI17" s="394"/>
      <c r="AJ17" s="394"/>
      <c r="CV17" s="456"/>
      <c r="CW17" s="531"/>
    </row>
    <row r="18" spans="1:101">
      <c r="C18" s="527"/>
      <c r="D18" s="527"/>
      <c r="E18" s="527"/>
      <c r="F18" s="527"/>
      <c r="G18" s="527"/>
      <c r="H18" s="527"/>
      <c r="I18" s="1"/>
      <c r="J18" s="1"/>
      <c r="AG18" s="394"/>
      <c r="AH18" s="394"/>
      <c r="AI18" s="394"/>
      <c r="AJ18" s="394"/>
      <c r="CV18" s="456"/>
      <c r="CW18" s="531"/>
    </row>
    <row r="19" spans="1:101">
      <c r="C19" s="1"/>
      <c r="D19" s="528"/>
      <c r="E19" s="1"/>
      <c r="F19" s="1"/>
      <c r="G19" s="1"/>
      <c r="H19" s="394"/>
      <c r="I19" s="1"/>
      <c r="J19" s="1"/>
      <c r="V19" s="394"/>
      <c r="W19" s="394"/>
      <c r="X19" s="394"/>
      <c r="AD19" s="565"/>
      <c r="AH19" s="394"/>
      <c r="AI19" s="394"/>
      <c r="AJ19" s="394"/>
      <c r="CV19" s="456"/>
      <c r="CW19" s="531"/>
    </row>
    <row r="20" spans="1:101">
      <c r="C20" s="529"/>
      <c r="D20" s="529"/>
      <c r="E20"/>
      <c r="F20" s="530"/>
      <c r="G20" s="1"/>
      <c r="H20" s="1"/>
      <c r="I20" s="1"/>
      <c r="T20" s="561"/>
      <c r="U20" s="394"/>
      <c r="V20" s="394"/>
      <c r="W20" s="394"/>
      <c r="X20" s="394"/>
      <c r="AD20" s="565"/>
      <c r="AH20" s="394"/>
      <c r="AI20" s="394"/>
      <c r="AJ20" s="394"/>
    </row>
    <row r="21" spans="1:101">
      <c r="C21" s="1"/>
      <c r="D21" s="1"/>
      <c r="E21" s="1"/>
      <c r="F21" s="1"/>
      <c r="G21" s="1"/>
      <c r="H21" s="1"/>
      <c r="I21" s="1"/>
      <c r="J21" s="1"/>
      <c r="V21" s="394"/>
      <c r="W21" s="394"/>
      <c r="X21" s="394"/>
      <c r="AE21" s="394"/>
      <c r="AF21" s="394"/>
      <c r="AG21" s="394"/>
      <c r="AH21" s="394"/>
      <c r="AI21" s="394"/>
      <c r="AJ21" s="394"/>
      <c r="CU21" s="394"/>
    </row>
    <row r="22" spans="1:101">
      <c r="B22" s="428"/>
      <c r="C22" s="428"/>
      <c r="D22" s="428"/>
      <c r="E22" s="428"/>
      <c r="F22" s="428"/>
      <c r="G22" s="428"/>
      <c r="H22" s="428"/>
      <c r="I22" s="428"/>
      <c r="J22" s="428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428"/>
      <c r="AF22" s="428"/>
      <c r="AG22" s="428"/>
      <c r="AH22" s="428"/>
      <c r="AI22" s="428"/>
      <c r="AJ22" s="428"/>
      <c r="CU22" s="394"/>
    </row>
    <row r="23" spans="1:101">
      <c r="D23" s="531"/>
      <c r="H23" s="532"/>
      <c r="I23" s="532"/>
      <c r="J23" s="532"/>
    </row>
    <row r="25" spans="1:101">
      <c r="C25" s="420"/>
      <c r="D25" s="420"/>
      <c r="E25" s="25"/>
      <c r="F25" s="25"/>
      <c r="G25" s="421"/>
    </row>
    <row r="26" spans="1:101" ht="25.5" customHeight="1">
      <c r="A26" s="724"/>
      <c r="B26" s="734" t="s">
        <v>130</v>
      </c>
      <c r="C26" s="708" t="s">
        <v>131</v>
      </c>
      <c r="D26" s="708"/>
      <c r="E26" s="708"/>
      <c r="F26" s="708"/>
      <c r="G26" s="708"/>
      <c r="H26" s="708"/>
      <c r="I26" s="708"/>
      <c r="J26" s="708"/>
      <c r="K26" s="719"/>
      <c r="L26" s="712" t="s">
        <v>132</v>
      </c>
      <c r="M26" s="712"/>
      <c r="N26" s="712"/>
      <c r="O26" s="712"/>
      <c r="P26" s="712"/>
      <c r="Q26" s="712"/>
      <c r="R26" s="713"/>
      <c r="S26" s="714" t="s">
        <v>133</v>
      </c>
      <c r="T26" s="712"/>
      <c r="U26" s="712"/>
      <c r="V26" s="712"/>
      <c r="W26" s="712"/>
      <c r="X26" s="712"/>
      <c r="Y26" s="715"/>
      <c r="Z26" s="724"/>
      <c r="AA26" s="712" t="s">
        <v>134</v>
      </c>
      <c r="AB26" s="712"/>
      <c r="AC26" s="712"/>
      <c r="AD26" s="712"/>
      <c r="AE26" s="712"/>
      <c r="AF26" s="712"/>
      <c r="AG26" s="713"/>
      <c r="AH26" s="707"/>
      <c r="AI26" s="707"/>
      <c r="AJ26" s="707"/>
    </row>
    <row r="27" spans="1:101" ht="24" customHeight="1">
      <c r="A27" s="725"/>
      <c r="B27" s="735"/>
      <c r="C27" s="738" t="s">
        <v>135</v>
      </c>
      <c r="D27" s="728"/>
      <c r="E27" s="727"/>
      <c r="F27" s="727"/>
      <c r="G27" s="728"/>
      <c r="H27" s="707"/>
      <c r="I27" s="707"/>
      <c r="J27" s="707"/>
      <c r="K27" s="720"/>
      <c r="L27" s="397"/>
      <c r="M27" s="727"/>
      <c r="N27" s="727"/>
      <c r="O27" s="728"/>
      <c r="P27" s="727"/>
      <c r="Q27" s="727"/>
      <c r="R27" s="728"/>
      <c r="S27" s="722" t="s">
        <v>137</v>
      </c>
      <c r="T27" s="727"/>
      <c r="U27" s="727"/>
      <c r="V27" s="728"/>
      <c r="W27" s="727"/>
      <c r="X27" s="727"/>
      <c r="Y27" s="737"/>
      <c r="Z27" s="725"/>
      <c r="AA27" s="397"/>
      <c r="AB27" s="727"/>
      <c r="AC27" s="727"/>
      <c r="AD27" s="728"/>
      <c r="AE27" s="727"/>
      <c r="AF27" s="727"/>
      <c r="AG27" s="728"/>
      <c r="AH27" s="707"/>
      <c r="AI27" s="707"/>
      <c r="AJ27" s="707"/>
    </row>
    <row r="28" spans="1:101">
      <c r="A28" s="726"/>
      <c r="B28" s="736"/>
      <c r="C28" s="398" t="s">
        <v>138</v>
      </c>
      <c r="D28" s="398" t="s">
        <v>136</v>
      </c>
      <c r="E28" s="398" t="s">
        <v>139</v>
      </c>
      <c r="F28" s="398" t="s">
        <v>140</v>
      </c>
      <c r="G28" s="398" t="s">
        <v>145</v>
      </c>
      <c r="H28" s="398" t="s">
        <v>142</v>
      </c>
      <c r="I28" s="398" t="s">
        <v>143</v>
      </c>
      <c r="J28" s="398" t="s">
        <v>144</v>
      </c>
      <c r="K28" s="721"/>
      <c r="L28" s="398" t="s">
        <v>136</v>
      </c>
      <c r="M28" s="398" t="s">
        <v>139</v>
      </c>
      <c r="N28" s="398" t="s">
        <v>140</v>
      </c>
      <c r="O28" s="398" t="s">
        <v>145</v>
      </c>
      <c r="P28" s="398" t="s">
        <v>142</v>
      </c>
      <c r="Q28" s="398" t="s">
        <v>143</v>
      </c>
      <c r="R28" s="398" t="s">
        <v>144</v>
      </c>
      <c r="S28" s="723"/>
      <c r="T28" s="398" t="s">
        <v>139</v>
      </c>
      <c r="U28" s="398" t="s">
        <v>140</v>
      </c>
      <c r="V28" s="398" t="s">
        <v>145</v>
      </c>
      <c r="W28" s="398" t="s">
        <v>142</v>
      </c>
      <c r="X28" s="398" t="s">
        <v>143</v>
      </c>
      <c r="Y28" s="446" t="s">
        <v>144</v>
      </c>
      <c r="Z28" s="726"/>
      <c r="AA28" s="398" t="s">
        <v>136</v>
      </c>
      <c r="AB28" s="398" t="s">
        <v>139</v>
      </c>
      <c r="AC28" s="398" t="s">
        <v>140</v>
      </c>
      <c r="AD28" s="398" t="s">
        <v>145</v>
      </c>
      <c r="AE28" s="398" t="s">
        <v>142</v>
      </c>
      <c r="AF28" s="398" t="s">
        <v>143</v>
      </c>
      <c r="AG28" s="398" t="s">
        <v>144</v>
      </c>
      <c r="AH28" s="398" t="s">
        <v>139</v>
      </c>
      <c r="AI28" s="398" t="s">
        <v>140</v>
      </c>
      <c r="AJ28" s="398" t="s">
        <v>145</v>
      </c>
    </row>
    <row r="29" spans="1:101" ht="23.25" customHeight="1">
      <c r="A29" s="409" t="s">
        <v>89</v>
      </c>
      <c r="B29" s="533"/>
      <c r="C29" s="533"/>
      <c r="D29" s="533"/>
      <c r="E29" s="534"/>
      <c r="F29" s="534"/>
      <c r="G29" s="534"/>
      <c r="H29" s="535"/>
      <c r="I29" s="535"/>
      <c r="J29" s="553"/>
      <c r="K29" s="554"/>
      <c r="L29" s="555"/>
      <c r="M29" s="534"/>
      <c r="N29" s="534"/>
      <c r="O29" s="534"/>
      <c r="P29" s="556"/>
      <c r="Q29" s="556"/>
      <c r="R29" s="562"/>
      <c r="S29" s="563"/>
      <c r="T29" s="534"/>
      <c r="U29" s="534"/>
      <c r="V29" s="534"/>
      <c r="W29" s="564"/>
      <c r="X29" s="564"/>
      <c r="Y29" s="553"/>
      <c r="Z29" s="554"/>
      <c r="AA29" s="533"/>
      <c r="AB29" s="534"/>
      <c r="AC29" s="534"/>
      <c r="AD29" s="534"/>
      <c r="AE29" s="535"/>
      <c r="AF29" s="535"/>
      <c r="AG29" s="568"/>
      <c r="AH29" s="423"/>
      <c r="AI29" s="423"/>
      <c r="AJ29" s="423"/>
    </row>
    <row r="30" spans="1:101" s="395" customFormat="1" ht="23.25" customHeight="1">
      <c r="A30" s="395" t="s">
        <v>152</v>
      </c>
      <c r="B30" s="406"/>
      <c r="C30" s="406"/>
      <c r="D30" s="406"/>
      <c r="E30" s="423"/>
      <c r="F30" s="423"/>
      <c r="G30" s="423"/>
      <c r="H30" s="408"/>
      <c r="I30" s="408"/>
      <c r="J30" s="440"/>
      <c r="K30" s="426"/>
      <c r="L30" s="441"/>
      <c r="M30" s="423"/>
      <c r="N30" s="423"/>
      <c r="O30" s="423"/>
      <c r="P30" s="402"/>
      <c r="Q30" s="402"/>
      <c r="R30" s="443"/>
      <c r="S30" s="411"/>
      <c r="T30" s="423"/>
      <c r="U30" s="423"/>
      <c r="V30" s="423"/>
      <c r="W30" s="435"/>
      <c r="X30" s="435"/>
      <c r="Y30" s="440"/>
      <c r="Z30" s="426"/>
      <c r="AA30" s="406"/>
      <c r="AB30" s="423"/>
      <c r="AC30" s="423"/>
      <c r="AD30" s="423"/>
      <c r="AE30" s="408"/>
      <c r="AF30" s="408"/>
      <c r="AG30" s="433"/>
      <c r="AH30" s="423"/>
      <c r="AI30" s="423"/>
      <c r="AJ30" s="423"/>
    </row>
    <row r="31" spans="1:101" s="395" customFormat="1" ht="21" customHeight="1">
      <c r="B31" s="424">
        <f>B30+B15</f>
        <v>16</v>
      </c>
      <c r="C31" s="424">
        <f>C30+C15</f>
        <v>256</v>
      </c>
      <c r="D31" s="424">
        <f>D30+D15</f>
        <v>248.32</v>
      </c>
      <c r="E31" s="424"/>
      <c r="F31" s="424"/>
      <c r="G31" s="424"/>
      <c r="H31" s="425">
        <f>H30+H15</f>
        <v>9.7093120000000006</v>
      </c>
      <c r="I31" s="425">
        <f>I30+I15</f>
        <v>0</v>
      </c>
      <c r="J31" s="425">
        <f>J30+J15</f>
        <v>48.546559999999999</v>
      </c>
      <c r="K31" s="424"/>
      <c r="L31" s="442">
        <f>L30+L15</f>
        <v>14.392796291791658</v>
      </c>
      <c r="M31" s="424"/>
      <c r="N31" s="424"/>
      <c r="O31" s="424"/>
      <c r="P31" s="424">
        <f>P30+P15</f>
        <v>9.451873474906396</v>
      </c>
      <c r="Q31" s="424">
        <f>Q30+Q15</f>
        <v>0</v>
      </c>
      <c r="R31" s="424">
        <f>R30+R15</f>
        <v>48.454454389191021</v>
      </c>
      <c r="S31" s="424">
        <f>S30+S15</f>
        <v>0</v>
      </c>
      <c r="T31" s="424"/>
      <c r="U31" s="424"/>
      <c r="V31" s="424"/>
      <c r="W31" s="424">
        <f>W30+W15</f>
        <v>0</v>
      </c>
      <c r="X31" s="424">
        <f>X30+X15</f>
        <v>0</v>
      </c>
      <c r="Y31" s="424">
        <f>Y30+Y15</f>
        <v>0</v>
      </c>
      <c r="Z31" s="424"/>
      <c r="AA31" s="424">
        <f>AA30+AA15</f>
        <v>233.92720370820834</v>
      </c>
      <c r="AB31" s="424"/>
      <c r="AC31" s="424"/>
      <c r="AD31" s="424"/>
      <c r="AE31" s="424">
        <f>AE30+AE15</f>
        <v>0.25743852509360465</v>
      </c>
      <c r="AF31" s="424">
        <f>AF30+AF15</f>
        <v>0</v>
      </c>
      <c r="AG31" s="424">
        <f>AG30+AG15</f>
        <v>9.2105610808975058E-2</v>
      </c>
    </row>
    <row r="32" spans="1:101" s="396" customFormat="1" ht="23.25" customHeight="1">
      <c r="A32" s="396" t="s">
        <v>153</v>
      </c>
      <c r="B32" s="396">
        <f>B16-B31</f>
        <v>0</v>
      </c>
      <c r="C32" s="396">
        <f>C16-C31</f>
        <v>0</v>
      </c>
      <c r="D32" s="396">
        <f>D16-D31</f>
        <v>0</v>
      </c>
      <c r="H32" s="396">
        <f>H16-H31</f>
        <v>0</v>
      </c>
      <c r="I32" s="396">
        <f>I16-I31</f>
        <v>0</v>
      </c>
      <c r="J32" s="396">
        <f>J16-J31</f>
        <v>0</v>
      </c>
      <c r="L32" s="396">
        <f>L16-L31</f>
        <v>0</v>
      </c>
      <c r="P32" s="396">
        <f>P16-P31</f>
        <v>0</v>
      </c>
      <c r="Q32" s="396">
        <f>Q16-Q31</f>
        <v>0</v>
      </c>
      <c r="R32" s="396">
        <f>R16-R31</f>
        <v>0</v>
      </c>
      <c r="S32" s="396">
        <f>S16-S31</f>
        <v>0</v>
      </c>
      <c r="W32" s="396">
        <f>W16-W31</f>
        <v>0</v>
      </c>
      <c r="X32" s="396">
        <f>X16-X31</f>
        <v>0</v>
      </c>
      <c r="Y32" s="396">
        <f>Y16-Y31</f>
        <v>0</v>
      </c>
      <c r="AA32" s="396">
        <f>AA16-AA31</f>
        <v>0</v>
      </c>
      <c r="AE32" s="396">
        <f>AE16-AE31</f>
        <v>0</v>
      </c>
      <c r="AF32" s="396">
        <f>AF16-AF31</f>
        <v>0</v>
      </c>
      <c r="AG32" s="396">
        <f>AG16-AG31</f>
        <v>0</v>
      </c>
    </row>
    <row r="33" spans="1:37">
      <c r="B33" s="375"/>
    </row>
    <row r="34" spans="1:37">
      <c r="A34" s="385"/>
      <c r="B34" s="536"/>
      <c r="D34" s="531"/>
      <c r="E34" s="531"/>
      <c r="F34" s="531"/>
      <c r="G34" s="537"/>
      <c r="H34" s="532"/>
      <c r="I34" s="532"/>
      <c r="J34" s="532"/>
    </row>
    <row r="35" spans="1:37">
      <c r="A35" s="385"/>
      <c r="B35" s="536"/>
    </row>
    <row r="36" spans="1:37">
      <c r="A36" s="385"/>
      <c r="B36" s="536"/>
      <c r="D36" s="532"/>
      <c r="E36" s="531"/>
      <c r="F36" s="531"/>
      <c r="G36" s="538"/>
      <c r="H36" s="532"/>
      <c r="J36" s="557"/>
    </row>
    <row r="37" spans="1:37">
      <c r="C37" s="385"/>
      <c r="E37" s="395"/>
      <c r="F37" s="395"/>
      <c r="G37" s="395"/>
    </row>
    <row r="38" spans="1:37">
      <c r="E38" s="395"/>
      <c r="F38" s="395"/>
      <c r="G38" s="395"/>
    </row>
    <row r="40" spans="1:37">
      <c r="H40" s="531"/>
      <c r="I40" s="531"/>
      <c r="J40" s="531"/>
    </row>
    <row r="43" spans="1:37" ht="27" customHeight="1">
      <c r="A43" s="426" t="s">
        <v>89</v>
      </c>
      <c r="B43" s="411">
        <f>B16</f>
        <v>16</v>
      </c>
      <c r="C43" s="411">
        <f>C16</f>
        <v>256</v>
      </c>
      <c r="D43" s="411">
        <f>D16</f>
        <v>248.32</v>
      </c>
      <c r="E43" s="427"/>
      <c r="F43" s="427"/>
      <c r="G43" s="427"/>
      <c r="H43" s="402">
        <f>H16</f>
        <v>9.7093120000000006</v>
      </c>
      <c r="I43" s="402">
        <f>I16</f>
        <v>0</v>
      </c>
      <c r="J43" s="443">
        <f>J16</f>
        <v>48.546559999999999</v>
      </c>
      <c r="K43" s="426" t="s">
        <v>89</v>
      </c>
      <c r="L43" s="441">
        <f>L16</f>
        <v>14.392796291791658</v>
      </c>
      <c r="M43" s="427"/>
      <c r="N43" s="427"/>
      <c r="O43" s="427"/>
      <c r="P43" s="402">
        <f>P16</f>
        <v>9.451873474906396</v>
      </c>
      <c r="Q43" s="402">
        <f>Q16</f>
        <v>0</v>
      </c>
      <c r="R43" s="443">
        <f>R16</f>
        <v>48.454454389191021</v>
      </c>
      <c r="S43" s="411">
        <f>S16</f>
        <v>0</v>
      </c>
      <c r="T43" s="427"/>
      <c r="U43" s="427"/>
      <c r="V43" s="427"/>
      <c r="W43" s="435">
        <f>W16</f>
        <v>0</v>
      </c>
      <c r="X43" s="435">
        <f>X16</f>
        <v>0</v>
      </c>
      <c r="Y43" s="443">
        <f>Y16</f>
        <v>0</v>
      </c>
      <c r="Z43" s="426" t="s">
        <v>89</v>
      </c>
      <c r="AA43" s="411">
        <f>AA16</f>
        <v>233.92720370820834</v>
      </c>
      <c r="AB43" s="427"/>
      <c r="AC43" s="427"/>
      <c r="AD43" s="427"/>
      <c r="AE43" s="402">
        <f>AE16</f>
        <v>0.25743852509360465</v>
      </c>
      <c r="AF43" s="402">
        <f>AF16</f>
        <v>0</v>
      </c>
      <c r="AG43" s="431">
        <f>AG16</f>
        <v>9.2105610808975058E-2</v>
      </c>
    </row>
    <row r="45" spans="1:37">
      <c r="K45" s="394"/>
      <c r="L45" s="394"/>
      <c r="M45" s="394"/>
      <c r="N45" s="394"/>
      <c r="O45" s="394"/>
      <c r="P45" s="394"/>
      <c r="Q45" s="394"/>
      <c r="R45" s="394"/>
      <c r="S45" s="394"/>
      <c r="T45" s="394"/>
      <c r="U45" s="394"/>
      <c r="V45" s="394"/>
      <c r="W45" s="394"/>
      <c r="X45" s="394"/>
      <c r="Y45" s="394"/>
      <c r="Z45" s="394"/>
      <c r="AA45" s="394"/>
      <c r="AB45" s="394"/>
      <c r="AC45" s="394"/>
      <c r="AD45" s="394"/>
      <c r="AE45" s="394"/>
      <c r="AF45" s="394"/>
      <c r="AG45" s="394"/>
      <c r="AH45" s="394"/>
      <c r="AI45" s="394"/>
      <c r="AJ45" s="394"/>
      <c r="AK45" s="394"/>
    </row>
    <row r="46" spans="1:37">
      <c r="K46" s="394"/>
      <c r="L46" s="394"/>
      <c r="M46" s="394"/>
      <c r="N46" s="394"/>
      <c r="O46" s="394"/>
      <c r="P46" s="394"/>
      <c r="Q46" s="394"/>
      <c r="R46" s="394"/>
      <c r="S46" s="394"/>
      <c r="T46" s="394"/>
      <c r="U46" s="394"/>
      <c r="V46" s="394"/>
      <c r="W46" s="394"/>
      <c r="X46" s="394"/>
      <c r="Y46" s="394"/>
      <c r="Z46" s="394"/>
      <c r="AA46" s="394"/>
      <c r="AB46" s="394"/>
      <c r="AC46" s="394"/>
      <c r="AD46" s="394"/>
      <c r="AE46" s="394"/>
      <c r="AF46" s="394"/>
      <c r="AG46" s="394"/>
      <c r="AH46" s="394"/>
      <c r="AI46" s="394"/>
      <c r="AJ46" s="394"/>
      <c r="AK46" s="394"/>
    </row>
    <row r="47" spans="1:37">
      <c r="K47" s="394"/>
      <c r="L47" s="394"/>
      <c r="M47" s="394"/>
      <c r="N47" s="394"/>
      <c r="O47" s="394"/>
      <c r="P47" s="394"/>
      <c r="Q47" s="394"/>
      <c r="R47" s="394"/>
      <c r="S47" s="394"/>
      <c r="T47" s="394"/>
      <c r="U47" s="394"/>
      <c r="V47" s="394"/>
      <c r="W47" s="394"/>
      <c r="X47" s="394"/>
      <c r="Y47" s="394"/>
      <c r="Z47" s="394"/>
      <c r="AA47" s="394"/>
      <c r="AB47" s="394"/>
      <c r="AC47" s="394"/>
      <c r="AD47" s="394"/>
      <c r="AE47" s="394"/>
      <c r="AF47" s="394"/>
      <c r="AG47" s="394"/>
      <c r="AH47" s="394"/>
      <c r="AI47" s="394"/>
      <c r="AJ47" s="394"/>
      <c r="AK47" s="394"/>
    </row>
    <row r="48" spans="1:37">
      <c r="K48" s="394"/>
      <c r="L48" s="394"/>
      <c r="M48" s="394"/>
      <c r="N48" s="394"/>
      <c r="O48" s="394"/>
      <c r="P48" s="394"/>
      <c r="Q48" s="394"/>
      <c r="R48" s="394"/>
      <c r="S48" s="394"/>
      <c r="T48" s="394"/>
      <c r="U48" s="394"/>
      <c r="V48" s="394"/>
      <c r="W48" s="394"/>
      <c r="X48" s="394"/>
      <c r="Y48" s="394"/>
      <c r="Z48" s="394"/>
      <c r="AA48" s="394"/>
      <c r="AB48" s="394"/>
      <c r="AC48" s="394"/>
      <c r="AD48" s="394"/>
      <c r="AE48" s="394"/>
      <c r="AF48" s="394"/>
      <c r="AG48" s="394"/>
      <c r="AH48" s="394"/>
      <c r="AI48" s="394"/>
      <c r="AJ48" s="394"/>
      <c r="AK48" s="394"/>
    </row>
    <row r="50" spans="1:36" hidden="1">
      <c r="A50" s="394"/>
      <c r="B50" s="539" t="s">
        <v>154</v>
      </c>
      <c r="C50" s="540" t="s">
        <v>155</v>
      </c>
      <c r="D50" s="540" t="s">
        <v>156</v>
      </c>
      <c r="E50" s="718" t="s">
        <v>38</v>
      </c>
      <c r="F50" s="718"/>
      <c r="G50" s="718"/>
      <c r="H50" s="718" t="s">
        <v>109</v>
      </c>
      <c r="I50" s="718"/>
      <c r="J50" s="718"/>
    </row>
    <row r="51" spans="1:36" hidden="1">
      <c r="A51" s="394"/>
      <c r="B51" s="394"/>
      <c r="C51" s="541"/>
      <c r="D51" s="384"/>
      <c r="E51" s="398" t="s">
        <v>139</v>
      </c>
      <c r="F51" s="398" t="s">
        <v>140</v>
      </c>
      <c r="G51" s="398" t="s">
        <v>145</v>
      </c>
      <c r="H51" s="398" t="s">
        <v>139</v>
      </c>
      <c r="I51" s="398" t="s">
        <v>140</v>
      </c>
      <c r="J51" s="398" t="s">
        <v>145</v>
      </c>
    </row>
    <row r="52" spans="1:36" hidden="1">
      <c r="A52" s="542" t="s">
        <v>157</v>
      </c>
      <c r="B52" s="394">
        <f>(C8-D8)/C8%</f>
        <v>3.0000000000000027</v>
      </c>
      <c r="C52" s="543">
        <f>6-B52</f>
        <v>2.9999999999999973</v>
      </c>
      <c r="D52" s="544">
        <f>基础数据!O39</f>
        <v>0</v>
      </c>
      <c r="E52" s="544">
        <f>E8</f>
        <v>3.91</v>
      </c>
      <c r="F52" s="544">
        <f>F8</f>
        <v>0</v>
      </c>
      <c r="G52" s="544">
        <f>G8</f>
        <v>195.5</v>
      </c>
      <c r="H52" s="487">
        <f>D52*E52/100</f>
        <v>0</v>
      </c>
      <c r="I52" s="487">
        <f>D52*F52/100</f>
        <v>0</v>
      </c>
      <c r="J52" s="487">
        <f>D52*G52/1000</f>
        <v>0</v>
      </c>
    </row>
    <row r="53" spans="1:36" hidden="1">
      <c r="A53" s="542" t="s">
        <v>158</v>
      </c>
      <c r="B53" s="394">
        <f>(C15-D15)/C15%</f>
        <v>3.0000000000000027</v>
      </c>
      <c r="C53" s="545"/>
      <c r="D53" s="487">
        <f>H53/E53</f>
        <v>0</v>
      </c>
      <c r="E53" s="540">
        <f>M8</f>
        <v>65.670862584895232</v>
      </c>
      <c r="F53" s="540"/>
      <c r="G53" s="540">
        <f>O8</f>
        <v>3366.5768212689172</v>
      </c>
      <c r="H53" s="487">
        <f>AH8*H52/100</f>
        <v>0</v>
      </c>
      <c r="I53" s="487"/>
      <c r="J53" s="487">
        <f>J52*AJ8/100</f>
        <v>0</v>
      </c>
    </row>
    <row r="54" spans="1:36" hidden="1">
      <c r="A54" s="542" t="s">
        <v>159</v>
      </c>
      <c r="B54" s="394">
        <f>(C16-D16)/C16%</f>
        <v>3.0000000000000027</v>
      </c>
      <c r="C54" s="545"/>
      <c r="D54" s="487" t="e">
        <f>I54/F54</f>
        <v>#DIV/0!</v>
      </c>
      <c r="E54" s="540"/>
      <c r="F54" s="540">
        <f>N8</f>
        <v>0</v>
      </c>
      <c r="G54" s="540"/>
      <c r="H54" s="487"/>
      <c r="I54" s="487">
        <f>I52*AI8</f>
        <v>0</v>
      </c>
      <c r="J54" s="487"/>
    </row>
    <row r="55" spans="1:36" s="395" customFormat="1" ht="10.8">
      <c r="D55" s="424"/>
      <c r="H55" s="546"/>
    </row>
    <row r="57" spans="1:36">
      <c r="AH57" s="531"/>
      <c r="AI57" s="531"/>
      <c r="AJ57" s="531"/>
    </row>
    <row r="58" spans="1:36">
      <c r="AH58" s="531"/>
      <c r="AI58" s="531"/>
      <c r="AJ58" s="531"/>
    </row>
  </sheetData>
  <mergeCells count="65">
    <mergeCell ref="AH26:AJ27"/>
    <mergeCell ref="AH2:AJ3"/>
    <mergeCell ref="AH9:AJ10"/>
    <mergeCell ref="A9:A11"/>
    <mergeCell ref="A26:A28"/>
    <mergeCell ref="B2:B4"/>
    <mergeCell ref="B9:B11"/>
    <mergeCell ref="B26:B28"/>
    <mergeCell ref="T27:V27"/>
    <mergeCell ref="W27:Y27"/>
    <mergeCell ref="AB27:AD27"/>
    <mergeCell ref="AE27:AG27"/>
    <mergeCell ref="C27:D27"/>
    <mergeCell ref="T10:V10"/>
    <mergeCell ref="W10:Y10"/>
    <mergeCell ref="AB10:AD10"/>
    <mergeCell ref="E50:G50"/>
    <mergeCell ref="H50:J50"/>
    <mergeCell ref="K26:K28"/>
    <mergeCell ref="S27:S28"/>
    <mergeCell ref="Z26:Z28"/>
    <mergeCell ref="E27:G27"/>
    <mergeCell ref="H27:J27"/>
    <mergeCell ref="M27:O27"/>
    <mergeCell ref="P27:R27"/>
    <mergeCell ref="AE10:AG10"/>
    <mergeCell ref="C26:J26"/>
    <mergeCell ref="L26:R26"/>
    <mergeCell ref="S26:Y26"/>
    <mergeCell ref="AA26:AG26"/>
    <mergeCell ref="K9:K11"/>
    <mergeCell ref="L10:L11"/>
    <mergeCell ref="S10:S11"/>
    <mergeCell ref="Z9:Z11"/>
    <mergeCell ref="AA10:AA11"/>
    <mergeCell ref="C10:D10"/>
    <mergeCell ref="E10:G10"/>
    <mergeCell ref="H10:J10"/>
    <mergeCell ref="M10:O10"/>
    <mergeCell ref="P10:R10"/>
    <mergeCell ref="C9:J9"/>
    <mergeCell ref="L9:R9"/>
    <mergeCell ref="S9:Y9"/>
    <mergeCell ref="AA9:AG9"/>
    <mergeCell ref="K2:K4"/>
    <mergeCell ref="L3:L4"/>
    <mergeCell ref="S3:S4"/>
    <mergeCell ref="Z2:Z4"/>
    <mergeCell ref="AA3:AA4"/>
    <mergeCell ref="A1:AG1"/>
    <mergeCell ref="AH1:AJ1"/>
    <mergeCell ref="C2:J2"/>
    <mergeCell ref="L2:R2"/>
    <mergeCell ref="S2:Y2"/>
    <mergeCell ref="AA2:AG2"/>
    <mergeCell ref="A2:A4"/>
    <mergeCell ref="T3:V3"/>
    <mergeCell ref="W3:Y3"/>
    <mergeCell ref="AB3:AD3"/>
    <mergeCell ref="AE3:AG3"/>
    <mergeCell ref="C3:D3"/>
    <mergeCell ref="E3:G3"/>
    <mergeCell ref="H3:J3"/>
    <mergeCell ref="M3:O3"/>
    <mergeCell ref="P3:R3"/>
  </mergeCells>
  <phoneticPr fontId="54" type="noConversion"/>
  <printOptions horizontalCentered="1" verticalCentered="1"/>
  <pageMargins left="0.196527777777778" right="0.196527777777778" top="0.98402777777777795" bottom="0.196527777777778" header="0.59027777777777801" footer="0.59027777777777801"/>
  <pageSetup paperSize="9" scale="84" pageOrder="overThenDown" orientation="landscape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pageSetUpPr fitToPage="1"/>
  </sheetPr>
  <dimension ref="A1:N59"/>
  <sheetViews>
    <sheetView topLeftCell="A34" workbookViewId="0">
      <selection activeCell="J36" sqref="J36"/>
    </sheetView>
  </sheetViews>
  <sheetFormatPr defaultColWidth="9" defaultRowHeight="14.4"/>
  <cols>
    <col min="1" max="1" width="16.33203125" style="491" customWidth="1"/>
    <col min="2" max="14" width="10.6640625" style="491" customWidth="1"/>
    <col min="15" max="16384" width="9" style="491"/>
  </cols>
  <sheetData>
    <row r="1" spans="1:14" hidden="1">
      <c r="A1" s="686" t="s">
        <v>160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</row>
    <row r="2" spans="1:14" ht="15" hidden="1" customHeight="1">
      <c r="A2" s="686"/>
      <c r="B2" s="686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</row>
    <row r="3" spans="1:14" ht="9.9" hidden="1" customHeight="1">
      <c r="A3" s="492"/>
      <c r="B3" s="492"/>
      <c r="C3" s="493"/>
      <c r="D3" s="492"/>
      <c r="E3" s="494"/>
      <c r="F3" s="495"/>
      <c r="G3" s="492"/>
      <c r="H3" s="495"/>
      <c r="I3" s="492"/>
      <c r="J3" s="511"/>
      <c r="K3" s="740"/>
      <c r="L3" s="740"/>
      <c r="M3" s="26"/>
    </row>
    <row r="4" spans="1:14" ht="15.6" hidden="1">
      <c r="A4" s="743" t="s">
        <v>161</v>
      </c>
      <c r="B4" s="743" t="s">
        <v>43</v>
      </c>
      <c r="C4" s="683" t="s">
        <v>46</v>
      </c>
      <c r="D4" s="683"/>
      <c r="E4" s="683"/>
      <c r="F4" s="683" t="s">
        <v>162</v>
      </c>
      <c r="G4" s="683"/>
      <c r="H4" s="683"/>
      <c r="I4" s="683"/>
      <c r="J4" s="683" t="s">
        <v>47</v>
      </c>
      <c r="K4" s="683"/>
      <c r="L4" s="683"/>
      <c r="M4" s="683"/>
      <c r="N4" s="512" t="s">
        <v>163</v>
      </c>
    </row>
    <row r="5" spans="1:14" ht="15.6" hidden="1">
      <c r="A5" s="743"/>
      <c r="B5" s="743"/>
      <c r="C5" s="496" t="s">
        <v>48</v>
      </c>
      <c r="D5" s="496" t="s">
        <v>49</v>
      </c>
      <c r="E5" s="496" t="s">
        <v>164</v>
      </c>
      <c r="F5" s="496" t="s">
        <v>62</v>
      </c>
      <c r="G5" s="496" t="s">
        <v>6</v>
      </c>
      <c r="H5" s="496" t="s">
        <v>7</v>
      </c>
      <c r="I5" s="496" t="s">
        <v>51</v>
      </c>
      <c r="J5" s="496" t="s">
        <v>52</v>
      </c>
      <c r="K5" s="496" t="s">
        <v>53</v>
      </c>
      <c r="L5" s="496" t="s">
        <v>54</v>
      </c>
      <c r="M5" s="496" t="s">
        <v>55</v>
      </c>
      <c r="N5" s="512"/>
    </row>
    <row r="6" spans="1:14" ht="15.6" hidden="1">
      <c r="A6" s="741" t="e">
        <f>#REF!</f>
        <v>#REF!</v>
      </c>
      <c r="B6" s="498" t="s">
        <v>32</v>
      </c>
      <c r="C6" s="499">
        <v>690</v>
      </c>
      <c r="D6" s="500">
        <v>3</v>
      </c>
      <c r="E6" s="501">
        <f t="shared" ref="E6:E11" si="0">C6*D6/100</f>
        <v>20.7</v>
      </c>
      <c r="F6" s="502">
        <v>0.14000000000000001</v>
      </c>
      <c r="G6" s="502">
        <v>4.37</v>
      </c>
      <c r="H6" s="502">
        <v>3.59</v>
      </c>
      <c r="I6" s="502">
        <v>86</v>
      </c>
      <c r="J6" s="501">
        <f t="shared" ref="J6:J11" si="1">E6*F6/100</f>
        <v>2.8979999999999999E-2</v>
      </c>
      <c r="K6" s="501">
        <f t="shared" ref="K6:K11" si="2">E6*G6/100</f>
        <v>0.90459000000000001</v>
      </c>
      <c r="L6" s="501">
        <f t="shared" ref="L6:L11" si="3">E6*H6/100</f>
        <v>0.74312999999999996</v>
      </c>
      <c r="M6" s="501">
        <f t="shared" ref="M6:M11" si="4">E6*I6/1000</f>
        <v>1.7802</v>
      </c>
      <c r="N6" s="502">
        <v>648.6</v>
      </c>
    </row>
    <row r="7" spans="1:14" ht="15.6" hidden="1">
      <c r="A7" s="741"/>
      <c r="B7" s="498" t="s">
        <v>33</v>
      </c>
      <c r="C7" s="499">
        <v>650</v>
      </c>
      <c r="D7" s="500">
        <v>3</v>
      </c>
      <c r="E7" s="501">
        <f t="shared" si="0"/>
        <v>19.5</v>
      </c>
      <c r="F7" s="502">
        <v>0.12</v>
      </c>
      <c r="G7" s="502">
        <v>3.24</v>
      </c>
      <c r="H7" s="502">
        <v>3.38</v>
      </c>
      <c r="I7" s="502">
        <v>62</v>
      </c>
      <c r="J7" s="501">
        <f t="shared" si="1"/>
        <v>2.3400000000000001E-2</v>
      </c>
      <c r="K7" s="501">
        <f t="shared" si="2"/>
        <v>0.63180000000000003</v>
      </c>
      <c r="L7" s="501">
        <f t="shared" si="3"/>
        <v>0.65910000000000002</v>
      </c>
      <c r="M7" s="501">
        <f t="shared" si="4"/>
        <v>1.2090000000000001</v>
      </c>
      <c r="N7" s="502">
        <v>611</v>
      </c>
    </row>
    <row r="8" spans="1:14" ht="15.6" hidden="1">
      <c r="A8" s="741"/>
      <c r="B8" s="498" t="s">
        <v>34</v>
      </c>
      <c r="C8" s="499">
        <v>690</v>
      </c>
      <c r="D8" s="500">
        <v>3</v>
      </c>
      <c r="E8" s="501">
        <f t="shared" si="0"/>
        <v>20.7</v>
      </c>
      <c r="F8" s="502">
        <v>0.12</v>
      </c>
      <c r="G8" s="502">
        <v>3.15</v>
      </c>
      <c r="H8" s="502">
        <v>3.32</v>
      </c>
      <c r="I8" s="502">
        <v>68</v>
      </c>
      <c r="J8" s="501">
        <f t="shared" si="1"/>
        <v>2.4840000000000001E-2</v>
      </c>
      <c r="K8" s="501">
        <f t="shared" si="2"/>
        <v>0.65205000000000002</v>
      </c>
      <c r="L8" s="501">
        <f t="shared" si="3"/>
        <v>0.68723999999999996</v>
      </c>
      <c r="M8" s="501">
        <f t="shared" si="4"/>
        <v>1.4076</v>
      </c>
      <c r="N8" s="502">
        <v>648.6</v>
      </c>
    </row>
    <row r="9" spans="1:14" ht="15.6" hidden="1">
      <c r="A9" s="741"/>
      <c r="B9" s="498" t="s">
        <v>35</v>
      </c>
      <c r="C9" s="499">
        <v>690</v>
      </c>
      <c r="D9" s="500">
        <v>3</v>
      </c>
      <c r="E9" s="501">
        <f t="shared" si="0"/>
        <v>20.7</v>
      </c>
      <c r="F9" s="502">
        <v>0.14000000000000001</v>
      </c>
      <c r="G9" s="502">
        <v>4.4800000000000004</v>
      </c>
      <c r="H9" s="502">
        <v>4.07</v>
      </c>
      <c r="I9" s="502">
        <v>80</v>
      </c>
      <c r="J9" s="501">
        <f t="shared" si="1"/>
        <v>2.8979999999999999E-2</v>
      </c>
      <c r="K9" s="501">
        <f t="shared" si="2"/>
        <v>0.92735999999999996</v>
      </c>
      <c r="L9" s="501">
        <f t="shared" si="3"/>
        <v>0.84248999999999996</v>
      </c>
      <c r="M9" s="501">
        <f t="shared" si="4"/>
        <v>1.6559999999999999</v>
      </c>
      <c r="N9" s="502">
        <v>648.6</v>
      </c>
    </row>
    <row r="10" spans="1:14" ht="15.6" hidden="1">
      <c r="A10" s="741"/>
      <c r="B10" s="498" t="s">
        <v>36</v>
      </c>
      <c r="C10" s="499">
        <v>620</v>
      </c>
      <c r="D10" s="500">
        <v>3</v>
      </c>
      <c r="E10" s="501">
        <f t="shared" si="0"/>
        <v>18.600000000000001</v>
      </c>
      <c r="F10" s="502">
        <v>0.13</v>
      </c>
      <c r="G10" s="502">
        <v>3.44</v>
      </c>
      <c r="H10" s="502">
        <v>3.63</v>
      </c>
      <c r="I10" s="502">
        <v>74</v>
      </c>
      <c r="J10" s="501">
        <f t="shared" si="1"/>
        <v>2.418E-2</v>
      </c>
      <c r="K10" s="501">
        <f t="shared" si="2"/>
        <v>0.63983999999999996</v>
      </c>
      <c r="L10" s="501">
        <f t="shared" si="3"/>
        <v>0.67518</v>
      </c>
      <c r="M10" s="501">
        <f t="shared" si="4"/>
        <v>1.3764000000000001</v>
      </c>
      <c r="N10" s="502">
        <v>582.79999999999995</v>
      </c>
    </row>
    <row r="11" spans="1:14" ht="15.6" hidden="1">
      <c r="A11" s="742"/>
      <c r="B11" s="503" t="s">
        <v>37</v>
      </c>
      <c r="C11" s="499">
        <v>690</v>
      </c>
      <c r="D11" s="504">
        <v>3</v>
      </c>
      <c r="E11" s="505">
        <f t="shared" si="0"/>
        <v>20.7</v>
      </c>
      <c r="F11" s="506">
        <v>0.12</v>
      </c>
      <c r="G11" s="506">
        <v>3.23</v>
      </c>
      <c r="H11" s="506">
        <v>3.55</v>
      </c>
      <c r="I11" s="506">
        <v>69</v>
      </c>
      <c r="J11" s="505">
        <f t="shared" si="1"/>
        <v>2.4840000000000001E-2</v>
      </c>
      <c r="K11" s="505">
        <f t="shared" si="2"/>
        <v>0.66861000000000004</v>
      </c>
      <c r="L11" s="505">
        <f t="shared" si="3"/>
        <v>0.73485</v>
      </c>
      <c r="M11" s="505">
        <f t="shared" si="4"/>
        <v>1.4282999999999999</v>
      </c>
      <c r="N11" s="502">
        <v>648.6</v>
      </c>
    </row>
    <row r="12" spans="1:14" ht="15.6" hidden="1">
      <c r="A12" s="741" t="s">
        <v>165</v>
      </c>
      <c r="B12" s="498" t="s">
        <v>32</v>
      </c>
      <c r="C12" s="502"/>
      <c r="D12" s="507"/>
      <c r="E12" s="501"/>
      <c r="F12" s="508">
        <f t="shared" ref="F12:F17" si="5">J6/N6*100</f>
        <v>4.4680851063829798E-3</v>
      </c>
      <c r="G12" s="508">
        <f t="shared" ref="G12:G17" si="6">K6/N6*100</f>
        <v>0.13946808510638301</v>
      </c>
      <c r="H12" s="508">
        <f t="shared" ref="H12:H17" si="7">L6/N6*100</f>
        <v>0.114574468085106</v>
      </c>
      <c r="I12" s="508">
        <f t="shared" ref="I12:I17" si="8">M6/N6*1000</f>
        <v>2.7446808510638299</v>
      </c>
      <c r="J12" s="501"/>
      <c r="K12" s="501"/>
      <c r="L12" s="501"/>
      <c r="M12" s="501"/>
      <c r="N12" s="502"/>
    </row>
    <row r="13" spans="1:14" ht="15.6" hidden="1">
      <c r="A13" s="741"/>
      <c r="B13" s="498" t="s">
        <v>33</v>
      </c>
      <c r="C13" s="502"/>
      <c r="D13" s="507"/>
      <c r="E13" s="501"/>
      <c r="F13" s="508">
        <f t="shared" si="5"/>
        <v>3.82978723404255E-3</v>
      </c>
      <c r="G13" s="508">
        <f t="shared" si="6"/>
        <v>0.103404255319149</v>
      </c>
      <c r="H13" s="508">
        <f t="shared" si="7"/>
        <v>0.107872340425532</v>
      </c>
      <c r="I13" s="508">
        <f t="shared" si="8"/>
        <v>1.9787234042553199</v>
      </c>
      <c r="J13" s="501"/>
      <c r="K13" s="501"/>
      <c r="L13" s="501"/>
      <c r="M13" s="501"/>
      <c r="N13" s="502"/>
    </row>
    <row r="14" spans="1:14" ht="15.6" hidden="1">
      <c r="A14" s="741"/>
      <c r="B14" s="498" t="s">
        <v>34</v>
      </c>
      <c r="C14" s="502"/>
      <c r="D14" s="507"/>
      <c r="E14" s="501"/>
      <c r="F14" s="508">
        <f t="shared" si="5"/>
        <v>3.82978723404255E-3</v>
      </c>
      <c r="G14" s="508">
        <f t="shared" si="6"/>
        <v>0.100531914893617</v>
      </c>
      <c r="H14" s="508">
        <f t="shared" si="7"/>
        <v>0.105957446808511</v>
      </c>
      <c r="I14" s="508">
        <f t="shared" si="8"/>
        <v>2.1702127659574502</v>
      </c>
      <c r="J14" s="501"/>
      <c r="K14" s="501"/>
      <c r="L14" s="501"/>
      <c r="M14" s="501"/>
      <c r="N14" s="502"/>
    </row>
    <row r="15" spans="1:14" ht="15.6" hidden="1">
      <c r="A15" s="741"/>
      <c r="B15" s="498" t="s">
        <v>35</v>
      </c>
      <c r="C15" s="502"/>
      <c r="D15" s="507"/>
      <c r="E15" s="501"/>
      <c r="F15" s="508">
        <f t="shared" si="5"/>
        <v>4.4680851063829798E-3</v>
      </c>
      <c r="G15" s="508">
        <f t="shared" si="6"/>
        <v>0.14297872340425499</v>
      </c>
      <c r="H15" s="508">
        <f t="shared" si="7"/>
        <v>0.129893617021277</v>
      </c>
      <c r="I15" s="508">
        <f t="shared" si="8"/>
        <v>2.5531914893617</v>
      </c>
      <c r="J15" s="501"/>
      <c r="K15" s="501"/>
      <c r="L15" s="501"/>
      <c r="M15" s="501"/>
      <c r="N15" s="502"/>
    </row>
    <row r="16" spans="1:14" ht="15.6" hidden="1">
      <c r="A16" s="741"/>
      <c r="B16" s="498" t="s">
        <v>36</v>
      </c>
      <c r="C16" s="502"/>
      <c r="D16" s="507"/>
      <c r="E16" s="501"/>
      <c r="F16" s="508">
        <f t="shared" si="5"/>
        <v>4.1489361702127699E-3</v>
      </c>
      <c r="G16" s="508">
        <f t="shared" si="6"/>
        <v>0.109787234042553</v>
      </c>
      <c r="H16" s="508">
        <f t="shared" si="7"/>
        <v>0.11585106382978699</v>
      </c>
      <c r="I16" s="508">
        <f t="shared" si="8"/>
        <v>2.3617021276595702</v>
      </c>
      <c r="J16" s="501"/>
      <c r="K16" s="501"/>
      <c r="L16" s="501"/>
      <c r="M16" s="501"/>
      <c r="N16" s="502"/>
    </row>
    <row r="17" spans="1:14" ht="15.6" hidden="1">
      <c r="A17" s="741"/>
      <c r="B17" s="498" t="s">
        <v>37</v>
      </c>
      <c r="C17" s="502"/>
      <c r="D17" s="507"/>
      <c r="E17" s="501"/>
      <c r="F17" s="508">
        <f t="shared" si="5"/>
        <v>3.82978723404255E-3</v>
      </c>
      <c r="G17" s="508">
        <f t="shared" si="6"/>
        <v>0.10308510638297901</v>
      </c>
      <c r="H17" s="508">
        <f t="shared" si="7"/>
        <v>0.113297872340426</v>
      </c>
      <c r="I17" s="508">
        <f t="shared" si="8"/>
        <v>2.2021276595744701</v>
      </c>
      <c r="J17" s="501"/>
      <c r="K17" s="501"/>
      <c r="L17" s="501"/>
      <c r="M17" s="501"/>
      <c r="N17" s="502"/>
    </row>
    <row r="18" spans="1:14" ht="15.6" hidden="1">
      <c r="A18" s="741" t="s">
        <v>166</v>
      </c>
      <c r="B18" s="498" t="s">
        <v>32</v>
      </c>
      <c r="C18" s="502">
        <f>C6</f>
        <v>690</v>
      </c>
      <c r="D18" s="507"/>
      <c r="E18" s="501"/>
      <c r="F18" s="509">
        <f t="shared" ref="F18:I20" si="9">F6+F12</f>
        <v>0.14446808510638301</v>
      </c>
      <c r="G18" s="509">
        <f t="shared" si="9"/>
        <v>4.5094680851063798</v>
      </c>
      <c r="H18" s="509">
        <f t="shared" si="9"/>
        <v>3.7045744680851098</v>
      </c>
      <c r="I18" s="509">
        <f t="shared" si="9"/>
        <v>88.744680851063805</v>
      </c>
      <c r="J18" s="513"/>
      <c r="K18" s="513"/>
      <c r="L18" s="513"/>
      <c r="M18" s="513"/>
      <c r="N18" s="502"/>
    </row>
    <row r="19" spans="1:14" ht="15.6" hidden="1">
      <c r="A19" s="741"/>
      <c r="B19" s="498" t="s">
        <v>33</v>
      </c>
      <c r="C19" s="502">
        <f>C7</f>
        <v>650</v>
      </c>
      <c r="D19" s="507"/>
      <c r="E19" s="501"/>
      <c r="F19" s="509">
        <f t="shared" si="9"/>
        <v>0.123829787234043</v>
      </c>
      <c r="G19" s="509">
        <f t="shared" si="9"/>
        <v>3.3434042553191499</v>
      </c>
      <c r="H19" s="509">
        <f t="shared" si="9"/>
        <v>3.4878723404255298</v>
      </c>
      <c r="I19" s="509">
        <f t="shared" si="9"/>
        <v>63.978723404255298</v>
      </c>
      <c r="J19" s="513"/>
      <c r="K19" s="513"/>
      <c r="L19" s="513"/>
      <c r="M19" s="513"/>
      <c r="N19" s="502"/>
    </row>
    <row r="20" spans="1:14" ht="15.6" hidden="1">
      <c r="A20" s="741"/>
      <c r="B20" s="498" t="s">
        <v>34</v>
      </c>
      <c r="C20" s="502">
        <f>C8</f>
        <v>690</v>
      </c>
      <c r="D20" s="507"/>
      <c r="E20" s="501"/>
      <c r="F20" s="509">
        <f t="shared" si="9"/>
        <v>0.123829787234043</v>
      </c>
      <c r="G20" s="509">
        <f t="shared" si="9"/>
        <v>3.25053191489362</v>
      </c>
      <c r="H20" s="509">
        <f t="shared" si="9"/>
        <v>3.4259574468085101</v>
      </c>
      <c r="I20" s="509">
        <f t="shared" si="9"/>
        <v>70.170212765957402</v>
      </c>
      <c r="J20" s="513"/>
      <c r="K20" s="513"/>
      <c r="L20" s="513"/>
      <c r="M20" s="513"/>
      <c r="N20" s="502"/>
    </row>
    <row r="21" spans="1:14" ht="15.6" hidden="1">
      <c r="A21" s="741"/>
      <c r="B21" s="498" t="s">
        <v>167</v>
      </c>
      <c r="C21" s="502"/>
      <c r="D21" s="507"/>
      <c r="E21" s="501"/>
      <c r="F21" s="509"/>
      <c r="G21" s="509"/>
      <c r="H21" s="509"/>
      <c r="I21" s="509"/>
      <c r="J21" s="513"/>
      <c r="K21" s="513"/>
      <c r="L21" s="513"/>
      <c r="M21" s="513"/>
      <c r="N21" s="502"/>
    </row>
    <row r="22" spans="1:14" ht="15.6" hidden="1">
      <c r="A22" s="741"/>
      <c r="B22" s="498" t="s">
        <v>35</v>
      </c>
      <c r="C22" s="502">
        <f>C9</f>
        <v>690</v>
      </c>
      <c r="D22" s="507"/>
      <c r="E22" s="501"/>
      <c r="F22" s="509">
        <f t="shared" ref="F22:I24" si="10">F9+F15</f>
        <v>0.14446808510638301</v>
      </c>
      <c r="G22" s="509">
        <f t="shared" si="10"/>
        <v>4.6229787234042599</v>
      </c>
      <c r="H22" s="509">
        <f t="shared" si="10"/>
        <v>4.1998936170212797</v>
      </c>
      <c r="I22" s="509">
        <f t="shared" si="10"/>
        <v>82.553191489361694</v>
      </c>
      <c r="J22" s="513"/>
      <c r="K22" s="513"/>
      <c r="L22" s="513"/>
      <c r="M22" s="513"/>
      <c r="N22" s="502"/>
    </row>
    <row r="23" spans="1:14" ht="15.6" hidden="1">
      <c r="A23" s="741"/>
      <c r="B23" s="498" t="s">
        <v>36</v>
      </c>
      <c r="C23" s="502">
        <f>C10</f>
        <v>620</v>
      </c>
      <c r="D23" s="507"/>
      <c r="E23" s="501"/>
      <c r="F23" s="509">
        <f t="shared" si="10"/>
        <v>0.13414893617021301</v>
      </c>
      <c r="G23" s="509">
        <f t="shared" si="10"/>
        <v>3.54978723404255</v>
      </c>
      <c r="H23" s="509">
        <f t="shared" si="10"/>
        <v>3.7458510638297899</v>
      </c>
      <c r="I23" s="509">
        <f t="shared" si="10"/>
        <v>76.361702127659598</v>
      </c>
      <c r="J23" s="513"/>
      <c r="K23" s="513"/>
      <c r="L23" s="513"/>
      <c r="M23" s="513"/>
      <c r="N23" s="502"/>
    </row>
    <row r="24" spans="1:14" ht="15.6" hidden="1">
      <c r="A24" s="741"/>
      <c r="B24" s="498" t="s">
        <v>37</v>
      </c>
      <c r="C24" s="502">
        <f>C11</f>
        <v>690</v>
      </c>
      <c r="D24" s="507"/>
      <c r="E24" s="501"/>
      <c r="F24" s="509">
        <f t="shared" si="10"/>
        <v>0.123829787234043</v>
      </c>
      <c r="G24" s="509">
        <f t="shared" si="10"/>
        <v>3.3330851063829798</v>
      </c>
      <c r="H24" s="509">
        <f t="shared" si="10"/>
        <v>3.6632978723404301</v>
      </c>
      <c r="I24" s="509">
        <f t="shared" si="10"/>
        <v>71.202127659574501</v>
      </c>
      <c r="J24" s="513"/>
      <c r="K24" s="513"/>
      <c r="L24" s="513"/>
      <c r="M24" s="513"/>
      <c r="N24" s="502"/>
    </row>
    <row r="25" spans="1:14" ht="15.6" hidden="1">
      <c r="A25" s="497"/>
      <c r="B25" s="498" t="s">
        <v>167</v>
      </c>
      <c r="C25" s="502"/>
      <c r="D25" s="507"/>
      <c r="E25" s="501"/>
      <c r="F25" s="509"/>
      <c r="G25" s="509"/>
      <c r="H25" s="509"/>
      <c r="I25" s="509"/>
      <c r="J25" s="513"/>
      <c r="K25" s="513"/>
      <c r="L25" s="513"/>
      <c r="M25" s="513"/>
      <c r="N25" s="502"/>
    </row>
    <row r="26" spans="1:14" hidden="1">
      <c r="A26" s="323" t="s">
        <v>168</v>
      </c>
      <c r="B26" s="323"/>
      <c r="C26" s="502" t="e">
        <f>C27</f>
        <v>#REF!</v>
      </c>
      <c r="D26" s="502"/>
      <c r="E26" s="502">
        <v>3909.1</v>
      </c>
      <c r="F26" s="502">
        <v>0.12838709677419399</v>
      </c>
      <c r="G26" s="502">
        <v>3.6594292803970201</v>
      </c>
      <c r="H26" s="502">
        <v>3.5913895781637701</v>
      </c>
      <c r="I26" s="502">
        <v>73.263027295285397</v>
      </c>
      <c r="J26" s="502">
        <v>5.0187799999999996</v>
      </c>
      <c r="K26" s="502">
        <v>143.05074999999999</v>
      </c>
      <c r="L26" s="502">
        <v>140.39100999999999</v>
      </c>
      <c r="M26" s="502">
        <v>286.39249999999998</v>
      </c>
      <c r="N26" s="502"/>
    </row>
    <row r="27" spans="1:14" hidden="1">
      <c r="A27" s="323" t="s">
        <v>169</v>
      </c>
      <c r="B27" s="323"/>
      <c r="C27" s="502" t="e">
        <f>#REF!</f>
        <v>#REF!</v>
      </c>
      <c r="D27" s="502"/>
      <c r="E27" s="502" t="e">
        <f>#REF!</f>
        <v>#REF!</v>
      </c>
      <c r="F27" s="502" t="e">
        <f>#REF!</f>
        <v>#REF!</v>
      </c>
      <c r="G27" s="502" t="e">
        <f>#REF!</f>
        <v>#REF!</v>
      </c>
      <c r="H27" s="502" t="e">
        <f>#REF!</f>
        <v>#REF!</v>
      </c>
      <c r="I27" s="502" t="e">
        <f>#REF!</f>
        <v>#REF!</v>
      </c>
      <c r="J27" s="502" t="e">
        <f>#REF!</f>
        <v>#REF!</v>
      </c>
      <c r="K27" s="502" t="e">
        <f>#REF!</f>
        <v>#REF!</v>
      </c>
      <c r="L27" s="502" t="e">
        <f>#REF!</f>
        <v>#REF!</v>
      </c>
      <c r="M27" s="502" t="e">
        <f>#REF!</f>
        <v>#REF!</v>
      </c>
      <c r="N27" s="502"/>
    </row>
    <row r="28" spans="1:14">
      <c r="G28" s="739" t="e">
        <f>G27+H27</f>
        <v>#REF!</v>
      </c>
      <c r="H28" s="739"/>
      <c r="J28" s="514" t="e">
        <f>J26-J27</f>
        <v>#REF!</v>
      </c>
      <c r="K28" s="514" t="e">
        <f>K26-K27</f>
        <v>#REF!</v>
      </c>
      <c r="L28" s="514" t="e">
        <f>L26-L27</f>
        <v>#REF!</v>
      </c>
      <c r="M28" s="514" t="e">
        <f>M26-M27</f>
        <v>#REF!</v>
      </c>
    </row>
    <row r="31" spans="1:14">
      <c r="A31" s="686" t="s">
        <v>160</v>
      </c>
      <c r="B31" s="686"/>
      <c r="C31" s="686"/>
      <c r="D31" s="686"/>
      <c r="E31" s="686"/>
      <c r="F31" s="686"/>
      <c r="G31" s="686"/>
      <c r="H31" s="686"/>
      <c r="I31" s="686"/>
      <c r="J31" s="686"/>
      <c r="K31" s="686"/>
      <c r="L31" s="686"/>
      <c r="M31" s="686"/>
      <c r="N31" s="686"/>
    </row>
    <row r="32" spans="1:14">
      <c r="A32" s="686"/>
      <c r="B32" s="686"/>
      <c r="C32" s="686"/>
      <c r="D32" s="686"/>
      <c r="E32" s="686"/>
      <c r="F32" s="686"/>
      <c r="G32" s="686"/>
      <c r="H32" s="686"/>
      <c r="I32" s="686"/>
      <c r="J32" s="686"/>
      <c r="K32" s="686"/>
      <c r="L32" s="686"/>
      <c r="M32" s="686"/>
      <c r="N32" s="686"/>
    </row>
    <row r="33" spans="1:14" ht="15.6">
      <c r="A33" s="492"/>
      <c r="B33" s="492"/>
      <c r="C33" s="493"/>
      <c r="D33" s="492"/>
      <c r="E33" s="494"/>
      <c r="F33" s="495"/>
      <c r="G33" s="492"/>
      <c r="H33" s="495"/>
      <c r="I33" s="492"/>
      <c r="J33" s="511"/>
      <c r="K33" s="740"/>
      <c r="L33" s="740"/>
      <c r="M33" s="26"/>
    </row>
    <row r="34" spans="1:14" ht="15.6">
      <c r="A34" s="743" t="s">
        <v>161</v>
      </c>
      <c r="B34" s="743" t="s">
        <v>43</v>
      </c>
      <c r="C34" s="683" t="s">
        <v>46</v>
      </c>
      <c r="D34" s="683"/>
      <c r="E34" s="683"/>
      <c r="F34" s="683" t="s">
        <v>162</v>
      </c>
      <c r="G34" s="683"/>
      <c r="H34" s="683"/>
      <c r="I34" s="683"/>
      <c r="J34" s="683" t="s">
        <v>47</v>
      </c>
      <c r="K34" s="683"/>
      <c r="L34" s="683"/>
      <c r="M34" s="683"/>
      <c r="N34" s="512"/>
    </row>
    <row r="35" spans="1:14" ht="15.6">
      <c r="A35" s="743"/>
      <c r="B35" s="743"/>
      <c r="C35" s="496" t="s">
        <v>48</v>
      </c>
      <c r="D35" s="496" t="s">
        <v>49</v>
      </c>
      <c r="E35" s="496" t="s">
        <v>50</v>
      </c>
      <c r="F35" s="496" t="s">
        <v>62</v>
      </c>
      <c r="G35" s="496" t="s">
        <v>6</v>
      </c>
      <c r="H35" s="496" t="s">
        <v>7</v>
      </c>
      <c r="I35" s="496" t="s">
        <v>51</v>
      </c>
      <c r="J35" s="496" t="s">
        <v>52</v>
      </c>
      <c r="K35" s="496" t="s">
        <v>53</v>
      </c>
      <c r="L35" s="496" t="s">
        <v>54</v>
      </c>
      <c r="M35" s="496" t="s">
        <v>55</v>
      </c>
      <c r="N35" s="512"/>
    </row>
    <row r="36" spans="1:14" ht="15.6">
      <c r="A36" s="741">
        <f>基础数据!A2</f>
        <v>45836</v>
      </c>
      <c r="B36" s="498" t="s">
        <v>32</v>
      </c>
      <c r="C36" s="499">
        <f>'1车间表1'!F7</f>
        <v>0</v>
      </c>
      <c r="D36" s="500">
        <v>3</v>
      </c>
      <c r="E36" s="501">
        <f t="shared" ref="E36:E41" si="11">C36*(1-D36%)</f>
        <v>0</v>
      </c>
      <c r="F36" s="502" t="e">
        <f>'1车间表1'!#REF!</f>
        <v>#REF!</v>
      </c>
      <c r="G36" s="502">
        <f>'1车间表1'!I7</f>
        <v>0</v>
      </c>
      <c r="H36" s="502">
        <f>'1车间表1'!J7</f>
        <v>0</v>
      </c>
      <c r="I36" s="502">
        <f>'1车间表1'!K7</f>
        <v>0</v>
      </c>
      <c r="J36" s="501" t="e">
        <f t="shared" ref="J36:J41" si="12">E36*F36/100</f>
        <v>#REF!</v>
      </c>
      <c r="K36" s="501">
        <f t="shared" ref="K36:K41" si="13">E36*G36/100</f>
        <v>0</v>
      </c>
      <c r="L36" s="501">
        <f t="shared" ref="L36:L41" si="14">E36*H36/100</f>
        <v>0</v>
      </c>
      <c r="M36" s="501">
        <f t="shared" ref="M36:M41" si="15">E36*I36/1000</f>
        <v>0</v>
      </c>
      <c r="N36" s="502"/>
    </row>
    <row r="37" spans="1:14" ht="15.6">
      <c r="A37" s="741"/>
      <c r="B37" s="498" t="s">
        <v>33</v>
      </c>
      <c r="C37" s="499">
        <f>'1车间表1'!F8</f>
        <v>128</v>
      </c>
      <c r="D37" s="500">
        <v>3</v>
      </c>
      <c r="E37" s="501">
        <f t="shared" si="11"/>
        <v>124.16</v>
      </c>
      <c r="F37" s="502" t="e">
        <f>'1车间表1'!#REF!</f>
        <v>#REF!</v>
      </c>
      <c r="G37" s="502">
        <f>'1车间表1'!I8</f>
        <v>3.75</v>
      </c>
      <c r="H37" s="502">
        <f>'1车间表1'!J8</f>
        <v>0</v>
      </c>
      <c r="I37" s="502">
        <f>'1车间表1'!K8</f>
        <v>161</v>
      </c>
      <c r="J37" s="501" t="e">
        <f t="shared" si="12"/>
        <v>#REF!</v>
      </c>
      <c r="K37" s="501">
        <f t="shared" si="13"/>
        <v>4.6559999999999997</v>
      </c>
      <c r="L37" s="501">
        <f t="shared" si="14"/>
        <v>0</v>
      </c>
      <c r="M37" s="501">
        <f t="shared" si="15"/>
        <v>19.989759999999997</v>
      </c>
      <c r="N37" s="502"/>
    </row>
    <row r="38" spans="1:14" ht="15.6">
      <c r="A38" s="741"/>
      <c r="B38" s="498" t="s">
        <v>34</v>
      </c>
      <c r="C38" s="499">
        <f>'1车间表1'!F9</f>
        <v>128</v>
      </c>
      <c r="D38" s="500">
        <v>3</v>
      </c>
      <c r="E38" s="501">
        <f t="shared" si="11"/>
        <v>124.16</v>
      </c>
      <c r="F38" s="502" t="e">
        <f>'1车间表1'!#REF!</f>
        <v>#REF!</v>
      </c>
      <c r="G38" s="502">
        <f>'1车间表1'!I9</f>
        <v>4.07</v>
      </c>
      <c r="H38" s="502">
        <f>'1车间表1'!J9</f>
        <v>0</v>
      </c>
      <c r="I38" s="502">
        <f>'1车间表1'!K9</f>
        <v>230</v>
      </c>
      <c r="J38" s="501" t="e">
        <f t="shared" si="12"/>
        <v>#REF!</v>
      </c>
      <c r="K38" s="501">
        <f t="shared" si="13"/>
        <v>5.053312</v>
      </c>
      <c r="L38" s="501">
        <f t="shared" si="14"/>
        <v>0</v>
      </c>
      <c r="M38" s="501">
        <f t="shared" si="15"/>
        <v>28.556799999999999</v>
      </c>
      <c r="N38" s="502"/>
    </row>
    <row r="39" spans="1:14" ht="15.6">
      <c r="A39" s="741"/>
      <c r="B39" s="498" t="s">
        <v>35</v>
      </c>
      <c r="C39" s="499">
        <f>'2车间表1'!F7</f>
        <v>0</v>
      </c>
      <c r="D39" s="500">
        <v>3</v>
      </c>
      <c r="E39" s="501">
        <f t="shared" si="11"/>
        <v>0</v>
      </c>
      <c r="F39" s="502" t="e">
        <f>'2车间表1'!#REF!</f>
        <v>#REF!</v>
      </c>
      <c r="G39" s="502">
        <f>'2车间表1'!I7</f>
        <v>0</v>
      </c>
      <c r="H39" s="502">
        <f>'2车间表1'!J7</f>
        <v>0</v>
      </c>
      <c r="I39" s="502">
        <f>'2车间表1'!K7</f>
        <v>0</v>
      </c>
      <c r="J39" s="501" t="e">
        <f t="shared" si="12"/>
        <v>#REF!</v>
      </c>
      <c r="K39" s="501">
        <f t="shared" si="13"/>
        <v>0</v>
      </c>
      <c r="L39" s="501">
        <f t="shared" si="14"/>
        <v>0</v>
      </c>
      <c r="M39" s="501">
        <f t="shared" si="15"/>
        <v>0</v>
      </c>
      <c r="N39" s="502"/>
    </row>
    <row r="40" spans="1:14" ht="15.6">
      <c r="A40" s="741"/>
      <c r="B40" s="498" t="s">
        <v>36</v>
      </c>
      <c r="C40" s="499">
        <f>'2车间表1'!F8</f>
        <v>0</v>
      </c>
      <c r="D40" s="500">
        <v>3</v>
      </c>
      <c r="E40" s="501">
        <f t="shared" si="11"/>
        <v>0</v>
      </c>
      <c r="F40" s="502" t="e">
        <f>'2车间表1'!#REF!</f>
        <v>#REF!</v>
      </c>
      <c r="G40" s="502">
        <f>'2车间表1'!I8</f>
        <v>0</v>
      </c>
      <c r="H40" s="502">
        <f>'2车间表1'!J8</f>
        <v>0</v>
      </c>
      <c r="I40" s="502">
        <f>'2车间表1'!K8</f>
        <v>0</v>
      </c>
      <c r="J40" s="501" t="e">
        <f t="shared" si="12"/>
        <v>#REF!</v>
      </c>
      <c r="K40" s="501">
        <f t="shared" si="13"/>
        <v>0</v>
      </c>
      <c r="L40" s="501">
        <f t="shared" si="14"/>
        <v>0</v>
      </c>
      <c r="M40" s="501">
        <f t="shared" si="15"/>
        <v>0</v>
      </c>
      <c r="N40" s="502"/>
    </row>
    <row r="41" spans="1:14" ht="15.6">
      <c r="A41" s="742"/>
      <c r="B41" s="503" t="s">
        <v>37</v>
      </c>
      <c r="C41" s="499">
        <f>'2车间表1'!F9</f>
        <v>0</v>
      </c>
      <c r="D41" s="504">
        <v>3</v>
      </c>
      <c r="E41" s="501">
        <f t="shared" si="11"/>
        <v>0</v>
      </c>
      <c r="F41" s="502" t="e">
        <f>'2车间表1'!#REF!</f>
        <v>#REF!</v>
      </c>
      <c r="G41" s="502">
        <f>'2车间表1'!I9</f>
        <v>0</v>
      </c>
      <c r="H41" s="502">
        <f>'2车间表1'!J9</f>
        <v>0</v>
      </c>
      <c r="I41" s="502">
        <f>'2车间表1'!K9</f>
        <v>0</v>
      </c>
      <c r="J41" s="501" t="e">
        <f t="shared" si="12"/>
        <v>#REF!</v>
      </c>
      <c r="K41" s="505">
        <f t="shared" si="13"/>
        <v>0</v>
      </c>
      <c r="L41" s="505">
        <f t="shared" si="14"/>
        <v>0</v>
      </c>
      <c r="M41" s="505">
        <f t="shared" si="15"/>
        <v>0</v>
      </c>
      <c r="N41" s="502"/>
    </row>
    <row r="42" spans="1:14" ht="15.6">
      <c r="A42" s="741" t="s">
        <v>165</v>
      </c>
      <c r="B42" s="498" t="s">
        <v>32</v>
      </c>
      <c r="C42" s="502"/>
      <c r="D42" s="507"/>
      <c r="E42" s="501"/>
      <c r="F42" s="508"/>
      <c r="G42" s="508"/>
      <c r="H42" s="508"/>
      <c r="I42" s="508"/>
      <c r="J42" s="501"/>
      <c r="K42" s="501"/>
      <c r="L42" s="501"/>
      <c r="M42" s="501"/>
      <c r="N42" s="502"/>
    </row>
    <row r="43" spans="1:14" ht="15.6">
      <c r="A43" s="741"/>
      <c r="B43" s="498" t="s">
        <v>33</v>
      </c>
      <c r="C43" s="502"/>
      <c r="D43" s="507"/>
      <c r="E43" s="501"/>
      <c r="F43" s="508"/>
      <c r="G43" s="508"/>
      <c r="H43" s="508"/>
      <c r="I43" s="508"/>
      <c r="J43" s="501"/>
      <c r="K43" s="501"/>
      <c r="L43" s="501"/>
      <c r="M43" s="501"/>
      <c r="N43" s="502"/>
    </row>
    <row r="44" spans="1:14" ht="15.6">
      <c r="A44" s="741"/>
      <c r="B44" s="498" t="s">
        <v>34</v>
      </c>
      <c r="C44" s="502"/>
      <c r="D44" s="507"/>
      <c r="E44" s="501"/>
      <c r="F44" s="508"/>
      <c r="G44" s="508"/>
      <c r="H44" s="508"/>
      <c r="I44" s="508"/>
      <c r="J44" s="501"/>
      <c r="K44" s="501"/>
      <c r="L44" s="501"/>
      <c r="M44" s="501"/>
      <c r="N44" s="502"/>
    </row>
    <row r="45" spans="1:14" ht="15.6">
      <c r="A45" s="741"/>
      <c r="B45" s="498" t="s">
        <v>35</v>
      </c>
      <c r="C45" s="502"/>
      <c r="D45" s="507"/>
      <c r="E45" s="501"/>
      <c r="F45" s="508"/>
      <c r="G45" s="508"/>
      <c r="H45" s="508"/>
      <c r="I45" s="508"/>
      <c r="J45" s="501"/>
      <c r="K45" s="501"/>
      <c r="L45" s="501"/>
      <c r="M45" s="501"/>
      <c r="N45" s="502"/>
    </row>
    <row r="46" spans="1:14" ht="15.6">
      <c r="A46" s="741"/>
      <c r="B46" s="498" t="s">
        <v>36</v>
      </c>
      <c r="C46" s="502"/>
      <c r="D46" s="507"/>
      <c r="E46" s="501"/>
      <c r="F46" s="508"/>
      <c r="G46" s="508"/>
      <c r="H46" s="508"/>
      <c r="I46" s="508"/>
      <c r="J46" s="501"/>
      <c r="K46" s="501"/>
      <c r="L46" s="501"/>
      <c r="M46" s="501"/>
      <c r="N46" s="502"/>
    </row>
    <row r="47" spans="1:14" ht="15.6">
      <c r="A47" s="741"/>
      <c r="B47" s="498" t="s">
        <v>37</v>
      </c>
      <c r="C47" s="502"/>
      <c r="D47" s="507"/>
      <c r="E47" s="501"/>
      <c r="F47" s="508"/>
      <c r="G47" s="508"/>
      <c r="H47" s="508"/>
      <c r="I47" s="508"/>
      <c r="J47" s="501"/>
      <c r="K47" s="501"/>
      <c r="L47" s="501"/>
      <c r="M47" s="501"/>
      <c r="N47" s="502"/>
    </row>
    <row r="48" spans="1:14" ht="15.6">
      <c r="A48" s="741" t="s">
        <v>166</v>
      </c>
      <c r="B48" s="498" t="s">
        <v>32</v>
      </c>
      <c r="C48" s="502">
        <f>C36</f>
        <v>0</v>
      </c>
      <c r="D48" s="507">
        <v>7.25</v>
      </c>
      <c r="E48" s="501">
        <f>C48*(1-D48%)</f>
        <v>0</v>
      </c>
      <c r="F48" s="509" t="e">
        <f>J48/E48*100</f>
        <v>#REF!</v>
      </c>
      <c r="G48" s="509" t="e">
        <f>K48/E48*100</f>
        <v>#DIV/0!</v>
      </c>
      <c r="H48" s="509" t="e">
        <f>L48/E48*100</f>
        <v>#DIV/0!</v>
      </c>
      <c r="I48" s="509" t="e">
        <f t="shared" ref="I48:I55" si="16">M48/E48*1000</f>
        <v>#DIV/0!</v>
      </c>
      <c r="J48" s="513" t="e">
        <f t="shared" ref="J48:M50" si="17">J36</f>
        <v>#REF!</v>
      </c>
      <c r="K48" s="513">
        <f t="shared" si="17"/>
        <v>0</v>
      </c>
      <c r="L48" s="513">
        <f t="shared" si="17"/>
        <v>0</v>
      </c>
      <c r="M48" s="513">
        <f t="shared" si="17"/>
        <v>0</v>
      </c>
      <c r="N48" s="502"/>
    </row>
    <row r="49" spans="1:14" ht="15.6">
      <c r="A49" s="741"/>
      <c r="B49" s="498" t="s">
        <v>33</v>
      </c>
      <c r="C49" s="502">
        <f>C37</f>
        <v>128</v>
      </c>
      <c r="D49" s="507">
        <v>7.25</v>
      </c>
      <c r="E49" s="501">
        <f t="shared" ref="E49:E54" si="18">C49*(1-D49%)</f>
        <v>118.72</v>
      </c>
      <c r="F49" s="509" t="e">
        <f t="shared" ref="F49:F55" si="19">J49/E49*100</f>
        <v>#REF!</v>
      </c>
      <c r="G49" s="509">
        <f t="shared" ref="G49:G55" si="20">K49/E49*100</f>
        <v>3.9218328840970345</v>
      </c>
      <c r="H49" s="509">
        <f t="shared" ref="H49:H55" si="21">L49/E49*100</f>
        <v>0</v>
      </c>
      <c r="I49" s="509">
        <f t="shared" si="16"/>
        <v>168.377358490566</v>
      </c>
      <c r="J49" s="513" t="e">
        <f t="shared" si="17"/>
        <v>#REF!</v>
      </c>
      <c r="K49" s="513">
        <f t="shared" si="17"/>
        <v>4.6559999999999997</v>
      </c>
      <c r="L49" s="513">
        <f t="shared" si="17"/>
        <v>0</v>
      </c>
      <c r="M49" s="513">
        <f t="shared" si="17"/>
        <v>19.989759999999997</v>
      </c>
      <c r="N49" s="502"/>
    </row>
    <row r="50" spans="1:14" ht="15.6">
      <c r="A50" s="741"/>
      <c r="B50" s="498" t="s">
        <v>34</v>
      </c>
      <c r="C50" s="502">
        <f>C38</f>
        <v>128</v>
      </c>
      <c r="D50" s="507">
        <v>7.25</v>
      </c>
      <c r="E50" s="501">
        <f t="shared" si="18"/>
        <v>118.72</v>
      </c>
      <c r="F50" s="509" t="e">
        <f t="shared" si="19"/>
        <v>#REF!</v>
      </c>
      <c r="G50" s="509">
        <f t="shared" si="20"/>
        <v>4.2564959568733158</v>
      </c>
      <c r="H50" s="509">
        <f t="shared" si="21"/>
        <v>0</v>
      </c>
      <c r="I50" s="509">
        <f t="shared" si="16"/>
        <v>240.53908355795147</v>
      </c>
      <c r="J50" s="513" t="e">
        <f t="shared" si="17"/>
        <v>#REF!</v>
      </c>
      <c r="K50" s="513">
        <f t="shared" si="17"/>
        <v>5.053312</v>
      </c>
      <c r="L50" s="513">
        <f t="shared" si="17"/>
        <v>0</v>
      </c>
      <c r="M50" s="513">
        <f t="shared" si="17"/>
        <v>28.556799999999999</v>
      </c>
      <c r="N50" s="502"/>
    </row>
    <row r="51" spans="1:14" ht="15.6">
      <c r="A51" s="741"/>
      <c r="B51" s="498" t="s">
        <v>167</v>
      </c>
      <c r="C51" s="502">
        <f>SUM(C48:C50)</f>
        <v>256</v>
      </c>
      <c r="D51" s="507"/>
      <c r="E51" s="501">
        <f>SUM(E48:E50)</f>
        <v>237.44</v>
      </c>
      <c r="F51" s="509" t="e">
        <f t="shared" si="19"/>
        <v>#REF!</v>
      </c>
      <c r="G51" s="509">
        <f t="shared" si="20"/>
        <v>4.0891644204851758</v>
      </c>
      <c r="H51" s="509">
        <f t="shared" si="21"/>
        <v>0</v>
      </c>
      <c r="I51" s="509">
        <f t="shared" si="16"/>
        <v>204.45822102425876</v>
      </c>
      <c r="J51" s="513" t="e">
        <f>SUM(J48:J50)</f>
        <v>#REF!</v>
      </c>
      <c r="K51" s="513">
        <f>SUM(K48:K50)</f>
        <v>9.7093120000000006</v>
      </c>
      <c r="L51" s="513">
        <f>SUM(L48:L50)</f>
        <v>0</v>
      </c>
      <c r="M51" s="513">
        <f>SUM(M48:M50)</f>
        <v>48.546559999999999</v>
      </c>
      <c r="N51" s="502"/>
    </row>
    <row r="52" spans="1:14" ht="15.6">
      <c r="A52" s="741"/>
      <c r="B52" s="498" t="s">
        <v>35</v>
      </c>
      <c r="C52" s="502">
        <f>C39</f>
        <v>0</v>
      </c>
      <c r="D52" s="507">
        <v>7.25</v>
      </c>
      <c r="E52" s="501">
        <f t="shared" si="18"/>
        <v>0</v>
      </c>
      <c r="F52" s="509" t="e">
        <f t="shared" si="19"/>
        <v>#REF!</v>
      </c>
      <c r="G52" s="509" t="e">
        <f t="shared" si="20"/>
        <v>#DIV/0!</v>
      </c>
      <c r="H52" s="509" t="e">
        <f t="shared" si="21"/>
        <v>#DIV/0!</v>
      </c>
      <c r="I52" s="509" t="e">
        <f t="shared" si="16"/>
        <v>#DIV/0!</v>
      </c>
      <c r="J52" s="513" t="e">
        <f t="shared" ref="J52:M54" si="22">J39</f>
        <v>#REF!</v>
      </c>
      <c r="K52" s="513">
        <f t="shared" si="22"/>
        <v>0</v>
      </c>
      <c r="L52" s="513">
        <f t="shared" si="22"/>
        <v>0</v>
      </c>
      <c r="M52" s="513">
        <f t="shared" si="22"/>
        <v>0</v>
      </c>
      <c r="N52" s="502"/>
    </row>
    <row r="53" spans="1:14" ht="15.6">
      <c r="A53" s="741"/>
      <c r="B53" s="498" t="s">
        <v>36</v>
      </c>
      <c r="C53" s="502">
        <f>C40</f>
        <v>0</v>
      </c>
      <c r="D53" s="507">
        <v>7.25</v>
      </c>
      <c r="E53" s="501">
        <f t="shared" si="18"/>
        <v>0</v>
      </c>
      <c r="F53" s="509" t="e">
        <f t="shared" si="19"/>
        <v>#REF!</v>
      </c>
      <c r="G53" s="509" t="e">
        <f t="shared" si="20"/>
        <v>#DIV/0!</v>
      </c>
      <c r="H53" s="509" t="e">
        <f t="shared" si="21"/>
        <v>#DIV/0!</v>
      </c>
      <c r="I53" s="509" t="e">
        <f t="shared" si="16"/>
        <v>#DIV/0!</v>
      </c>
      <c r="J53" s="513" t="e">
        <f t="shared" si="22"/>
        <v>#REF!</v>
      </c>
      <c r="K53" s="513">
        <f t="shared" si="22"/>
        <v>0</v>
      </c>
      <c r="L53" s="513">
        <f t="shared" si="22"/>
        <v>0</v>
      </c>
      <c r="M53" s="513">
        <f t="shared" si="22"/>
        <v>0</v>
      </c>
      <c r="N53" s="502"/>
    </row>
    <row r="54" spans="1:14" ht="15.6">
      <c r="A54" s="741"/>
      <c r="B54" s="498" t="s">
        <v>37</v>
      </c>
      <c r="C54" s="502">
        <f>C41</f>
        <v>0</v>
      </c>
      <c r="D54" s="507">
        <v>7.25</v>
      </c>
      <c r="E54" s="501">
        <f t="shared" si="18"/>
        <v>0</v>
      </c>
      <c r="F54" s="509" t="e">
        <f t="shared" si="19"/>
        <v>#REF!</v>
      </c>
      <c r="G54" s="509" t="e">
        <f t="shared" si="20"/>
        <v>#DIV/0!</v>
      </c>
      <c r="H54" s="509" t="e">
        <f t="shared" si="21"/>
        <v>#DIV/0!</v>
      </c>
      <c r="I54" s="509" t="e">
        <f t="shared" si="16"/>
        <v>#DIV/0!</v>
      </c>
      <c r="J54" s="513" t="e">
        <f t="shared" si="22"/>
        <v>#REF!</v>
      </c>
      <c r="K54" s="513">
        <f t="shared" si="22"/>
        <v>0</v>
      </c>
      <c r="L54" s="513">
        <f t="shared" si="22"/>
        <v>0</v>
      </c>
      <c r="M54" s="513">
        <f t="shared" si="22"/>
        <v>0</v>
      </c>
      <c r="N54" s="502"/>
    </row>
    <row r="55" spans="1:14" ht="15.6">
      <c r="A55" s="497"/>
      <c r="B55" s="498" t="s">
        <v>167</v>
      </c>
      <c r="C55" s="502">
        <f>SUM(C52:C54)</f>
        <v>0</v>
      </c>
      <c r="D55" s="507"/>
      <c r="E55" s="501">
        <f>SUM(E52:E54)</f>
        <v>0</v>
      </c>
      <c r="F55" s="509" t="e">
        <f t="shared" si="19"/>
        <v>#REF!</v>
      </c>
      <c r="G55" s="509" t="e">
        <f t="shared" si="20"/>
        <v>#DIV/0!</v>
      </c>
      <c r="H55" s="509" t="e">
        <f t="shared" si="21"/>
        <v>#DIV/0!</v>
      </c>
      <c r="I55" s="509" t="e">
        <f t="shared" si="16"/>
        <v>#DIV/0!</v>
      </c>
      <c r="J55" s="513" t="e">
        <f>SUM(J52:J54)</f>
        <v>#REF!</v>
      </c>
      <c r="K55" s="513">
        <f>SUM(K52:K54)</f>
        <v>0</v>
      </c>
      <c r="L55" s="513">
        <f>SUM(L52:L54)</f>
        <v>0</v>
      </c>
      <c r="M55" s="513">
        <f>SUM(M52:M54)</f>
        <v>0</v>
      </c>
      <c r="N55" s="502"/>
    </row>
    <row r="56" spans="1:14">
      <c r="A56" s="323" t="s">
        <v>168</v>
      </c>
      <c r="B56" s="323"/>
      <c r="C56" s="502" t="e">
        <f>C57</f>
        <v>#REF!</v>
      </c>
      <c r="D56" s="502"/>
      <c r="E56" s="502">
        <f>'班组统计台账（3%）日累'!D8</f>
        <v>248.32</v>
      </c>
      <c r="F56" s="502" t="e">
        <f>'班组统计台账（3%）日累'!#REF!</f>
        <v>#REF!</v>
      </c>
      <c r="G56" s="502">
        <f>'班组统计台账（3%）日累'!E8</f>
        <v>3.91</v>
      </c>
      <c r="H56" s="502">
        <f>'班组统计台账（3%）日累'!F8</f>
        <v>0</v>
      </c>
      <c r="I56" s="502">
        <f>'班组统计台账（3%）日累'!G8</f>
        <v>195.5</v>
      </c>
      <c r="J56" s="502" t="e">
        <f>'班组统计台账（3%）日累'!#REF!</f>
        <v>#REF!</v>
      </c>
      <c r="K56" s="502">
        <f>'班组统计台账（3%）日累'!H8</f>
        <v>9.7093120000000006</v>
      </c>
      <c r="L56" s="502">
        <f>'班组统计台账（3%）日累'!I8</f>
        <v>0</v>
      </c>
      <c r="M56" s="502">
        <f>'班组统计台账（3%）日累'!J8</f>
        <v>48.546559999999999</v>
      </c>
      <c r="N56" s="502"/>
    </row>
    <row r="57" spans="1:14">
      <c r="A57" s="323" t="s">
        <v>170</v>
      </c>
      <c r="B57" s="323"/>
      <c r="C57" s="502" t="e">
        <f>#REF!</f>
        <v>#REF!</v>
      </c>
      <c r="D57" s="502"/>
      <c r="E57" s="502" t="e">
        <f>#REF!</f>
        <v>#REF!</v>
      </c>
      <c r="F57" s="502" t="e">
        <f>#REF!</f>
        <v>#REF!</v>
      </c>
      <c r="G57" s="502" t="e">
        <f>#REF!</f>
        <v>#REF!</v>
      </c>
      <c r="H57" s="502" t="e">
        <f>#REF!</f>
        <v>#REF!</v>
      </c>
      <c r="I57" s="502" t="e">
        <f>#REF!</f>
        <v>#REF!</v>
      </c>
      <c r="J57" s="502" t="e">
        <f>#REF!</f>
        <v>#REF!</v>
      </c>
      <c r="K57" s="502" t="e">
        <f>#REF!</f>
        <v>#REF!</v>
      </c>
      <c r="L57" s="502" t="e">
        <f>#REF!</f>
        <v>#REF!</v>
      </c>
      <c r="M57" s="502" t="e">
        <f>#REF!</f>
        <v>#REF!</v>
      </c>
      <c r="N57" s="502"/>
    </row>
    <row r="58" spans="1:14">
      <c r="A58" s="323" t="s">
        <v>171</v>
      </c>
      <c r="C58" s="510"/>
      <c r="D58" s="510"/>
      <c r="E58" s="510" t="e">
        <f>#REF!</f>
        <v>#REF!</v>
      </c>
      <c r="F58" s="510" t="e">
        <f>#REF!</f>
        <v>#REF!</v>
      </c>
      <c r="G58" s="510" t="e">
        <f>#REF!</f>
        <v>#REF!</v>
      </c>
      <c r="H58" s="510" t="e">
        <f>#REF!</f>
        <v>#REF!</v>
      </c>
      <c r="I58" s="510" t="e">
        <f>#REF!</f>
        <v>#REF!</v>
      </c>
      <c r="J58" s="510" t="e">
        <f>#REF!</f>
        <v>#REF!</v>
      </c>
      <c r="K58" s="510" t="e">
        <f>#REF!</f>
        <v>#REF!</v>
      </c>
      <c r="L58" s="510" t="e">
        <f>#REF!</f>
        <v>#REF!</v>
      </c>
      <c r="M58" s="510" t="e">
        <f>#REF!</f>
        <v>#REF!</v>
      </c>
      <c r="N58" s="510"/>
    </row>
    <row r="59" spans="1:14">
      <c r="G59" s="739" t="e">
        <f>G57+H57</f>
        <v>#REF!</v>
      </c>
      <c r="H59" s="739"/>
      <c r="J59" s="514" t="e">
        <f>J56-J57</f>
        <v>#REF!</v>
      </c>
      <c r="K59" s="514" t="e">
        <f>K56-K57</f>
        <v>#REF!</v>
      </c>
      <c r="L59" s="514" t="e">
        <f>L56-L57</f>
        <v>#REF!</v>
      </c>
      <c r="M59" s="514" t="e">
        <f>M56-M57</f>
        <v>#REF!</v>
      </c>
    </row>
  </sheetData>
  <mergeCells count="22">
    <mergeCell ref="A1:N2"/>
    <mergeCell ref="A31:N32"/>
    <mergeCell ref="A36:A41"/>
    <mergeCell ref="A42:A47"/>
    <mergeCell ref="A48:A54"/>
    <mergeCell ref="B4:B5"/>
    <mergeCell ref="B34:B35"/>
    <mergeCell ref="A4:A5"/>
    <mergeCell ref="A6:A11"/>
    <mergeCell ref="A12:A17"/>
    <mergeCell ref="A18:A24"/>
    <mergeCell ref="A34:A35"/>
    <mergeCell ref="K33:L33"/>
    <mergeCell ref="C34:E34"/>
    <mergeCell ref="F34:I34"/>
    <mergeCell ref="J34:M34"/>
    <mergeCell ref="G59:H59"/>
    <mergeCell ref="K3:L3"/>
    <mergeCell ref="C4:E4"/>
    <mergeCell ref="F4:I4"/>
    <mergeCell ref="J4:M4"/>
    <mergeCell ref="G28:H28"/>
  </mergeCells>
  <phoneticPr fontId="54" type="noConversion"/>
  <pageMargins left="0.98750000000000004" right="0.75138888888888899" top="1" bottom="1" header="0.51180555555555596" footer="0.51180555555555596"/>
  <pageSetup paperSize="9" scale="8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/>
  <dimension ref="A1:K113"/>
  <sheetViews>
    <sheetView zoomScale="85" zoomScaleNormal="85" workbookViewId="0">
      <selection activeCell="M25" sqref="M25"/>
    </sheetView>
  </sheetViews>
  <sheetFormatPr defaultColWidth="9" defaultRowHeight="15.6"/>
  <cols>
    <col min="1" max="1" width="5.6640625" style="344" customWidth="1"/>
    <col min="2" max="2" width="21.88671875" style="343" customWidth="1"/>
    <col min="3" max="3" width="5.6640625" style="343" customWidth="1"/>
    <col min="4" max="5" width="15.6640625" style="343" customWidth="1"/>
    <col min="6" max="6" width="16.6640625" style="343" customWidth="1"/>
    <col min="7" max="7" width="18.6640625" style="343" customWidth="1"/>
    <col min="8" max="9" width="15.6640625" style="343" customWidth="1"/>
    <col min="10" max="10" width="18.6640625" style="343" customWidth="1"/>
    <col min="11" max="11" width="18.21875" style="343" customWidth="1"/>
    <col min="12" max="256" width="9" style="343"/>
    <col min="257" max="257" width="5.6640625" style="343" customWidth="1"/>
    <col min="258" max="258" width="21.88671875" style="343" customWidth="1"/>
    <col min="259" max="259" width="5.6640625" style="343" customWidth="1"/>
    <col min="260" max="261" width="15.6640625" style="343" customWidth="1"/>
    <col min="262" max="262" width="16.6640625" style="343" customWidth="1"/>
    <col min="263" max="263" width="18.6640625" style="343" customWidth="1"/>
    <col min="264" max="265" width="15.6640625" style="343" customWidth="1"/>
    <col min="266" max="266" width="18.6640625" style="343" customWidth="1"/>
    <col min="267" max="267" width="18.21875" style="343" customWidth="1"/>
    <col min="268" max="512" width="9" style="343"/>
    <col min="513" max="513" width="5.6640625" style="343" customWidth="1"/>
    <col min="514" max="514" width="21.88671875" style="343" customWidth="1"/>
    <col min="515" max="515" width="5.6640625" style="343" customWidth="1"/>
    <col min="516" max="517" width="15.6640625" style="343" customWidth="1"/>
    <col min="518" max="518" width="16.6640625" style="343" customWidth="1"/>
    <col min="519" max="519" width="18.6640625" style="343" customWidth="1"/>
    <col min="520" max="521" width="15.6640625" style="343" customWidth="1"/>
    <col min="522" max="522" width="18.6640625" style="343" customWidth="1"/>
    <col min="523" max="523" width="18.21875" style="343" customWidth="1"/>
    <col min="524" max="768" width="9" style="343"/>
    <col min="769" max="769" width="5.6640625" style="343" customWidth="1"/>
    <col min="770" max="770" width="21.88671875" style="343" customWidth="1"/>
    <col min="771" max="771" width="5.6640625" style="343" customWidth="1"/>
    <col min="772" max="773" width="15.6640625" style="343" customWidth="1"/>
    <col min="774" max="774" width="16.6640625" style="343" customWidth="1"/>
    <col min="775" max="775" width="18.6640625" style="343" customWidth="1"/>
    <col min="776" max="777" width="15.6640625" style="343" customWidth="1"/>
    <col min="778" max="778" width="18.6640625" style="343" customWidth="1"/>
    <col min="779" max="779" width="18.21875" style="343" customWidth="1"/>
    <col min="780" max="1024" width="9" style="343"/>
    <col min="1025" max="1025" width="5.6640625" style="343" customWidth="1"/>
    <col min="1026" max="1026" width="21.88671875" style="343" customWidth="1"/>
    <col min="1027" max="1027" width="5.6640625" style="343" customWidth="1"/>
    <col min="1028" max="1029" width="15.6640625" style="343" customWidth="1"/>
    <col min="1030" max="1030" width="16.6640625" style="343" customWidth="1"/>
    <col min="1031" max="1031" width="18.6640625" style="343" customWidth="1"/>
    <col min="1032" max="1033" width="15.6640625" style="343" customWidth="1"/>
    <col min="1034" max="1034" width="18.6640625" style="343" customWidth="1"/>
    <col min="1035" max="1035" width="18.21875" style="343" customWidth="1"/>
    <col min="1036" max="1280" width="9" style="343"/>
    <col min="1281" max="1281" width="5.6640625" style="343" customWidth="1"/>
    <col min="1282" max="1282" width="21.88671875" style="343" customWidth="1"/>
    <col min="1283" max="1283" width="5.6640625" style="343" customWidth="1"/>
    <col min="1284" max="1285" width="15.6640625" style="343" customWidth="1"/>
    <col min="1286" max="1286" width="16.6640625" style="343" customWidth="1"/>
    <col min="1287" max="1287" width="18.6640625" style="343" customWidth="1"/>
    <col min="1288" max="1289" width="15.6640625" style="343" customWidth="1"/>
    <col min="1290" max="1290" width="18.6640625" style="343" customWidth="1"/>
    <col min="1291" max="1291" width="18.21875" style="343" customWidth="1"/>
    <col min="1292" max="1536" width="9" style="343"/>
    <col min="1537" max="1537" width="5.6640625" style="343" customWidth="1"/>
    <col min="1538" max="1538" width="21.88671875" style="343" customWidth="1"/>
    <col min="1539" max="1539" width="5.6640625" style="343" customWidth="1"/>
    <col min="1540" max="1541" width="15.6640625" style="343" customWidth="1"/>
    <col min="1542" max="1542" width="16.6640625" style="343" customWidth="1"/>
    <col min="1543" max="1543" width="18.6640625" style="343" customWidth="1"/>
    <col min="1544" max="1545" width="15.6640625" style="343" customWidth="1"/>
    <col min="1546" max="1546" width="18.6640625" style="343" customWidth="1"/>
    <col min="1547" max="1547" width="18.21875" style="343" customWidth="1"/>
    <col min="1548" max="1792" width="9" style="343"/>
    <col min="1793" max="1793" width="5.6640625" style="343" customWidth="1"/>
    <col min="1794" max="1794" width="21.88671875" style="343" customWidth="1"/>
    <col min="1795" max="1795" width="5.6640625" style="343" customWidth="1"/>
    <col min="1796" max="1797" width="15.6640625" style="343" customWidth="1"/>
    <col min="1798" max="1798" width="16.6640625" style="343" customWidth="1"/>
    <col min="1799" max="1799" width="18.6640625" style="343" customWidth="1"/>
    <col min="1800" max="1801" width="15.6640625" style="343" customWidth="1"/>
    <col min="1802" max="1802" width="18.6640625" style="343" customWidth="1"/>
    <col min="1803" max="1803" width="18.21875" style="343" customWidth="1"/>
    <col min="1804" max="2048" width="9" style="343"/>
    <col min="2049" max="2049" width="5.6640625" style="343" customWidth="1"/>
    <col min="2050" max="2050" width="21.88671875" style="343" customWidth="1"/>
    <col min="2051" max="2051" width="5.6640625" style="343" customWidth="1"/>
    <col min="2052" max="2053" width="15.6640625" style="343" customWidth="1"/>
    <col min="2054" max="2054" width="16.6640625" style="343" customWidth="1"/>
    <col min="2055" max="2055" width="18.6640625" style="343" customWidth="1"/>
    <col min="2056" max="2057" width="15.6640625" style="343" customWidth="1"/>
    <col min="2058" max="2058" width="18.6640625" style="343" customWidth="1"/>
    <col min="2059" max="2059" width="18.21875" style="343" customWidth="1"/>
    <col min="2060" max="2304" width="9" style="343"/>
    <col min="2305" max="2305" width="5.6640625" style="343" customWidth="1"/>
    <col min="2306" max="2306" width="21.88671875" style="343" customWidth="1"/>
    <col min="2307" max="2307" width="5.6640625" style="343" customWidth="1"/>
    <col min="2308" max="2309" width="15.6640625" style="343" customWidth="1"/>
    <col min="2310" max="2310" width="16.6640625" style="343" customWidth="1"/>
    <col min="2311" max="2311" width="18.6640625" style="343" customWidth="1"/>
    <col min="2312" max="2313" width="15.6640625" style="343" customWidth="1"/>
    <col min="2314" max="2314" width="18.6640625" style="343" customWidth="1"/>
    <col min="2315" max="2315" width="18.21875" style="343" customWidth="1"/>
    <col min="2316" max="2560" width="9" style="343"/>
    <col min="2561" max="2561" width="5.6640625" style="343" customWidth="1"/>
    <col min="2562" max="2562" width="21.88671875" style="343" customWidth="1"/>
    <col min="2563" max="2563" width="5.6640625" style="343" customWidth="1"/>
    <col min="2564" max="2565" width="15.6640625" style="343" customWidth="1"/>
    <col min="2566" max="2566" width="16.6640625" style="343" customWidth="1"/>
    <col min="2567" max="2567" width="18.6640625" style="343" customWidth="1"/>
    <col min="2568" max="2569" width="15.6640625" style="343" customWidth="1"/>
    <col min="2570" max="2570" width="18.6640625" style="343" customWidth="1"/>
    <col min="2571" max="2571" width="18.21875" style="343" customWidth="1"/>
    <col min="2572" max="2816" width="9" style="343"/>
    <col min="2817" max="2817" width="5.6640625" style="343" customWidth="1"/>
    <col min="2818" max="2818" width="21.88671875" style="343" customWidth="1"/>
    <col min="2819" max="2819" width="5.6640625" style="343" customWidth="1"/>
    <col min="2820" max="2821" width="15.6640625" style="343" customWidth="1"/>
    <col min="2822" max="2822" width="16.6640625" style="343" customWidth="1"/>
    <col min="2823" max="2823" width="18.6640625" style="343" customWidth="1"/>
    <col min="2824" max="2825" width="15.6640625" style="343" customWidth="1"/>
    <col min="2826" max="2826" width="18.6640625" style="343" customWidth="1"/>
    <col min="2827" max="2827" width="18.21875" style="343" customWidth="1"/>
    <col min="2828" max="3072" width="9" style="343"/>
    <col min="3073" max="3073" width="5.6640625" style="343" customWidth="1"/>
    <col min="3074" max="3074" width="21.88671875" style="343" customWidth="1"/>
    <col min="3075" max="3075" width="5.6640625" style="343" customWidth="1"/>
    <col min="3076" max="3077" width="15.6640625" style="343" customWidth="1"/>
    <col min="3078" max="3078" width="16.6640625" style="343" customWidth="1"/>
    <col min="3079" max="3079" width="18.6640625" style="343" customWidth="1"/>
    <col min="3080" max="3081" width="15.6640625" style="343" customWidth="1"/>
    <col min="3082" max="3082" width="18.6640625" style="343" customWidth="1"/>
    <col min="3083" max="3083" width="18.21875" style="343" customWidth="1"/>
    <col min="3084" max="3328" width="9" style="343"/>
    <col min="3329" max="3329" width="5.6640625" style="343" customWidth="1"/>
    <col min="3330" max="3330" width="21.88671875" style="343" customWidth="1"/>
    <col min="3331" max="3331" width="5.6640625" style="343" customWidth="1"/>
    <col min="3332" max="3333" width="15.6640625" style="343" customWidth="1"/>
    <col min="3334" max="3334" width="16.6640625" style="343" customWidth="1"/>
    <col min="3335" max="3335" width="18.6640625" style="343" customWidth="1"/>
    <col min="3336" max="3337" width="15.6640625" style="343" customWidth="1"/>
    <col min="3338" max="3338" width="18.6640625" style="343" customWidth="1"/>
    <col min="3339" max="3339" width="18.21875" style="343" customWidth="1"/>
    <col min="3340" max="3584" width="9" style="343"/>
    <col min="3585" max="3585" width="5.6640625" style="343" customWidth="1"/>
    <col min="3586" max="3586" width="21.88671875" style="343" customWidth="1"/>
    <col min="3587" max="3587" width="5.6640625" style="343" customWidth="1"/>
    <col min="3588" max="3589" width="15.6640625" style="343" customWidth="1"/>
    <col min="3590" max="3590" width="16.6640625" style="343" customWidth="1"/>
    <col min="3591" max="3591" width="18.6640625" style="343" customWidth="1"/>
    <col min="3592" max="3593" width="15.6640625" style="343" customWidth="1"/>
    <col min="3594" max="3594" width="18.6640625" style="343" customWidth="1"/>
    <col min="3595" max="3595" width="18.21875" style="343" customWidth="1"/>
    <col min="3596" max="3840" width="9" style="343"/>
    <col min="3841" max="3841" width="5.6640625" style="343" customWidth="1"/>
    <col min="3842" max="3842" width="21.88671875" style="343" customWidth="1"/>
    <col min="3843" max="3843" width="5.6640625" style="343" customWidth="1"/>
    <col min="3844" max="3845" width="15.6640625" style="343" customWidth="1"/>
    <col min="3846" max="3846" width="16.6640625" style="343" customWidth="1"/>
    <col min="3847" max="3847" width="18.6640625" style="343" customWidth="1"/>
    <col min="3848" max="3849" width="15.6640625" style="343" customWidth="1"/>
    <col min="3850" max="3850" width="18.6640625" style="343" customWidth="1"/>
    <col min="3851" max="3851" width="18.21875" style="343" customWidth="1"/>
    <col min="3852" max="4096" width="9" style="343"/>
    <col min="4097" max="4097" width="5.6640625" style="343" customWidth="1"/>
    <col min="4098" max="4098" width="21.88671875" style="343" customWidth="1"/>
    <col min="4099" max="4099" width="5.6640625" style="343" customWidth="1"/>
    <col min="4100" max="4101" width="15.6640625" style="343" customWidth="1"/>
    <col min="4102" max="4102" width="16.6640625" style="343" customWidth="1"/>
    <col min="4103" max="4103" width="18.6640625" style="343" customWidth="1"/>
    <col min="4104" max="4105" width="15.6640625" style="343" customWidth="1"/>
    <col min="4106" max="4106" width="18.6640625" style="343" customWidth="1"/>
    <col min="4107" max="4107" width="18.21875" style="343" customWidth="1"/>
    <col min="4108" max="4352" width="9" style="343"/>
    <col min="4353" max="4353" width="5.6640625" style="343" customWidth="1"/>
    <col min="4354" max="4354" width="21.88671875" style="343" customWidth="1"/>
    <col min="4355" max="4355" width="5.6640625" style="343" customWidth="1"/>
    <col min="4356" max="4357" width="15.6640625" style="343" customWidth="1"/>
    <col min="4358" max="4358" width="16.6640625" style="343" customWidth="1"/>
    <col min="4359" max="4359" width="18.6640625" style="343" customWidth="1"/>
    <col min="4360" max="4361" width="15.6640625" style="343" customWidth="1"/>
    <col min="4362" max="4362" width="18.6640625" style="343" customWidth="1"/>
    <col min="4363" max="4363" width="18.21875" style="343" customWidth="1"/>
    <col min="4364" max="4608" width="9" style="343"/>
    <col min="4609" max="4609" width="5.6640625" style="343" customWidth="1"/>
    <col min="4610" max="4610" width="21.88671875" style="343" customWidth="1"/>
    <col min="4611" max="4611" width="5.6640625" style="343" customWidth="1"/>
    <col min="4612" max="4613" width="15.6640625" style="343" customWidth="1"/>
    <col min="4614" max="4614" width="16.6640625" style="343" customWidth="1"/>
    <col min="4615" max="4615" width="18.6640625" style="343" customWidth="1"/>
    <col min="4616" max="4617" width="15.6640625" style="343" customWidth="1"/>
    <col min="4618" max="4618" width="18.6640625" style="343" customWidth="1"/>
    <col min="4619" max="4619" width="18.21875" style="343" customWidth="1"/>
    <col min="4620" max="4864" width="9" style="343"/>
    <col min="4865" max="4865" width="5.6640625" style="343" customWidth="1"/>
    <col min="4866" max="4866" width="21.88671875" style="343" customWidth="1"/>
    <col min="4867" max="4867" width="5.6640625" style="343" customWidth="1"/>
    <col min="4868" max="4869" width="15.6640625" style="343" customWidth="1"/>
    <col min="4870" max="4870" width="16.6640625" style="343" customWidth="1"/>
    <col min="4871" max="4871" width="18.6640625" style="343" customWidth="1"/>
    <col min="4872" max="4873" width="15.6640625" style="343" customWidth="1"/>
    <col min="4874" max="4874" width="18.6640625" style="343" customWidth="1"/>
    <col min="4875" max="4875" width="18.21875" style="343" customWidth="1"/>
    <col min="4876" max="5120" width="9" style="343"/>
    <col min="5121" max="5121" width="5.6640625" style="343" customWidth="1"/>
    <col min="5122" max="5122" width="21.88671875" style="343" customWidth="1"/>
    <col min="5123" max="5123" width="5.6640625" style="343" customWidth="1"/>
    <col min="5124" max="5125" width="15.6640625" style="343" customWidth="1"/>
    <col min="5126" max="5126" width="16.6640625" style="343" customWidth="1"/>
    <col min="5127" max="5127" width="18.6640625" style="343" customWidth="1"/>
    <col min="5128" max="5129" width="15.6640625" style="343" customWidth="1"/>
    <col min="5130" max="5130" width="18.6640625" style="343" customWidth="1"/>
    <col min="5131" max="5131" width="18.21875" style="343" customWidth="1"/>
    <col min="5132" max="5376" width="9" style="343"/>
    <col min="5377" max="5377" width="5.6640625" style="343" customWidth="1"/>
    <col min="5378" max="5378" width="21.88671875" style="343" customWidth="1"/>
    <col min="5379" max="5379" width="5.6640625" style="343" customWidth="1"/>
    <col min="5380" max="5381" width="15.6640625" style="343" customWidth="1"/>
    <col min="5382" max="5382" width="16.6640625" style="343" customWidth="1"/>
    <col min="5383" max="5383" width="18.6640625" style="343" customWidth="1"/>
    <col min="5384" max="5385" width="15.6640625" style="343" customWidth="1"/>
    <col min="5386" max="5386" width="18.6640625" style="343" customWidth="1"/>
    <col min="5387" max="5387" width="18.21875" style="343" customWidth="1"/>
    <col min="5388" max="5632" width="9" style="343"/>
    <col min="5633" max="5633" width="5.6640625" style="343" customWidth="1"/>
    <col min="5634" max="5634" width="21.88671875" style="343" customWidth="1"/>
    <col min="5635" max="5635" width="5.6640625" style="343" customWidth="1"/>
    <col min="5636" max="5637" width="15.6640625" style="343" customWidth="1"/>
    <col min="5638" max="5638" width="16.6640625" style="343" customWidth="1"/>
    <col min="5639" max="5639" width="18.6640625" style="343" customWidth="1"/>
    <col min="5640" max="5641" width="15.6640625" style="343" customWidth="1"/>
    <col min="5642" max="5642" width="18.6640625" style="343" customWidth="1"/>
    <col min="5643" max="5643" width="18.21875" style="343" customWidth="1"/>
    <col min="5644" max="5888" width="9" style="343"/>
    <col min="5889" max="5889" width="5.6640625" style="343" customWidth="1"/>
    <col min="5890" max="5890" width="21.88671875" style="343" customWidth="1"/>
    <col min="5891" max="5891" width="5.6640625" style="343" customWidth="1"/>
    <col min="5892" max="5893" width="15.6640625" style="343" customWidth="1"/>
    <col min="5894" max="5894" width="16.6640625" style="343" customWidth="1"/>
    <col min="5895" max="5895" width="18.6640625" style="343" customWidth="1"/>
    <col min="5896" max="5897" width="15.6640625" style="343" customWidth="1"/>
    <col min="5898" max="5898" width="18.6640625" style="343" customWidth="1"/>
    <col min="5899" max="5899" width="18.21875" style="343" customWidth="1"/>
    <col min="5900" max="6144" width="9" style="343"/>
    <col min="6145" max="6145" width="5.6640625" style="343" customWidth="1"/>
    <col min="6146" max="6146" width="21.88671875" style="343" customWidth="1"/>
    <col min="6147" max="6147" width="5.6640625" style="343" customWidth="1"/>
    <col min="6148" max="6149" width="15.6640625" style="343" customWidth="1"/>
    <col min="6150" max="6150" width="16.6640625" style="343" customWidth="1"/>
    <col min="6151" max="6151" width="18.6640625" style="343" customWidth="1"/>
    <col min="6152" max="6153" width="15.6640625" style="343" customWidth="1"/>
    <col min="6154" max="6154" width="18.6640625" style="343" customWidth="1"/>
    <col min="6155" max="6155" width="18.21875" style="343" customWidth="1"/>
    <col min="6156" max="6400" width="9" style="343"/>
    <col min="6401" max="6401" width="5.6640625" style="343" customWidth="1"/>
    <col min="6402" max="6402" width="21.88671875" style="343" customWidth="1"/>
    <col min="6403" max="6403" width="5.6640625" style="343" customWidth="1"/>
    <col min="6404" max="6405" width="15.6640625" style="343" customWidth="1"/>
    <col min="6406" max="6406" width="16.6640625" style="343" customWidth="1"/>
    <col min="6407" max="6407" width="18.6640625" style="343" customWidth="1"/>
    <col min="6408" max="6409" width="15.6640625" style="343" customWidth="1"/>
    <col min="6410" max="6410" width="18.6640625" style="343" customWidth="1"/>
    <col min="6411" max="6411" width="18.21875" style="343" customWidth="1"/>
    <col min="6412" max="6656" width="9" style="343"/>
    <col min="6657" max="6657" width="5.6640625" style="343" customWidth="1"/>
    <col min="6658" max="6658" width="21.88671875" style="343" customWidth="1"/>
    <col min="6659" max="6659" width="5.6640625" style="343" customWidth="1"/>
    <col min="6660" max="6661" width="15.6640625" style="343" customWidth="1"/>
    <col min="6662" max="6662" width="16.6640625" style="343" customWidth="1"/>
    <col min="6663" max="6663" width="18.6640625" style="343" customWidth="1"/>
    <col min="6664" max="6665" width="15.6640625" style="343" customWidth="1"/>
    <col min="6666" max="6666" width="18.6640625" style="343" customWidth="1"/>
    <col min="6667" max="6667" width="18.21875" style="343" customWidth="1"/>
    <col min="6668" max="6912" width="9" style="343"/>
    <col min="6913" max="6913" width="5.6640625" style="343" customWidth="1"/>
    <col min="6914" max="6914" width="21.88671875" style="343" customWidth="1"/>
    <col min="6915" max="6915" width="5.6640625" style="343" customWidth="1"/>
    <col min="6916" max="6917" width="15.6640625" style="343" customWidth="1"/>
    <col min="6918" max="6918" width="16.6640625" style="343" customWidth="1"/>
    <col min="6919" max="6919" width="18.6640625" style="343" customWidth="1"/>
    <col min="6920" max="6921" width="15.6640625" style="343" customWidth="1"/>
    <col min="6922" max="6922" width="18.6640625" style="343" customWidth="1"/>
    <col min="6923" max="6923" width="18.21875" style="343" customWidth="1"/>
    <col min="6924" max="7168" width="9" style="343"/>
    <col min="7169" max="7169" width="5.6640625" style="343" customWidth="1"/>
    <col min="7170" max="7170" width="21.88671875" style="343" customWidth="1"/>
    <col min="7171" max="7171" width="5.6640625" style="343" customWidth="1"/>
    <col min="7172" max="7173" width="15.6640625" style="343" customWidth="1"/>
    <col min="7174" max="7174" width="16.6640625" style="343" customWidth="1"/>
    <col min="7175" max="7175" width="18.6640625" style="343" customWidth="1"/>
    <col min="7176" max="7177" width="15.6640625" style="343" customWidth="1"/>
    <col min="7178" max="7178" width="18.6640625" style="343" customWidth="1"/>
    <col min="7179" max="7179" width="18.21875" style="343" customWidth="1"/>
    <col min="7180" max="7424" width="9" style="343"/>
    <col min="7425" max="7425" width="5.6640625" style="343" customWidth="1"/>
    <col min="7426" max="7426" width="21.88671875" style="343" customWidth="1"/>
    <col min="7427" max="7427" width="5.6640625" style="343" customWidth="1"/>
    <col min="7428" max="7429" width="15.6640625" style="343" customWidth="1"/>
    <col min="7430" max="7430" width="16.6640625" style="343" customWidth="1"/>
    <col min="7431" max="7431" width="18.6640625" style="343" customWidth="1"/>
    <col min="7432" max="7433" width="15.6640625" style="343" customWidth="1"/>
    <col min="7434" max="7434" width="18.6640625" style="343" customWidth="1"/>
    <col min="7435" max="7435" width="18.21875" style="343" customWidth="1"/>
    <col min="7436" max="7680" width="9" style="343"/>
    <col min="7681" max="7681" width="5.6640625" style="343" customWidth="1"/>
    <col min="7682" max="7682" width="21.88671875" style="343" customWidth="1"/>
    <col min="7683" max="7683" width="5.6640625" style="343" customWidth="1"/>
    <col min="7684" max="7685" width="15.6640625" style="343" customWidth="1"/>
    <col min="7686" max="7686" width="16.6640625" style="343" customWidth="1"/>
    <col min="7687" max="7687" width="18.6640625" style="343" customWidth="1"/>
    <col min="7688" max="7689" width="15.6640625" style="343" customWidth="1"/>
    <col min="7690" max="7690" width="18.6640625" style="343" customWidth="1"/>
    <col min="7691" max="7691" width="18.21875" style="343" customWidth="1"/>
    <col min="7692" max="7936" width="9" style="343"/>
    <col min="7937" max="7937" width="5.6640625" style="343" customWidth="1"/>
    <col min="7938" max="7938" width="21.88671875" style="343" customWidth="1"/>
    <col min="7939" max="7939" width="5.6640625" style="343" customWidth="1"/>
    <col min="7940" max="7941" width="15.6640625" style="343" customWidth="1"/>
    <col min="7942" max="7942" width="16.6640625" style="343" customWidth="1"/>
    <col min="7943" max="7943" width="18.6640625" style="343" customWidth="1"/>
    <col min="7944" max="7945" width="15.6640625" style="343" customWidth="1"/>
    <col min="7946" max="7946" width="18.6640625" style="343" customWidth="1"/>
    <col min="7947" max="7947" width="18.21875" style="343" customWidth="1"/>
    <col min="7948" max="8192" width="9" style="343"/>
    <col min="8193" max="8193" width="5.6640625" style="343" customWidth="1"/>
    <col min="8194" max="8194" width="21.88671875" style="343" customWidth="1"/>
    <col min="8195" max="8195" width="5.6640625" style="343" customWidth="1"/>
    <col min="8196" max="8197" width="15.6640625" style="343" customWidth="1"/>
    <col min="8198" max="8198" width="16.6640625" style="343" customWidth="1"/>
    <col min="8199" max="8199" width="18.6640625" style="343" customWidth="1"/>
    <col min="8200" max="8201" width="15.6640625" style="343" customWidth="1"/>
    <col min="8202" max="8202" width="18.6640625" style="343" customWidth="1"/>
    <col min="8203" max="8203" width="18.21875" style="343" customWidth="1"/>
    <col min="8204" max="8448" width="9" style="343"/>
    <col min="8449" max="8449" width="5.6640625" style="343" customWidth="1"/>
    <col min="8450" max="8450" width="21.88671875" style="343" customWidth="1"/>
    <col min="8451" max="8451" width="5.6640625" style="343" customWidth="1"/>
    <col min="8452" max="8453" width="15.6640625" style="343" customWidth="1"/>
    <col min="8454" max="8454" width="16.6640625" style="343" customWidth="1"/>
    <col min="8455" max="8455" width="18.6640625" style="343" customWidth="1"/>
    <col min="8456" max="8457" width="15.6640625" style="343" customWidth="1"/>
    <col min="8458" max="8458" width="18.6640625" style="343" customWidth="1"/>
    <col min="8459" max="8459" width="18.21875" style="343" customWidth="1"/>
    <col min="8460" max="8704" width="9" style="343"/>
    <col min="8705" max="8705" width="5.6640625" style="343" customWidth="1"/>
    <col min="8706" max="8706" width="21.88671875" style="343" customWidth="1"/>
    <col min="8707" max="8707" width="5.6640625" style="343" customWidth="1"/>
    <col min="8708" max="8709" width="15.6640625" style="343" customWidth="1"/>
    <col min="8710" max="8710" width="16.6640625" style="343" customWidth="1"/>
    <col min="8711" max="8711" width="18.6640625" style="343" customWidth="1"/>
    <col min="8712" max="8713" width="15.6640625" style="343" customWidth="1"/>
    <col min="8714" max="8714" width="18.6640625" style="343" customWidth="1"/>
    <col min="8715" max="8715" width="18.21875" style="343" customWidth="1"/>
    <col min="8716" max="8960" width="9" style="343"/>
    <col min="8961" max="8961" width="5.6640625" style="343" customWidth="1"/>
    <col min="8962" max="8962" width="21.88671875" style="343" customWidth="1"/>
    <col min="8963" max="8963" width="5.6640625" style="343" customWidth="1"/>
    <col min="8964" max="8965" width="15.6640625" style="343" customWidth="1"/>
    <col min="8966" max="8966" width="16.6640625" style="343" customWidth="1"/>
    <col min="8967" max="8967" width="18.6640625" style="343" customWidth="1"/>
    <col min="8968" max="8969" width="15.6640625" style="343" customWidth="1"/>
    <col min="8970" max="8970" width="18.6640625" style="343" customWidth="1"/>
    <col min="8971" max="8971" width="18.21875" style="343" customWidth="1"/>
    <col min="8972" max="9216" width="9" style="343"/>
    <col min="9217" max="9217" width="5.6640625" style="343" customWidth="1"/>
    <col min="9218" max="9218" width="21.88671875" style="343" customWidth="1"/>
    <col min="9219" max="9219" width="5.6640625" style="343" customWidth="1"/>
    <col min="9220" max="9221" width="15.6640625" style="343" customWidth="1"/>
    <col min="9222" max="9222" width="16.6640625" style="343" customWidth="1"/>
    <col min="9223" max="9223" width="18.6640625" style="343" customWidth="1"/>
    <col min="9224" max="9225" width="15.6640625" style="343" customWidth="1"/>
    <col min="9226" max="9226" width="18.6640625" style="343" customWidth="1"/>
    <col min="9227" max="9227" width="18.21875" style="343" customWidth="1"/>
    <col min="9228" max="9472" width="9" style="343"/>
    <col min="9473" max="9473" width="5.6640625" style="343" customWidth="1"/>
    <col min="9474" max="9474" width="21.88671875" style="343" customWidth="1"/>
    <col min="9475" max="9475" width="5.6640625" style="343" customWidth="1"/>
    <col min="9476" max="9477" width="15.6640625" style="343" customWidth="1"/>
    <col min="9478" max="9478" width="16.6640625" style="343" customWidth="1"/>
    <col min="9479" max="9479" width="18.6640625" style="343" customWidth="1"/>
    <col min="9480" max="9481" width="15.6640625" style="343" customWidth="1"/>
    <col min="9482" max="9482" width="18.6640625" style="343" customWidth="1"/>
    <col min="9483" max="9483" width="18.21875" style="343" customWidth="1"/>
    <col min="9484" max="9728" width="9" style="343"/>
    <col min="9729" max="9729" width="5.6640625" style="343" customWidth="1"/>
    <col min="9730" max="9730" width="21.88671875" style="343" customWidth="1"/>
    <col min="9731" max="9731" width="5.6640625" style="343" customWidth="1"/>
    <col min="9732" max="9733" width="15.6640625" style="343" customWidth="1"/>
    <col min="9734" max="9734" width="16.6640625" style="343" customWidth="1"/>
    <col min="9735" max="9735" width="18.6640625" style="343" customWidth="1"/>
    <col min="9736" max="9737" width="15.6640625" style="343" customWidth="1"/>
    <col min="9738" max="9738" width="18.6640625" style="343" customWidth="1"/>
    <col min="9739" max="9739" width="18.21875" style="343" customWidth="1"/>
    <col min="9740" max="9984" width="9" style="343"/>
    <col min="9985" max="9985" width="5.6640625" style="343" customWidth="1"/>
    <col min="9986" max="9986" width="21.88671875" style="343" customWidth="1"/>
    <col min="9987" max="9987" width="5.6640625" style="343" customWidth="1"/>
    <col min="9988" max="9989" width="15.6640625" style="343" customWidth="1"/>
    <col min="9990" max="9990" width="16.6640625" style="343" customWidth="1"/>
    <col min="9991" max="9991" width="18.6640625" style="343" customWidth="1"/>
    <col min="9992" max="9993" width="15.6640625" style="343" customWidth="1"/>
    <col min="9994" max="9994" width="18.6640625" style="343" customWidth="1"/>
    <col min="9995" max="9995" width="18.21875" style="343" customWidth="1"/>
    <col min="9996" max="10240" width="9" style="343"/>
    <col min="10241" max="10241" width="5.6640625" style="343" customWidth="1"/>
    <col min="10242" max="10242" width="21.88671875" style="343" customWidth="1"/>
    <col min="10243" max="10243" width="5.6640625" style="343" customWidth="1"/>
    <col min="10244" max="10245" width="15.6640625" style="343" customWidth="1"/>
    <col min="10246" max="10246" width="16.6640625" style="343" customWidth="1"/>
    <col min="10247" max="10247" width="18.6640625" style="343" customWidth="1"/>
    <col min="10248" max="10249" width="15.6640625" style="343" customWidth="1"/>
    <col min="10250" max="10250" width="18.6640625" style="343" customWidth="1"/>
    <col min="10251" max="10251" width="18.21875" style="343" customWidth="1"/>
    <col min="10252" max="10496" width="9" style="343"/>
    <col min="10497" max="10497" width="5.6640625" style="343" customWidth="1"/>
    <col min="10498" max="10498" width="21.88671875" style="343" customWidth="1"/>
    <col min="10499" max="10499" width="5.6640625" style="343" customWidth="1"/>
    <col min="10500" max="10501" width="15.6640625" style="343" customWidth="1"/>
    <col min="10502" max="10502" width="16.6640625" style="343" customWidth="1"/>
    <col min="10503" max="10503" width="18.6640625" style="343" customWidth="1"/>
    <col min="10504" max="10505" width="15.6640625" style="343" customWidth="1"/>
    <col min="10506" max="10506" width="18.6640625" style="343" customWidth="1"/>
    <col min="10507" max="10507" width="18.21875" style="343" customWidth="1"/>
    <col min="10508" max="10752" width="9" style="343"/>
    <col min="10753" max="10753" width="5.6640625" style="343" customWidth="1"/>
    <col min="10754" max="10754" width="21.88671875" style="343" customWidth="1"/>
    <col min="10755" max="10755" width="5.6640625" style="343" customWidth="1"/>
    <col min="10756" max="10757" width="15.6640625" style="343" customWidth="1"/>
    <col min="10758" max="10758" width="16.6640625" style="343" customWidth="1"/>
    <col min="10759" max="10759" width="18.6640625" style="343" customWidth="1"/>
    <col min="10760" max="10761" width="15.6640625" style="343" customWidth="1"/>
    <col min="10762" max="10762" width="18.6640625" style="343" customWidth="1"/>
    <col min="10763" max="10763" width="18.21875" style="343" customWidth="1"/>
    <col min="10764" max="11008" width="9" style="343"/>
    <col min="11009" max="11009" width="5.6640625" style="343" customWidth="1"/>
    <col min="11010" max="11010" width="21.88671875" style="343" customWidth="1"/>
    <col min="11011" max="11011" width="5.6640625" style="343" customWidth="1"/>
    <col min="11012" max="11013" width="15.6640625" style="343" customWidth="1"/>
    <col min="11014" max="11014" width="16.6640625" style="343" customWidth="1"/>
    <col min="11015" max="11015" width="18.6640625" style="343" customWidth="1"/>
    <col min="11016" max="11017" width="15.6640625" style="343" customWidth="1"/>
    <col min="11018" max="11018" width="18.6640625" style="343" customWidth="1"/>
    <col min="11019" max="11019" width="18.21875" style="343" customWidth="1"/>
    <col min="11020" max="11264" width="9" style="343"/>
    <col min="11265" max="11265" width="5.6640625" style="343" customWidth="1"/>
    <col min="11266" max="11266" width="21.88671875" style="343" customWidth="1"/>
    <col min="11267" max="11267" width="5.6640625" style="343" customWidth="1"/>
    <col min="11268" max="11269" width="15.6640625" style="343" customWidth="1"/>
    <col min="11270" max="11270" width="16.6640625" style="343" customWidth="1"/>
    <col min="11271" max="11271" width="18.6640625" style="343" customWidth="1"/>
    <col min="11272" max="11273" width="15.6640625" style="343" customWidth="1"/>
    <col min="11274" max="11274" width="18.6640625" style="343" customWidth="1"/>
    <col min="11275" max="11275" width="18.21875" style="343" customWidth="1"/>
    <col min="11276" max="11520" width="9" style="343"/>
    <col min="11521" max="11521" width="5.6640625" style="343" customWidth="1"/>
    <col min="11522" max="11522" width="21.88671875" style="343" customWidth="1"/>
    <col min="11523" max="11523" width="5.6640625" style="343" customWidth="1"/>
    <col min="11524" max="11525" width="15.6640625" style="343" customWidth="1"/>
    <col min="11526" max="11526" width="16.6640625" style="343" customWidth="1"/>
    <col min="11527" max="11527" width="18.6640625" style="343" customWidth="1"/>
    <col min="11528" max="11529" width="15.6640625" style="343" customWidth="1"/>
    <col min="11530" max="11530" width="18.6640625" style="343" customWidth="1"/>
    <col min="11531" max="11531" width="18.21875" style="343" customWidth="1"/>
    <col min="11532" max="11776" width="9" style="343"/>
    <col min="11777" max="11777" width="5.6640625" style="343" customWidth="1"/>
    <col min="11778" max="11778" width="21.88671875" style="343" customWidth="1"/>
    <col min="11779" max="11779" width="5.6640625" style="343" customWidth="1"/>
    <col min="11780" max="11781" width="15.6640625" style="343" customWidth="1"/>
    <col min="11782" max="11782" width="16.6640625" style="343" customWidth="1"/>
    <col min="11783" max="11783" width="18.6640625" style="343" customWidth="1"/>
    <col min="11784" max="11785" width="15.6640625" style="343" customWidth="1"/>
    <col min="11786" max="11786" width="18.6640625" style="343" customWidth="1"/>
    <col min="11787" max="11787" width="18.21875" style="343" customWidth="1"/>
    <col min="11788" max="12032" width="9" style="343"/>
    <col min="12033" max="12033" width="5.6640625" style="343" customWidth="1"/>
    <col min="12034" max="12034" width="21.88671875" style="343" customWidth="1"/>
    <col min="12035" max="12035" width="5.6640625" style="343" customWidth="1"/>
    <col min="12036" max="12037" width="15.6640625" style="343" customWidth="1"/>
    <col min="12038" max="12038" width="16.6640625" style="343" customWidth="1"/>
    <col min="12039" max="12039" width="18.6640625" style="343" customWidth="1"/>
    <col min="12040" max="12041" width="15.6640625" style="343" customWidth="1"/>
    <col min="12042" max="12042" width="18.6640625" style="343" customWidth="1"/>
    <col min="12043" max="12043" width="18.21875" style="343" customWidth="1"/>
    <col min="12044" max="12288" width="9" style="343"/>
    <col min="12289" max="12289" width="5.6640625" style="343" customWidth="1"/>
    <col min="12290" max="12290" width="21.88671875" style="343" customWidth="1"/>
    <col min="12291" max="12291" width="5.6640625" style="343" customWidth="1"/>
    <col min="12292" max="12293" width="15.6640625" style="343" customWidth="1"/>
    <col min="12294" max="12294" width="16.6640625" style="343" customWidth="1"/>
    <col min="12295" max="12295" width="18.6640625" style="343" customWidth="1"/>
    <col min="12296" max="12297" width="15.6640625" style="343" customWidth="1"/>
    <col min="12298" max="12298" width="18.6640625" style="343" customWidth="1"/>
    <col min="12299" max="12299" width="18.21875" style="343" customWidth="1"/>
    <col min="12300" max="12544" width="9" style="343"/>
    <col min="12545" max="12545" width="5.6640625" style="343" customWidth="1"/>
    <col min="12546" max="12546" width="21.88671875" style="343" customWidth="1"/>
    <col min="12547" max="12547" width="5.6640625" style="343" customWidth="1"/>
    <col min="12548" max="12549" width="15.6640625" style="343" customWidth="1"/>
    <col min="12550" max="12550" width="16.6640625" style="343" customWidth="1"/>
    <col min="12551" max="12551" width="18.6640625" style="343" customWidth="1"/>
    <col min="12552" max="12553" width="15.6640625" style="343" customWidth="1"/>
    <col min="12554" max="12554" width="18.6640625" style="343" customWidth="1"/>
    <col min="12555" max="12555" width="18.21875" style="343" customWidth="1"/>
    <col min="12556" max="12800" width="9" style="343"/>
    <col min="12801" max="12801" width="5.6640625" style="343" customWidth="1"/>
    <col min="12802" max="12802" width="21.88671875" style="343" customWidth="1"/>
    <col min="12803" max="12803" width="5.6640625" style="343" customWidth="1"/>
    <col min="12804" max="12805" width="15.6640625" style="343" customWidth="1"/>
    <col min="12806" max="12806" width="16.6640625" style="343" customWidth="1"/>
    <col min="12807" max="12807" width="18.6640625" style="343" customWidth="1"/>
    <col min="12808" max="12809" width="15.6640625" style="343" customWidth="1"/>
    <col min="12810" max="12810" width="18.6640625" style="343" customWidth="1"/>
    <col min="12811" max="12811" width="18.21875" style="343" customWidth="1"/>
    <col min="12812" max="13056" width="9" style="343"/>
    <col min="13057" max="13057" width="5.6640625" style="343" customWidth="1"/>
    <col min="13058" max="13058" width="21.88671875" style="343" customWidth="1"/>
    <col min="13059" max="13059" width="5.6640625" style="343" customWidth="1"/>
    <col min="13060" max="13061" width="15.6640625" style="343" customWidth="1"/>
    <col min="13062" max="13062" width="16.6640625" style="343" customWidth="1"/>
    <col min="13063" max="13063" width="18.6640625" style="343" customWidth="1"/>
    <col min="13064" max="13065" width="15.6640625" style="343" customWidth="1"/>
    <col min="13066" max="13066" width="18.6640625" style="343" customWidth="1"/>
    <col min="13067" max="13067" width="18.21875" style="343" customWidth="1"/>
    <col min="13068" max="13312" width="9" style="343"/>
    <col min="13313" max="13313" width="5.6640625" style="343" customWidth="1"/>
    <col min="13314" max="13314" width="21.88671875" style="343" customWidth="1"/>
    <col min="13315" max="13315" width="5.6640625" style="343" customWidth="1"/>
    <col min="13316" max="13317" width="15.6640625" style="343" customWidth="1"/>
    <col min="13318" max="13318" width="16.6640625" style="343" customWidth="1"/>
    <col min="13319" max="13319" width="18.6640625" style="343" customWidth="1"/>
    <col min="13320" max="13321" width="15.6640625" style="343" customWidth="1"/>
    <col min="13322" max="13322" width="18.6640625" style="343" customWidth="1"/>
    <col min="13323" max="13323" width="18.21875" style="343" customWidth="1"/>
    <col min="13324" max="13568" width="9" style="343"/>
    <col min="13569" max="13569" width="5.6640625" style="343" customWidth="1"/>
    <col min="13570" max="13570" width="21.88671875" style="343" customWidth="1"/>
    <col min="13571" max="13571" width="5.6640625" style="343" customWidth="1"/>
    <col min="13572" max="13573" width="15.6640625" style="343" customWidth="1"/>
    <col min="13574" max="13574" width="16.6640625" style="343" customWidth="1"/>
    <col min="13575" max="13575" width="18.6640625" style="343" customWidth="1"/>
    <col min="13576" max="13577" width="15.6640625" style="343" customWidth="1"/>
    <col min="13578" max="13578" width="18.6640625" style="343" customWidth="1"/>
    <col min="13579" max="13579" width="18.21875" style="343" customWidth="1"/>
    <col min="13580" max="13824" width="9" style="343"/>
    <col min="13825" max="13825" width="5.6640625" style="343" customWidth="1"/>
    <col min="13826" max="13826" width="21.88671875" style="343" customWidth="1"/>
    <col min="13827" max="13827" width="5.6640625" style="343" customWidth="1"/>
    <col min="13828" max="13829" width="15.6640625" style="343" customWidth="1"/>
    <col min="13830" max="13830" width="16.6640625" style="343" customWidth="1"/>
    <col min="13831" max="13831" width="18.6640625" style="343" customWidth="1"/>
    <col min="13832" max="13833" width="15.6640625" style="343" customWidth="1"/>
    <col min="13834" max="13834" width="18.6640625" style="343" customWidth="1"/>
    <col min="13835" max="13835" width="18.21875" style="343" customWidth="1"/>
    <col min="13836" max="14080" width="9" style="343"/>
    <col min="14081" max="14081" width="5.6640625" style="343" customWidth="1"/>
    <col min="14082" max="14082" width="21.88671875" style="343" customWidth="1"/>
    <col min="14083" max="14083" width="5.6640625" style="343" customWidth="1"/>
    <col min="14084" max="14085" width="15.6640625" style="343" customWidth="1"/>
    <col min="14086" max="14086" width="16.6640625" style="343" customWidth="1"/>
    <col min="14087" max="14087" width="18.6640625" style="343" customWidth="1"/>
    <col min="14088" max="14089" width="15.6640625" style="343" customWidth="1"/>
    <col min="14090" max="14090" width="18.6640625" style="343" customWidth="1"/>
    <col min="14091" max="14091" width="18.21875" style="343" customWidth="1"/>
    <col min="14092" max="14336" width="9" style="343"/>
    <col min="14337" max="14337" width="5.6640625" style="343" customWidth="1"/>
    <col min="14338" max="14338" width="21.88671875" style="343" customWidth="1"/>
    <col min="14339" max="14339" width="5.6640625" style="343" customWidth="1"/>
    <col min="14340" max="14341" width="15.6640625" style="343" customWidth="1"/>
    <col min="14342" max="14342" width="16.6640625" style="343" customWidth="1"/>
    <col min="14343" max="14343" width="18.6640625" style="343" customWidth="1"/>
    <col min="14344" max="14345" width="15.6640625" style="343" customWidth="1"/>
    <col min="14346" max="14346" width="18.6640625" style="343" customWidth="1"/>
    <col min="14347" max="14347" width="18.21875" style="343" customWidth="1"/>
    <col min="14348" max="14592" width="9" style="343"/>
    <col min="14593" max="14593" width="5.6640625" style="343" customWidth="1"/>
    <col min="14594" max="14594" width="21.88671875" style="343" customWidth="1"/>
    <col min="14595" max="14595" width="5.6640625" style="343" customWidth="1"/>
    <col min="14596" max="14597" width="15.6640625" style="343" customWidth="1"/>
    <col min="14598" max="14598" width="16.6640625" style="343" customWidth="1"/>
    <col min="14599" max="14599" width="18.6640625" style="343" customWidth="1"/>
    <col min="14600" max="14601" width="15.6640625" style="343" customWidth="1"/>
    <col min="14602" max="14602" width="18.6640625" style="343" customWidth="1"/>
    <col min="14603" max="14603" width="18.21875" style="343" customWidth="1"/>
    <col min="14604" max="14848" width="9" style="343"/>
    <col min="14849" max="14849" width="5.6640625" style="343" customWidth="1"/>
    <col min="14850" max="14850" width="21.88671875" style="343" customWidth="1"/>
    <col min="14851" max="14851" width="5.6640625" style="343" customWidth="1"/>
    <col min="14852" max="14853" width="15.6640625" style="343" customWidth="1"/>
    <col min="14854" max="14854" width="16.6640625" style="343" customWidth="1"/>
    <col min="14855" max="14855" width="18.6640625" style="343" customWidth="1"/>
    <col min="14856" max="14857" width="15.6640625" style="343" customWidth="1"/>
    <col min="14858" max="14858" width="18.6640625" style="343" customWidth="1"/>
    <col min="14859" max="14859" width="18.21875" style="343" customWidth="1"/>
    <col min="14860" max="15104" width="9" style="343"/>
    <col min="15105" max="15105" width="5.6640625" style="343" customWidth="1"/>
    <col min="15106" max="15106" width="21.88671875" style="343" customWidth="1"/>
    <col min="15107" max="15107" width="5.6640625" style="343" customWidth="1"/>
    <col min="15108" max="15109" width="15.6640625" style="343" customWidth="1"/>
    <col min="15110" max="15110" width="16.6640625" style="343" customWidth="1"/>
    <col min="15111" max="15111" width="18.6640625" style="343" customWidth="1"/>
    <col min="15112" max="15113" width="15.6640625" style="343" customWidth="1"/>
    <col min="15114" max="15114" width="18.6640625" style="343" customWidth="1"/>
    <col min="15115" max="15115" width="18.21875" style="343" customWidth="1"/>
    <col min="15116" max="15360" width="9" style="343"/>
    <col min="15361" max="15361" width="5.6640625" style="343" customWidth="1"/>
    <col min="15362" max="15362" width="21.88671875" style="343" customWidth="1"/>
    <col min="15363" max="15363" width="5.6640625" style="343" customWidth="1"/>
    <col min="15364" max="15365" width="15.6640625" style="343" customWidth="1"/>
    <col min="15366" max="15366" width="16.6640625" style="343" customWidth="1"/>
    <col min="15367" max="15367" width="18.6640625" style="343" customWidth="1"/>
    <col min="15368" max="15369" width="15.6640625" style="343" customWidth="1"/>
    <col min="15370" max="15370" width="18.6640625" style="343" customWidth="1"/>
    <col min="15371" max="15371" width="18.21875" style="343" customWidth="1"/>
    <col min="15372" max="15616" width="9" style="343"/>
    <col min="15617" max="15617" width="5.6640625" style="343" customWidth="1"/>
    <col min="15618" max="15618" width="21.88671875" style="343" customWidth="1"/>
    <col min="15619" max="15619" width="5.6640625" style="343" customWidth="1"/>
    <col min="15620" max="15621" width="15.6640625" style="343" customWidth="1"/>
    <col min="15622" max="15622" width="16.6640625" style="343" customWidth="1"/>
    <col min="15623" max="15623" width="18.6640625" style="343" customWidth="1"/>
    <col min="15624" max="15625" width="15.6640625" style="343" customWidth="1"/>
    <col min="15626" max="15626" width="18.6640625" style="343" customWidth="1"/>
    <col min="15627" max="15627" width="18.21875" style="343" customWidth="1"/>
    <col min="15628" max="15872" width="9" style="343"/>
    <col min="15873" max="15873" width="5.6640625" style="343" customWidth="1"/>
    <col min="15874" max="15874" width="21.88671875" style="343" customWidth="1"/>
    <col min="15875" max="15875" width="5.6640625" style="343" customWidth="1"/>
    <col min="15876" max="15877" width="15.6640625" style="343" customWidth="1"/>
    <col min="15878" max="15878" width="16.6640625" style="343" customWidth="1"/>
    <col min="15879" max="15879" width="18.6640625" style="343" customWidth="1"/>
    <col min="15880" max="15881" width="15.6640625" style="343" customWidth="1"/>
    <col min="15882" max="15882" width="18.6640625" style="343" customWidth="1"/>
    <col min="15883" max="15883" width="18.21875" style="343" customWidth="1"/>
    <col min="15884" max="16128" width="9" style="343"/>
    <col min="16129" max="16129" width="5.6640625" style="343" customWidth="1"/>
    <col min="16130" max="16130" width="21.88671875" style="343" customWidth="1"/>
    <col min="16131" max="16131" width="5.6640625" style="343" customWidth="1"/>
    <col min="16132" max="16133" width="15.6640625" style="343" customWidth="1"/>
    <col min="16134" max="16134" width="16.6640625" style="343" customWidth="1"/>
    <col min="16135" max="16135" width="18.6640625" style="343" customWidth="1"/>
    <col min="16136" max="16137" width="15.6640625" style="343" customWidth="1"/>
    <col min="16138" max="16138" width="18.6640625" style="343" customWidth="1"/>
    <col min="16139" max="16139" width="18.21875" style="343" customWidth="1"/>
    <col min="16140" max="16384" width="9" style="343"/>
  </cols>
  <sheetData>
    <row r="1" spans="1:11" s="340" customFormat="1" ht="35.1" customHeight="1">
      <c r="A1" s="744" t="s">
        <v>172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</row>
    <row r="2" spans="1:11" s="340" customFormat="1" ht="24.9" customHeight="1">
      <c r="A2" s="745">
        <v>42539</v>
      </c>
      <c r="B2" s="745"/>
      <c r="C2" s="745"/>
      <c r="D2" s="745"/>
      <c r="E2" s="745"/>
      <c r="F2" s="745"/>
      <c r="G2" s="745"/>
      <c r="H2" s="745"/>
      <c r="I2" s="745"/>
      <c r="J2" s="745"/>
      <c r="K2" s="745"/>
    </row>
    <row r="3" spans="1:11" s="340" customFormat="1" ht="19.5" customHeight="1">
      <c r="A3" s="746" t="s">
        <v>173</v>
      </c>
      <c r="B3" s="746"/>
      <c r="C3" s="746"/>
      <c r="D3" s="746"/>
      <c r="E3" s="746"/>
      <c r="G3" s="345"/>
      <c r="H3" s="346"/>
      <c r="I3" s="386" t="s">
        <v>174</v>
      </c>
      <c r="J3" s="387">
        <v>42540</v>
      </c>
      <c r="K3" s="346"/>
    </row>
    <row r="4" spans="1:11" s="340" customFormat="1" ht="20.100000000000001" customHeight="1">
      <c r="A4" s="233" t="s">
        <v>175</v>
      </c>
      <c r="B4" s="347"/>
      <c r="C4" s="348"/>
      <c r="D4" s="349"/>
      <c r="E4" s="235" t="s">
        <v>176</v>
      </c>
      <c r="F4" s="350"/>
      <c r="G4" s="350"/>
      <c r="H4" s="350"/>
      <c r="I4" s="350"/>
      <c r="K4" s="350"/>
    </row>
    <row r="5" spans="1:11" s="341" customFormat="1" ht="20.100000000000001" customHeight="1">
      <c r="A5" s="351" t="s">
        <v>177</v>
      </c>
      <c r="B5" s="351" t="s">
        <v>178</v>
      </c>
      <c r="C5" s="351" t="s">
        <v>179</v>
      </c>
      <c r="D5" s="351" t="s">
        <v>180</v>
      </c>
      <c r="E5" s="351" t="s">
        <v>181</v>
      </c>
      <c r="F5" s="351" t="s">
        <v>182</v>
      </c>
      <c r="G5" s="351" t="s">
        <v>183</v>
      </c>
      <c r="H5" s="351" t="s">
        <v>184</v>
      </c>
      <c r="I5" s="351" t="s">
        <v>185</v>
      </c>
      <c r="J5" s="351" t="s">
        <v>186</v>
      </c>
      <c r="K5" s="351" t="s">
        <v>187</v>
      </c>
    </row>
    <row r="6" spans="1:11" s="342" customFormat="1" ht="20.100000000000001" customHeight="1">
      <c r="A6" s="352"/>
      <c r="B6" s="353" t="s">
        <v>188</v>
      </c>
      <c r="C6" s="354"/>
      <c r="D6" s="355"/>
      <c r="E6" s="356"/>
      <c r="F6" s="356"/>
      <c r="G6" s="354"/>
      <c r="H6" s="356"/>
      <c r="I6" s="388"/>
      <c r="J6" s="384"/>
      <c r="K6" s="384"/>
    </row>
    <row r="7" spans="1:11" s="341" customFormat="1" ht="20.100000000000001" customHeight="1">
      <c r="A7" s="352">
        <v>1</v>
      </c>
      <c r="B7" s="358" t="s">
        <v>189</v>
      </c>
      <c r="C7" s="354"/>
      <c r="D7" s="356"/>
      <c r="E7" s="463"/>
      <c r="F7" s="463"/>
      <c r="G7" s="463"/>
      <c r="H7" s="464"/>
      <c r="I7" s="484"/>
      <c r="J7" s="463"/>
      <c r="K7" s="485"/>
    </row>
    <row r="8" spans="1:11" s="341" customFormat="1" ht="20.100000000000001" customHeight="1">
      <c r="A8" s="383">
        <v>1.1000000000000001</v>
      </c>
      <c r="B8" s="363" t="s">
        <v>190</v>
      </c>
      <c r="C8" s="354" t="s">
        <v>191</v>
      </c>
      <c r="D8" s="465"/>
      <c r="E8" s="463">
        <v>6172.68</v>
      </c>
      <c r="F8" s="463">
        <v>39829.660000000003</v>
      </c>
      <c r="G8" s="463"/>
      <c r="H8" s="465"/>
      <c r="I8" s="463">
        <v>59568.59</v>
      </c>
      <c r="J8" s="463"/>
      <c r="K8" s="485"/>
    </row>
    <row r="9" spans="1:11" s="341" customFormat="1" ht="20.100000000000001" customHeight="1">
      <c r="A9" s="352">
        <v>2</v>
      </c>
      <c r="B9" s="358" t="s">
        <v>192</v>
      </c>
      <c r="C9" s="354" t="s">
        <v>191</v>
      </c>
      <c r="D9" s="356"/>
      <c r="E9" s="243"/>
      <c r="F9" s="463"/>
      <c r="G9" s="463"/>
      <c r="H9" s="465"/>
      <c r="I9" s="463"/>
      <c r="J9" s="463"/>
      <c r="K9" s="485"/>
    </row>
    <row r="10" spans="1:11" s="341" customFormat="1" ht="20.100000000000001" customHeight="1">
      <c r="A10" s="352">
        <v>3</v>
      </c>
      <c r="B10" s="358" t="s">
        <v>193</v>
      </c>
      <c r="C10" s="356"/>
      <c r="D10" s="466"/>
      <c r="E10" s="458"/>
      <c r="F10" s="458"/>
      <c r="G10" s="458"/>
      <c r="H10" s="464"/>
      <c r="I10" s="486"/>
      <c r="J10" s="458"/>
      <c r="K10" s="485"/>
    </row>
    <row r="11" spans="1:11" s="341" customFormat="1" ht="20.100000000000001" customHeight="1">
      <c r="A11" s="383">
        <v>3.1</v>
      </c>
      <c r="B11" s="363" t="s">
        <v>194</v>
      </c>
      <c r="C11" s="354" t="s">
        <v>191</v>
      </c>
      <c r="D11" s="467"/>
      <c r="E11" s="458" t="e">
        <f>#REF!</f>
        <v>#REF!</v>
      </c>
      <c r="F11" s="458" t="e">
        <f>#REF!</f>
        <v>#REF!</v>
      </c>
      <c r="G11" s="458" t="e">
        <f>F11/D11*100</f>
        <v>#REF!</v>
      </c>
      <c r="H11" s="467"/>
      <c r="I11" s="458" t="e">
        <f>#REF!</f>
        <v>#REF!</v>
      </c>
      <c r="J11" s="458" t="e">
        <f>I11/H11*100</f>
        <v>#REF!</v>
      </c>
      <c r="K11" s="485"/>
    </row>
    <row r="12" spans="1:11" s="341" customFormat="1" ht="20.100000000000001" customHeight="1">
      <c r="A12" s="383"/>
      <c r="B12" s="363" t="s">
        <v>195</v>
      </c>
      <c r="C12" s="354" t="s">
        <v>191</v>
      </c>
      <c r="D12" s="467"/>
      <c r="E12" s="458" t="e">
        <f>#REF!</f>
        <v>#REF!</v>
      </c>
      <c r="F12" s="458" t="e">
        <f>#REF!</f>
        <v>#REF!</v>
      </c>
      <c r="G12" s="458" t="e">
        <f t="shared" ref="G12:G21" si="0">F12/D12*100</f>
        <v>#REF!</v>
      </c>
      <c r="H12" s="467"/>
      <c r="I12" s="458" t="e">
        <f>#REF!</f>
        <v>#REF!</v>
      </c>
      <c r="J12" s="458" t="e">
        <f t="shared" ref="J12:J21" si="1">I12/H12*100</f>
        <v>#REF!</v>
      </c>
      <c r="K12" s="485"/>
    </row>
    <row r="13" spans="1:11" s="341" customFormat="1" ht="20.100000000000001" customHeight="1">
      <c r="A13" s="383"/>
      <c r="B13" s="363" t="s">
        <v>154</v>
      </c>
      <c r="C13" s="354" t="s">
        <v>196</v>
      </c>
      <c r="D13" s="468"/>
      <c r="E13" s="458" t="e">
        <f>(日报表!E11-日报表!E12)/日报表!E11*100</f>
        <v>#REF!</v>
      </c>
      <c r="F13" s="458" t="e">
        <f>(日报表!F11-日报表!F12)/日报表!F11*100</f>
        <v>#REF!</v>
      </c>
      <c r="G13" s="458" t="e">
        <f t="shared" si="0"/>
        <v>#REF!</v>
      </c>
      <c r="H13" s="468"/>
      <c r="I13" s="458" t="e">
        <f>(日报表!I11-日报表!I12)/日报表!I11*100</f>
        <v>#REF!</v>
      </c>
      <c r="J13" s="458" t="e">
        <f t="shared" si="1"/>
        <v>#REF!</v>
      </c>
      <c r="K13" s="485"/>
    </row>
    <row r="14" spans="1:11" s="341" customFormat="1" ht="20.100000000000001" customHeight="1">
      <c r="A14" s="383">
        <v>3.2</v>
      </c>
      <c r="B14" s="363" t="s">
        <v>197</v>
      </c>
      <c r="C14" s="354" t="s">
        <v>196</v>
      </c>
      <c r="D14" s="467"/>
      <c r="E14" s="458" t="e">
        <f>#REF!</f>
        <v>#REF!</v>
      </c>
      <c r="F14" s="458" t="e">
        <f>#REF!</f>
        <v>#REF!</v>
      </c>
      <c r="G14" s="458" t="e">
        <f t="shared" si="0"/>
        <v>#REF!</v>
      </c>
      <c r="H14" s="467"/>
      <c r="I14" s="458" t="e">
        <f>#REF!</f>
        <v>#REF!</v>
      </c>
      <c r="J14" s="458" t="e">
        <f t="shared" si="1"/>
        <v>#REF!</v>
      </c>
      <c r="K14" s="485"/>
    </row>
    <row r="15" spans="1:11" s="341" customFormat="1" ht="20.100000000000001" customHeight="1">
      <c r="A15" s="383"/>
      <c r="B15" s="363" t="s">
        <v>198</v>
      </c>
      <c r="C15" s="354" t="s">
        <v>191</v>
      </c>
      <c r="D15" s="469"/>
      <c r="E15" s="470" t="e">
        <f>#REF!</f>
        <v>#REF!</v>
      </c>
      <c r="F15" s="470" t="e">
        <f>#REF!</f>
        <v>#REF!</v>
      </c>
      <c r="G15" s="458" t="e">
        <f t="shared" si="0"/>
        <v>#REF!</v>
      </c>
      <c r="H15" s="469"/>
      <c r="I15" s="470" t="e">
        <f>#REF!</f>
        <v>#REF!</v>
      </c>
      <c r="J15" s="458" t="e">
        <f t="shared" si="1"/>
        <v>#REF!</v>
      </c>
      <c r="K15" s="485"/>
    </row>
    <row r="16" spans="1:11" s="341" customFormat="1" ht="20.100000000000001" customHeight="1">
      <c r="A16" s="383">
        <v>3.3</v>
      </c>
      <c r="B16" s="363" t="s">
        <v>199</v>
      </c>
      <c r="C16" s="354" t="s">
        <v>196</v>
      </c>
      <c r="D16" s="467"/>
      <c r="E16" s="458" t="e">
        <f>#REF!</f>
        <v>#REF!</v>
      </c>
      <c r="F16" s="458" t="e">
        <f>#REF!</f>
        <v>#REF!</v>
      </c>
      <c r="G16" s="458" t="e">
        <f t="shared" si="0"/>
        <v>#REF!</v>
      </c>
      <c r="H16" s="467"/>
      <c r="I16" s="458" t="e">
        <f>#REF!</f>
        <v>#REF!</v>
      </c>
      <c r="J16" s="458" t="e">
        <f t="shared" si="1"/>
        <v>#REF!</v>
      </c>
      <c r="K16" s="485"/>
    </row>
    <row r="17" spans="1:11" s="341" customFormat="1" ht="20.100000000000001" customHeight="1">
      <c r="A17" s="383"/>
      <c r="B17" s="363" t="s">
        <v>200</v>
      </c>
      <c r="C17" s="354" t="s">
        <v>191</v>
      </c>
      <c r="D17" s="469"/>
      <c r="E17" s="470" t="e">
        <f>#REF!</f>
        <v>#REF!</v>
      </c>
      <c r="F17" s="470" t="e">
        <f>#REF!</f>
        <v>#REF!</v>
      </c>
      <c r="G17" s="458" t="e">
        <f t="shared" si="0"/>
        <v>#REF!</v>
      </c>
      <c r="H17" s="469"/>
      <c r="I17" s="470" t="e">
        <f>#REF!</f>
        <v>#REF!</v>
      </c>
      <c r="J17" s="458" t="e">
        <f t="shared" si="1"/>
        <v>#REF!</v>
      </c>
      <c r="K17" s="485"/>
    </row>
    <row r="18" spans="1:11" s="341" customFormat="1" ht="20.100000000000001" customHeight="1">
      <c r="A18" s="383">
        <v>3.4</v>
      </c>
      <c r="B18" s="363" t="s">
        <v>201</v>
      </c>
      <c r="C18" s="354" t="s">
        <v>196</v>
      </c>
      <c r="D18" s="471"/>
      <c r="E18" s="458" t="e">
        <f>#REF!</f>
        <v>#REF!</v>
      </c>
      <c r="F18" s="458" t="e">
        <f>#REF!</f>
        <v>#REF!</v>
      </c>
      <c r="G18" s="458" t="e">
        <f t="shared" si="0"/>
        <v>#REF!</v>
      </c>
      <c r="H18" s="471"/>
      <c r="I18" s="458" t="e">
        <f>#REF!</f>
        <v>#REF!</v>
      </c>
      <c r="J18" s="458" t="e">
        <f t="shared" si="1"/>
        <v>#REF!</v>
      </c>
      <c r="K18" s="485"/>
    </row>
    <row r="19" spans="1:11" s="341" customFormat="1" ht="20.100000000000001" customHeight="1">
      <c r="A19" s="383"/>
      <c r="B19" s="363" t="s">
        <v>202</v>
      </c>
      <c r="C19" s="354" t="s">
        <v>191</v>
      </c>
      <c r="D19" s="472"/>
      <c r="E19" s="470" t="e">
        <f>#REF!</f>
        <v>#REF!</v>
      </c>
      <c r="F19" s="470" t="e">
        <f>#REF!</f>
        <v>#REF!</v>
      </c>
      <c r="G19" s="458" t="e">
        <f t="shared" si="0"/>
        <v>#REF!</v>
      </c>
      <c r="H19" s="472"/>
      <c r="I19" s="470" t="e">
        <f>#REF!</f>
        <v>#REF!</v>
      </c>
      <c r="J19" s="458" t="e">
        <f t="shared" si="1"/>
        <v>#REF!</v>
      </c>
      <c r="K19" s="485"/>
    </row>
    <row r="20" spans="1:11" s="341" customFormat="1" ht="20.100000000000001" customHeight="1">
      <c r="A20" s="383">
        <v>3.5</v>
      </c>
      <c r="B20" s="363" t="s">
        <v>203</v>
      </c>
      <c r="C20" s="354" t="s">
        <v>204</v>
      </c>
      <c r="D20" s="467"/>
      <c r="E20" s="458" t="e">
        <f>#REF!</f>
        <v>#REF!</v>
      </c>
      <c r="F20" s="458" t="e">
        <f>#REF!</f>
        <v>#REF!</v>
      </c>
      <c r="G20" s="458" t="e">
        <f t="shared" si="0"/>
        <v>#REF!</v>
      </c>
      <c r="H20" s="467"/>
      <c r="I20" s="458" t="e">
        <f>#REF!</f>
        <v>#REF!</v>
      </c>
      <c r="J20" s="458" t="e">
        <f t="shared" si="1"/>
        <v>#REF!</v>
      </c>
      <c r="K20" s="485"/>
    </row>
    <row r="21" spans="1:11" s="341" customFormat="1" ht="20.100000000000001" customHeight="1">
      <c r="A21" s="383"/>
      <c r="B21" s="363" t="s">
        <v>205</v>
      </c>
      <c r="C21" s="354" t="s">
        <v>206</v>
      </c>
      <c r="D21" s="473"/>
      <c r="E21" s="474" t="e">
        <f>#REF!</f>
        <v>#REF!</v>
      </c>
      <c r="F21" s="474" t="e">
        <f>#REF!</f>
        <v>#REF!</v>
      </c>
      <c r="G21" s="458" t="e">
        <f t="shared" si="0"/>
        <v>#REF!</v>
      </c>
      <c r="H21" s="473"/>
      <c r="I21" s="474" t="e">
        <f>#REF!</f>
        <v>#REF!</v>
      </c>
      <c r="J21" s="458" t="e">
        <f t="shared" si="1"/>
        <v>#REF!</v>
      </c>
      <c r="K21" s="485"/>
    </row>
    <row r="22" spans="1:11" s="341" customFormat="1" ht="20.100000000000001" customHeight="1">
      <c r="A22" s="383"/>
      <c r="B22" s="363"/>
      <c r="C22" s="354"/>
      <c r="D22" s="467"/>
      <c r="E22" s="458"/>
      <c r="F22" s="458"/>
      <c r="G22" s="458"/>
      <c r="H22" s="467"/>
      <c r="I22" s="458"/>
      <c r="J22" s="458"/>
      <c r="K22" s="485"/>
    </row>
    <row r="23" spans="1:11" s="341" customFormat="1" ht="20.100000000000001" customHeight="1">
      <c r="A23" s="352">
        <v>4</v>
      </c>
      <c r="B23" s="358" t="s">
        <v>207</v>
      </c>
      <c r="C23" s="356"/>
      <c r="D23" s="467"/>
      <c r="E23" s="458"/>
      <c r="F23" s="458"/>
      <c r="G23" s="458"/>
      <c r="H23" s="467"/>
      <c r="I23" s="458"/>
      <c r="J23" s="458"/>
      <c r="K23" s="485"/>
    </row>
    <row r="24" spans="1:11" ht="20.100000000000001" customHeight="1">
      <c r="A24" s="383">
        <v>4.0999999999999996</v>
      </c>
      <c r="B24" s="358" t="s">
        <v>64</v>
      </c>
      <c r="C24" s="354"/>
      <c r="D24" s="467"/>
      <c r="E24" s="384"/>
      <c r="F24" s="384"/>
      <c r="G24" s="458"/>
      <c r="H24" s="467"/>
      <c r="I24" s="487"/>
      <c r="J24" s="458"/>
      <c r="K24" s="384"/>
    </row>
    <row r="25" spans="1:11" ht="20.100000000000001" customHeight="1">
      <c r="A25" s="475" t="s">
        <v>208</v>
      </c>
      <c r="B25" s="363" t="s">
        <v>194</v>
      </c>
      <c r="C25" s="354" t="s">
        <v>191</v>
      </c>
      <c r="D25" s="471"/>
      <c r="E25" s="379" t="e">
        <f>E26/0.9</f>
        <v>#REF!</v>
      </c>
      <c r="F25" s="379" t="e">
        <f>F26/0.9</f>
        <v>#REF!</v>
      </c>
      <c r="G25" s="458" t="e">
        <f t="shared" ref="G25:G35" si="2">F25/D25*100</f>
        <v>#REF!</v>
      </c>
      <c r="H25" s="471"/>
      <c r="I25" s="379" t="e">
        <f>I26/0.9</f>
        <v>#REF!</v>
      </c>
      <c r="J25" s="458" t="e">
        <f t="shared" ref="J25:J35" si="3">I25/H25*100</f>
        <v>#REF!</v>
      </c>
      <c r="K25" s="384"/>
    </row>
    <row r="26" spans="1:11" ht="20.100000000000001" customHeight="1">
      <c r="A26" s="476"/>
      <c r="B26" s="477" t="s">
        <v>195</v>
      </c>
      <c r="C26" s="354" t="s">
        <v>191</v>
      </c>
      <c r="D26" s="478"/>
      <c r="E26" s="379" t="e">
        <f>#REF!</f>
        <v>#REF!</v>
      </c>
      <c r="F26" s="458" t="e">
        <f>#REF!</f>
        <v>#REF!</v>
      </c>
      <c r="G26" s="458" t="e">
        <f t="shared" si="2"/>
        <v>#REF!</v>
      </c>
      <c r="H26" s="478"/>
      <c r="I26" s="487" t="e">
        <f>#REF!</f>
        <v>#REF!</v>
      </c>
      <c r="J26" s="458" t="e">
        <f t="shared" si="3"/>
        <v>#REF!</v>
      </c>
      <c r="K26" s="384"/>
    </row>
    <row r="27" spans="1:11" ht="20.100000000000001" customHeight="1">
      <c r="A27" s="479"/>
      <c r="B27" s="480" t="s">
        <v>20</v>
      </c>
      <c r="C27" s="354" t="s">
        <v>196</v>
      </c>
      <c r="D27" s="481"/>
      <c r="E27" s="379">
        <v>10</v>
      </c>
      <c r="F27" s="470">
        <v>10</v>
      </c>
      <c r="G27" s="458" t="e">
        <f t="shared" si="2"/>
        <v>#DIV/0!</v>
      </c>
      <c r="H27" s="481"/>
      <c r="I27" s="487">
        <v>10</v>
      </c>
      <c r="J27" s="458" t="e">
        <f t="shared" si="3"/>
        <v>#DIV/0!</v>
      </c>
      <c r="K27" s="384"/>
    </row>
    <row r="28" spans="1:11" s="341" customFormat="1" ht="20.100000000000001" customHeight="1">
      <c r="A28" s="383" t="s">
        <v>209</v>
      </c>
      <c r="B28" s="381" t="s">
        <v>197</v>
      </c>
      <c r="C28" s="354" t="s">
        <v>196</v>
      </c>
      <c r="D28" s="482"/>
      <c r="E28" s="458" t="e">
        <f>#REF!</f>
        <v>#REF!</v>
      </c>
      <c r="F28" s="458" t="e">
        <f>#REF!</f>
        <v>#REF!</v>
      </c>
      <c r="G28" s="458" t="e">
        <f t="shared" si="2"/>
        <v>#REF!</v>
      </c>
      <c r="H28" s="482"/>
      <c r="I28" s="458" t="e">
        <f>#REF!</f>
        <v>#REF!</v>
      </c>
      <c r="J28" s="458" t="e">
        <f t="shared" si="3"/>
        <v>#REF!</v>
      </c>
      <c r="K28" s="485"/>
    </row>
    <row r="29" spans="1:11" s="341" customFormat="1" ht="20.100000000000001" customHeight="1">
      <c r="A29" s="383"/>
      <c r="B29" s="363" t="s">
        <v>198</v>
      </c>
      <c r="C29" s="354" t="s">
        <v>191</v>
      </c>
      <c r="D29" s="469"/>
      <c r="E29" s="470" t="e">
        <f>#REF!</f>
        <v>#REF!</v>
      </c>
      <c r="F29" s="470" t="e">
        <f>#REF!</f>
        <v>#REF!</v>
      </c>
      <c r="G29" s="458" t="e">
        <f t="shared" si="2"/>
        <v>#REF!</v>
      </c>
      <c r="H29" s="469"/>
      <c r="I29" s="470" t="e">
        <f>#REF!</f>
        <v>#REF!</v>
      </c>
      <c r="J29" s="458" t="e">
        <f t="shared" si="3"/>
        <v>#REF!</v>
      </c>
      <c r="K29" s="485"/>
    </row>
    <row r="30" spans="1:11" s="341" customFormat="1" ht="20.100000000000001" customHeight="1">
      <c r="A30" s="383" t="s">
        <v>210</v>
      </c>
      <c r="B30" s="363" t="s">
        <v>199</v>
      </c>
      <c r="C30" s="354" t="s">
        <v>196</v>
      </c>
      <c r="D30" s="471"/>
      <c r="E30" s="458" t="e">
        <f>#REF!</f>
        <v>#REF!</v>
      </c>
      <c r="F30" s="458" t="e">
        <f>#REF!</f>
        <v>#REF!</v>
      </c>
      <c r="G30" s="458" t="e">
        <f t="shared" si="2"/>
        <v>#REF!</v>
      </c>
      <c r="H30" s="471"/>
      <c r="I30" s="458" t="e">
        <f>#REF!</f>
        <v>#REF!</v>
      </c>
      <c r="J30" s="458" t="e">
        <f t="shared" si="3"/>
        <v>#REF!</v>
      </c>
      <c r="K30" s="485"/>
    </row>
    <row r="31" spans="1:11" s="341" customFormat="1" ht="20.100000000000001" customHeight="1">
      <c r="A31" s="383"/>
      <c r="B31" s="363" t="s">
        <v>200</v>
      </c>
      <c r="C31" s="354" t="s">
        <v>191</v>
      </c>
      <c r="D31" s="472"/>
      <c r="E31" s="470" t="e">
        <f>#REF!</f>
        <v>#REF!</v>
      </c>
      <c r="F31" s="470" t="e">
        <f>#REF!</f>
        <v>#REF!</v>
      </c>
      <c r="G31" s="458" t="e">
        <f t="shared" si="2"/>
        <v>#REF!</v>
      </c>
      <c r="H31" s="472"/>
      <c r="I31" s="470" t="e">
        <f>#REF!</f>
        <v>#REF!</v>
      </c>
      <c r="J31" s="458" t="e">
        <f t="shared" si="3"/>
        <v>#REF!</v>
      </c>
      <c r="K31" s="485"/>
    </row>
    <row r="32" spans="1:11" s="341" customFormat="1" ht="20.100000000000001" customHeight="1">
      <c r="A32" s="383" t="s">
        <v>211</v>
      </c>
      <c r="B32" s="363" t="s">
        <v>201</v>
      </c>
      <c r="C32" s="354" t="s">
        <v>196</v>
      </c>
      <c r="D32" s="471"/>
      <c r="E32" s="458" t="e">
        <f>#REF!</f>
        <v>#REF!</v>
      </c>
      <c r="F32" s="458" t="e">
        <f>#REF!</f>
        <v>#REF!</v>
      </c>
      <c r="G32" s="458" t="e">
        <f t="shared" si="2"/>
        <v>#REF!</v>
      </c>
      <c r="H32" s="471"/>
      <c r="I32" s="458" t="e">
        <f>#REF!</f>
        <v>#REF!</v>
      </c>
      <c r="J32" s="458" t="e">
        <f t="shared" si="3"/>
        <v>#REF!</v>
      </c>
      <c r="K32" s="485"/>
    </row>
    <row r="33" spans="1:11" s="341" customFormat="1" ht="20.100000000000001" customHeight="1">
      <c r="A33" s="383"/>
      <c r="B33" s="363" t="s">
        <v>202</v>
      </c>
      <c r="C33" s="354" t="s">
        <v>191</v>
      </c>
      <c r="D33" s="472"/>
      <c r="E33" s="470" t="e">
        <f>#REF!</f>
        <v>#REF!</v>
      </c>
      <c r="F33" s="470" t="e">
        <f>#REF!</f>
        <v>#REF!</v>
      </c>
      <c r="G33" s="458" t="e">
        <f t="shared" si="2"/>
        <v>#REF!</v>
      </c>
      <c r="H33" s="472"/>
      <c r="I33" s="470" t="e">
        <f>#REF!</f>
        <v>#REF!</v>
      </c>
      <c r="J33" s="458" t="e">
        <f t="shared" si="3"/>
        <v>#REF!</v>
      </c>
      <c r="K33" s="485"/>
    </row>
    <row r="34" spans="1:11" s="341" customFormat="1" ht="20.100000000000001" customHeight="1">
      <c r="A34" s="383" t="s">
        <v>212</v>
      </c>
      <c r="B34" s="363" t="s">
        <v>203</v>
      </c>
      <c r="C34" s="354" t="s">
        <v>204</v>
      </c>
      <c r="D34" s="467"/>
      <c r="E34" s="458" t="e">
        <f>#REF!</f>
        <v>#REF!</v>
      </c>
      <c r="F34" s="458" t="e">
        <f>#REF!</f>
        <v>#REF!</v>
      </c>
      <c r="G34" s="458" t="e">
        <f t="shared" si="2"/>
        <v>#REF!</v>
      </c>
      <c r="H34" s="467"/>
      <c r="I34" s="458" t="e">
        <f>#REF!</f>
        <v>#REF!</v>
      </c>
      <c r="J34" s="458" t="e">
        <f t="shared" si="3"/>
        <v>#REF!</v>
      </c>
      <c r="K34" s="485"/>
    </row>
    <row r="35" spans="1:11" s="341" customFormat="1" ht="20.100000000000001" customHeight="1">
      <c r="A35" s="383"/>
      <c r="B35" s="363" t="s">
        <v>205</v>
      </c>
      <c r="C35" s="354" t="s">
        <v>206</v>
      </c>
      <c r="D35" s="473"/>
      <c r="E35" s="474" t="e">
        <f>#REF!</f>
        <v>#REF!</v>
      </c>
      <c r="F35" s="474" t="e">
        <f>#REF!</f>
        <v>#REF!</v>
      </c>
      <c r="G35" s="458" t="e">
        <f t="shared" si="2"/>
        <v>#REF!</v>
      </c>
      <c r="H35" s="473"/>
      <c r="I35" s="474" t="e">
        <f>#REF!</f>
        <v>#REF!</v>
      </c>
      <c r="J35" s="458" t="e">
        <f t="shared" si="3"/>
        <v>#REF!</v>
      </c>
      <c r="K35" s="485"/>
    </row>
    <row r="36" spans="1:11" ht="20.100000000000001" customHeight="1">
      <c r="A36" s="383">
        <v>4.2</v>
      </c>
      <c r="B36" s="358" t="s">
        <v>65</v>
      </c>
      <c r="C36" s="354"/>
      <c r="D36" s="384"/>
      <c r="E36" s="384"/>
      <c r="F36" s="384"/>
      <c r="G36" s="458"/>
      <c r="H36" s="384"/>
      <c r="I36" s="487"/>
      <c r="J36" s="458"/>
      <c r="K36" s="384"/>
    </row>
    <row r="37" spans="1:11" ht="20.100000000000001" customHeight="1">
      <c r="A37" s="383" t="s">
        <v>213</v>
      </c>
      <c r="B37" s="363" t="s">
        <v>194</v>
      </c>
      <c r="C37" s="354" t="s">
        <v>191</v>
      </c>
      <c r="D37" s="379"/>
      <c r="E37" s="379" t="e">
        <f>E38/0.9</f>
        <v>#REF!</v>
      </c>
      <c r="F37" s="379" t="e">
        <f>F38/0.9</f>
        <v>#REF!</v>
      </c>
      <c r="G37" s="458" t="e">
        <f t="shared" ref="G37:G47" si="4">F37/D37*100</f>
        <v>#REF!</v>
      </c>
      <c r="H37" s="379"/>
      <c r="I37" s="379" t="e">
        <f>I38/0.9</f>
        <v>#REF!</v>
      </c>
      <c r="J37" s="458" t="e">
        <f t="shared" ref="J37:J47" si="5">I37/H37*100</f>
        <v>#REF!</v>
      </c>
      <c r="K37" s="384"/>
    </row>
    <row r="38" spans="1:11" ht="20.100000000000001" customHeight="1">
      <c r="A38" s="383"/>
      <c r="B38" s="363" t="s">
        <v>195</v>
      </c>
      <c r="C38" s="354" t="s">
        <v>191</v>
      </c>
      <c r="D38" s="482"/>
      <c r="E38" s="379" t="e">
        <f>#REF!</f>
        <v>#REF!</v>
      </c>
      <c r="F38" s="379" t="e">
        <f>#REF!</f>
        <v>#REF!</v>
      </c>
      <c r="G38" s="458" t="e">
        <f t="shared" si="4"/>
        <v>#REF!</v>
      </c>
      <c r="H38" s="482"/>
      <c r="I38" s="487" t="e">
        <f>#REF!</f>
        <v>#REF!</v>
      </c>
      <c r="J38" s="458" t="e">
        <f t="shared" si="5"/>
        <v>#REF!</v>
      </c>
      <c r="K38" s="384"/>
    </row>
    <row r="39" spans="1:11" ht="20.100000000000001" customHeight="1">
      <c r="A39" s="383"/>
      <c r="B39" s="363" t="s">
        <v>20</v>
      </c>
      <c r="C39" s="354" t="s">
        <v>196</v>
      </c>
      <c r="D39" s="482"/>
      <c r="E39" s="379">
        <v>10</v>
      </c>
      <c r="F39" s="379">
        <v>10</v>
      </c>
      <c r="G39" s="458" t="e">
        <f t="shared" si="4"/>
        <v>#DIV/0!</v>
      </c>
      <c r="H39" s="482"/>
      <c r="I39" s="487">
        <v>10</v>
      </c>
      <c r="J39" s="458" t="e">
        <f t="shared" si="5"/>
        <v>#DIV/0!</v>
      </c>
      <c r="K39" s="384"/>
    </row>
    <row r="40" spans="1:11" s="341" customFormat="1" ht="20.100000000000001" customHeight="1">
      <c r="A40" s="383" t="s">
        <v>214</v>
      </c>
      <c r="B40" s="363" t="s">
        <v>197</v>
      </c>
      <c r="C40" s="354" t="s">
        <v>196</v>
      </c>
      <c r="D40" s="471"/>
      <c r="E40" s="458" t="e">
        <f>#REF!</f>
        <v>#REF!</v>
      </c>
      <c r="F40" s="379" t="e">
        <f>#REF!</f>
        <v>#REF!</v>
      </c>
      <c r="G40" s="458" t="e">
        <f t="shared" si="4"/>
        <v>#REF!</v>
      </c>
      <c r="H40" s="471"/>
      <c r="I40" s="458" t="e">
        <f>#REF!</f>
        <v>#REF!</v>
      </c>
      <c r="J40" s="458" t="e">
        <f t="shared" si="5"/>
        <v>#REF!</v>
      </c>
      <c r="K40" s="485"/>
    </row>
    <row r="41" spans="1:11" s="341" customFormat="1" ht="20.100000000000001" customHeight="1">
      <c r="A41" s="383"/>
      <c r="B41" s="363" t="s">
        <v>198</v>
      </c>
      <c r="C41" s="354" t="s">
        <v>191</v>
      </c>
      <c r="D41" s="472"/>
      <c r="E41" s="470" t="e">
        <f>#REF!</f>
        <v>#REF!</v>
      </c>
      <c r="F41" s="470" t="e">
        <f>#REF!</f>
        <v>#REF!</v>
      </c>
      <c r="G41" s="458" t="e">
        <f t="shared" si="4"/>
        <v>#REF!</v>
      </c>
      <c r="H41" s="472"/>
      <c r="I41" s="470" t="e">
        <f>#REF!</f>
        <v>#REF!</v>
      </c>
      <c r="J41" s="458" t="e">
        <f t="shared" si="5"/>
        <v>#REF!</v>
      </c>
      <c r="K41" s="485"/>
    </row>
    <row r="42" spans="1:11" s="341" customFormat="1" ht="20.100000000000001" customHeight="1">
      <c r="A42" s="383" t="s">
        <v>215</v>
      </c>
      <c r="B42" s="363" t="s">
        <v>199</v>
      </c>
      <c r="C42" s="354" t="s">
        <v>196</v>
      </c>
      <c r="D42" s="482"/>
      <c r="E42" s="458" t="e">
        <f>#REF!</f>
        <v>#REF!</v>
      </c>
      <c r="F42" s="458" t="e">
        <f>#REF!</f>
        <v>#REF!</v>
      </c>
      <c r="G42" s="458" t="e">
        <f t="shared" si="4"/>
        <v>#REF!</v>
      </c>
      <c r="H42" s="482"/>
      <c r="I42" s="458" t="e">
        <f>#REF!</f>
        <v>#REF!</v>
      </c>
      <c r="J42" s="458" t="e">
        <f t="shared" si="5"/>
        <v>#REF!</v>
      </c>
      <c r="K42" s="485"/>
    </row>
    <row r="43" spans="1:11" s="341" customFormat="1" ht="20.100000000000001" customHeight="1">
      <c r="A43" s="383"/>
      <c r="B43" s="363" t="s">
        <v>200</v>
      </c>
      <c r="C43" s="354" t="s">
        <v>191</v>
      </c>
      <c r="D43" s="469"/>
      <c r="E43" s="470" t="e">
        <f>#REF!</f>
        <v>#REF!</v>
      </c>
      <c r="F43" s="470" t="e">
        <f>#REF!</f>
        <v>#REF!</v>
      </c>
      <c r="G43" s="458" t="e">
        <f t="shared" si="4"/>
        <v>#REF!</v>
      </c>
      <c r="H43" s="469"/>
      <c r="I43" s="470" t="e">
        <f>#REF!</f>
        <v>#REF!</v>
      </c>
      <c r="J43" s="458" t="e">
        <f t="shared" si="5"/>
        <v>#REF!</v>
      </c>
      <c r="K43" s="485"/>
    </row>
    <row r="44" spans="1:11" s="341" customFormat="1" ht="20.100000000000001" customHeight="1">
      <c r="A44" s="383" t="s">
        <v>216</v>
      </c>
      <c r="B44" s="363" t="s">
        <v>201</v>
      </c>
      <c r="C44" s="354" t="s">
        <v>196</v>
      </c>
      <c r="D44" s="471"/>
      <c r="E44" s="458" t="e">
        <f>#REF!</f>
        <v>#REF!</v>
      </c>
      <c r="F44" s="458" t="e">
        <f>#REF!</f>
        <v>#REF!</v>
      </c>
      <c r="G44" s="458" t="e">
        <f t="shared" si="4"/>
        <v>#REF!</v>
      </c>
      <c r="H44" s="471"/>
      <c r="I44" s="458" t="e">
        <f>#REF!</f>
        <v>#REF!</v>
      </c>
      <c r="J44" s="458" t="e">
        <f t="shared" si="5"/>
        <v>#REF!</v>
      </c>
      <c r="K44" s="485"/>
    </row>
    <row r="45" spans="1:11" s="341" customFormat="1" ht="20.100000000000001" customHeight="1">
      <c r="A45" s="383"/>
      <c r="B45" s="363" t="s">
        <v>202</v>
      </c>
      <c r="C45" s="354" t="s">
        <v>191</v>
      </c>
      <c r="D45" s="472"/>
      <c r="E45" s="470" t="e">
        <f>#REF!</f>
        <v>#REF!</v>
      </c>
      <c r="F45" s="470" t="e">
        <f>#REF!</f>
        <v>#REF!</v>
      </c>
      <c r="G45" s="458" t="e">
        <f t="shared" si="4"/>
        <v>#REF!</v>
      </c>
      <c r="H45" s="472"/>
      <c r="I45" s="470" t="e">
        <f>#REF!</f>
        <v>#REF!</v>
      </c>
      <c r="J45" s="458" t="e">
        <f t="shared" si="5"/>
        <v>#REF!</v>
      </c>
      <c r="K45" s="485"/>
    </row>
    <row r="46" spans="1:11" s="341" customFormat="1" ht="20.100000000000001" customHeight="1">
      <c r="A46" s="383" t="s">
        <v>217</v>
      </c>
      <c r="B46" s="363" t="s">
        <v>203</v>
      </c>
      <c r="C46" s="354" t="s">
        <v>204</v>
      </c>
      <c r="D46" s="467"/>
      <c r="E46" s="458" t="e">
        <f>#REF!</f>
        <v>#REF!</v>
      </c>
      <c r="F46" s="458" t="e">
        <f>#REF!</f>
        <v>#REF!</v>
      </c>
      <c r="G46" s="458" t="e">
        <f t="shared" si="4"/>
        <v>#REF!</v>
      </c>
      <c r="H46" s="467"/>
      <c r="I46" s="458" t="e">
        <f>#REF!</f>
        <v>#REF!</v>
      </c>
      <c r="J46" s="458" t="e">
        <f t="shared" si="5"/>
        <v>#REF!</v>
      </c>
      <c r="K46" s="485"/>
    </row>
    <row r="47" spans="1:11" s="341" customFormat="1" ht="20.100000000000001" customHeight="1">
      <c r="A47" s="383"/>
      <c r="B47" s="363" t="s">
        <v>205</v>
      </c>
      <c r="C47" s="354" t="s">
        <v>206</v>
      </c>
      <c r="D47" s="473"/>
      <c r="E47" s="474" t="e">
        <f>#REF!</f>
        <v>#REF!</v>
      </c>
      <c r="F47" s="474" t="e">
        <f>#REF!</f>
        <v>#REF!</v>
      </c>
      <c r="G47" s="458" t="e">
        <f t="shared" si="4"/>
        <v>#REF!</v>
      </c>
      <c r="H47" s="473"/>
      <c r="I47" s="474" t="e">
        <f>#REF!</f>
        <v>#REF!</v>
      </c>
      <c r="J47" s="458" t="e">
        <f t="shared" si="5"/>
        <v>#REF!</v>
      </c>
      <c r="K47" s="485"/>
    </row>
    <row r="48" spans="1:11" ht="20.100000000000001" customHeight="1">
      <c r="A48" s="383">
        <v>4.3</v>
      </c>
      <c r="B48" s="358" t="s">
        <v>218</v>
      </c>
      <c r="C48" s="354"/>
      <c r="D48" s="483"/>
      <c r="E48" s="384"/>
      <c r="F48" s="384"/>
      <c r="G48" s="458"/>
      <c r="H48" s="483"/>
      <c r="I48" s="487"/>
      <c r="J48" s="458"/>
      <c r="K48" s="384"/>
    </row>
    <row r="49" spans="1:11" ht="20.100000000000001" customHeight="1">
      <c r="A49" s="383" t="s">
        <v>219</v>
      </c>
      <c r="B49" s="363" t="s">
        <v>194</v>
      </c>
      <c r="C49" s="354" t="s">
        <v>191</v>
      </c>
      <c r="D49" s="483"/>
      <c r="E49" s="379" t="e">
        <f>E50/0.9</f>
        <v>#REF!</v>
      </c>
      <c r="F49" s="379" t="e">
        <f>F50/0.9</f>
        <v>#REF!</v>
      </c>
      <c r="G49" s="458" t="e">
        <f t="shared" ref="G49:G59" si="6">F49/D49*100</f>
        <v>#REF!</v>
      </c>
      <c r="H49" s="483"/>
      <c r="I49" s="379" t="e">
        <f>I50/0.9</f>
        <v>#REF!</v>
      </c>
      <c r="J49" s="458" t="e">
        <f t="shared" ref="J49:J59" si="7">I49/H49*100</f>
        <v>#REF!</v>
      </c>
      <c r="K49" s="384"/>
    </row>
    <row r="50" spans="1:11" ht="20.100000000000001" customHeight="1">
      <c r="A50" s="383"/>
      <c r="B50" s="363" t="s">
        <v>195</v>
      </c>
      <c r="C50" s="354" t="s">
        <v>191</v>
      </c>
      <c r="D50" s="482"/>
      <c r="E50" s="379" t="e">
        <f>#REF!</f>
        <v>#REF!</v>
      </c>
      <c r="F50" s="379" t="e">
        <f>#REF!</f>
        <v>#REF!</v>
      </c>
      <c r="G50" s="458" t="e">
        <f t="shared" si="6"/>
        <v>#REF!</v>
      </c>
      <c r="H50" s="482"/>
      <c r="I50" s="487" t="e">
        <f>#REF!</f>
        <v>#REF!</v>
      </c>
      <c r="J50" s="458" t="e">
        <f t="shared" si="7"/>
        <v>#REF!</v>
      </c>
      <c r="K50" s="384"/>
    </row>
    <row r="51" spans="1:11" ht="20.100000000000001" customHeight="1">
      <c r="A51" s="383"/>
      <c r="B51" s="363" t="s">
        <v>20</v>
      </c>
      <c r="C51" s="354" t="s">
        <v>196</v>
      </c>
      <c r="D51" s="482"/>
      <c r="E51" s="379">
        <v>12</v>
      </c>
      <c r="F51" s="379">
        <v>12</v>
      </c>
      <c r="G51" s="458" t="e">
        <f t="shared" si="6"/>
        <v>#DIV/0!</v>
      </c>
      <c r="H51" s="482"/>
      <c r="I51" s="487">
        <v>12</v>
      </c>
      <c r="J51" s="458" t="e">
        <f t="shared" si="7"/>
        <v>#DIV/0!</v>
      </c>
      <c r="K51" s="384"/>
    </row>
    <row r="52" spans="1:11" s="341" customFormat="1" ht="20.100000000000001" customHeight="1">
      <c r="A52" s="383" t="s">
        <v>220</v>
      </c>
      <c r="B52" s="363" t="s">
        <v>197</v>
      </c>
      <c r="C52" s="354" t="s">
        <v>196</v>
      </c>
      <c r="D52" s="471"/>
      <c r="E52" s="458" t="e">
        <f>#REF!</f>
        <v>#REF!</v>
      </c>
      <c r="F52" s="458" t="e">
        <f>#REF!</f>
        <v>#REF!</v>
      </c>
      <c r="G52" s="458" t="e">
        <f t="shared" si="6"/>
        <v>#REF!</v>
      </c>
      <c r="H52" s="471"/>
      <c r="I52" s="458" t="e">
        <f>#REF!</f>
        <v>#REF!</v>
      </c>
      <c r="J52" s="458" t="e">
        <f t="shared" si="7"/>
        <v>#REF!</v>
      </c>
      <c r="K52" s="485"/>
    </row>
    <row r="53" spans="1:11" s="341" customFormat="1" ht="20.100000000000001" customHeight="1">
      <c r="A53" s="383"/>
      <c r="B53" s="363" t="s">
        <v>198</v>
      </c>
      <c r="C53" s="354" t="s">
        <v>191</v>
      </c>
      <c r="D53" s="472"/>
      <c r="E53" s="470" t="e">
        <f>#REF!</f>
        <v>#REF!</v>
      </c>
      <c r="F53" s="470" t="e">
        <f>#REF!</f>
        <v>#REF!</v>
      </c>
      <c r="G53" s="458" t="e">
        <f t="shared" si="6"/>
        <v>#REF!</v>
      </c>
      <c r="H53" s="472"/>
      <c r="I53" s="470" t="e">
        <f>#REF!</f>
        <v>#REF!</v>
      </c>
      <c r="J53" s="458" t="e">
        <f t="shared" si="7"/>
        <v>#REF!</v>
      </c>
      <c r="K53" s="485"/>
    </row>
    <row r="54" spans="1:11" s="341" customFormat="1" ht="20.100000000000001" customHeight="1">
      <c r="A54" s="383" t="s">
        <v>221</v>
      </c>
      <c r="B54" s="363" t="s">
        <v>199</v>
      </c>
      <c r="C54" s="354" t="s">
        <v>196</v>
      </c>
      <c r="D54" s="471"/>
      <c r="E54" s="458" t="e">
        <f>#REF!</f>
        <v>#REF!</v>
      </c>
      <c r="F54" s="458" t="e">
        <f>#REF!</f>
        <v>#REF!</v>
      </c>
      <c r="G54" s="458" t="e">
        <f t="shared" si="6"/>
        <v>#REF!</v>
      </c>
      <c r="H54" s="471"/>
      <c r="I54" s="458" t="e">
        <f>#REF!</f>
        <v>#REF!</v>
      </c>
      <c r="J54" s="458" t="e">
        <f t="shared" si="7"/>
        <v>#REF!</v>
      </c>
      <c r="K54" s="485"/>
    </row>
    <row r="55" spans="1:11" s="341" customFormat="1" ht="20.100000000000001" customHeight="1">
      <c r="A55" s="383"/>
      <c r="B55" s="363" t="s">
        <v>200</v>
      </c>
      <c r="C55" s="354" t="s">
        <v>191</v>
      </c>
      <c r="D55" s="472"/>
      <c r="E55" s="470" t="e">
        <f>#REF!</f>
        <v>#REF!</v>
      </c>
      <c r="F55" s="470" t="e">
        <f>#REF!</f>
        <v>#REF!</v>
      </c>
      <c r="G55" s="458" t="e">
        <f t="shared" si="6"/>
        <v>#REF!</v>
      </c>
      <c r="H55" s="472"/>
      <c r="I55" s="470" t="e">
        <f>#REF!</f>
        <v>#REF!</v>
      </c>
      <c r="J55" s="458" t="e">
        <f t="shared" si="7"/>
        <v>#REF!</v>
      </c>
      <c r="K55" s="485"/>
    </row>
    <row r="56" spans="1:11" s="341" customFormat="1" ht="20.100000000000001" customHeight="1">
      <c r="A56" s="383" t="s">
        <v>222</v>
      </c>
      <c r="B56" s="363" t="s">
        <v>201</v>
      </c>
      <c r="C56" s="354" t="s">
        <v>196</v>
      </c>
      <c r="D56" s="482"/>
      <c r="E56" s="458" t="e">
        <f>#REF!</f>
        <v>#REF!</v>
      </c>
      <c r="F56" s="458" t="e">
        <f>#REF!</f>
        <v>#REF!</v>
      </c>
      <c r="G56" s="458" t="e">
        <f t="shared" si="6"/>
        <v>#REF!</v>
      </c>
      <c r="H56" s="482"/>
      <c r="I56" s="458" t="e">
        <f>#REF!</f>
        <v>#REF!</v>
      </c>
      <c r="J56" s="458" t="e">
        <f t="shared" si="7"/>
        <v>#REF!</v>
      </c>
      <c r="K56" s="485"/>
    </row>
    <row r="57" spans="1:11" s="341" customFormat="1" ht="20.100000000000001" customHeight="1">
      <c r="A57" s="383"/>
      <c r="B57" s="363" t="s">
        <v>202</v>
      </c>
      <c r="C57" s="354" t="s">
        <v>191</v>
      </c>
      <c r="D57" s="469"/>
      <c r="E57" s="470" t="e">
        <f>#REF!</f>
        <v>#REF!</v>
      </c>
      <c r="F57" s="470" t="e">
        <f>#REF!</f>
        <v>#REF!</v>
      </c>
      <c r="G57" s="458" t="e">
        <f t="shared" si="6"/>
        <v>#REF!</v>
      </c>
      <c r="H57" s="469"/>
      <c r="I57" s="470" t="e">
        <f>#REF!</f>
        <v>#REF!</v>
      </c>
      <c r="J57" s="458" t="e">
        <f t="shared" si="7"/>
        <v>#REF!</v>
      </c>
      <c r="K57" s="485"/>
    </row>
    <row r="58" spans="1:11" s="341" customFormat="1" ht="20.100000000000001" customHeight="1">
      <c r="A58" s="383" t="s">
        <v>223</v>
      </c>
      <c r="B58" s="363" t="s">
        <v>203</v>
      </c>
      <c r="C58" s="354" t="s">
        <v>204</v>
      </c>
      <c r="D58" s="467"/>
      <c r="E58" s="458" t="e">
        <f>#REF!</f>
        <v>#REF!</v>
      </c>
      <c r="F58" s="458" t="e">
        <f>#REF!</f>
        <v>#REF!</v>
      </c>
      <c r="G58" s="458" t="e">
        <f t="shared" si="6"/>
        <v>#REF!</v>
      </c>
      <c r="H58" s="467"/>
      <c r="I58" s="458" t="e">
        <f>#REF!</f>
        <v>#REF!</v>
      </c>
      <c r="J58" s="458" t="e">
        <f t="shared" si="7"/>
        <v>#REF!</v>
      </c>
      <c r="K58" s="485"/>
    </row>
    <row r="59" spans="1:11" s="341" customFormat="1" ht="20.100000000000001" customHeight="1">
      <c r="A59" s="383"/>
      <c r="B59" s="363" t="s">
        <v>205</v>
      </c>
      <c r="C59" s="354" t="s">
        <v>206</v>
      </c>
      <c r="D59" s="473"/>
      <c r="E59" s="474" t="e">
        <f>#REF!</f>
        <v>#REF!</v>
      </c>
      <c r="F59" s="474" t="e">
        <f>#REF!</f>
        <v>#REF!</v>
      </c>
      <c r="G59" s="458" t="e">
        <f t="shared" si="6"/>
        <v>#REF!</v>
      </c>
      <c r="H59" s="473"/>
      <c r="I59" s="474" t="e">
        <f>#REF!</f>
        <v>#REF!</v>
      </c>
      <c r="J59" s="458" t="e">
        <f t="shared" si="7"/>
        <v>#REF!</v>
      </c>
      <c r="K59" s="485"/>
    </row>
    <row r="60" spans="1:11" ht="20.100000000000001" customHeight="1">
      <c r="A60" s="383">
        <v>4.4000000000000004</v>
      </c>
      <c r="B60" s="358" t="s">
        <v>26</v>
      </c>
      <c r="C60" s="354"/>
      <c r="D60" s="384"/>
      <c r="E60" s="384"/>
      <c r="F60" s="384"/>
      <c r="G60" s="458"/>
      <c r="H60" s="384"/>
      <c r="I60" s="487"/>
      <c r="J60" s="458"/>
      <c r="K60" s="384"/>
    </row>
    <row r="61" spans="1:11" ht="20.100000000000001" customHeight="1">
      <c r="A61" s="383" t="s">
        <v>224</v>
      </c>
      <c r="B61" s="363" t="s">
        <v>195</v>
      </c>
      <c r="C61" s="354" t="s">
        <v>191</v>
      </c>
      <c r="D61" s="379"/>
      <c r="E61" s="379" t="e">
        <f>#REF!</f>
        <v>#REF!</v>
      </c>
      <c r="F61" s="379" t="e">
        <f>#REF!</f>
        <v>#REF!</v>
      </c>
      <c r="G61" s="458" t="e">
        <f t="shared" ref="G61:G69" si="8">F61/D61*100</f>
        <v>#REF!</v>
      </c>
      <c r="H61" s="379"/>
      <c r="I61" s="487" t="e">
        <f>#REF!</f>
        <v>#REF!</v>
      </c>
      <c r="J61" s="458" t="e">
        <f t="shared" ref="J61:J69" si="9">I61/H61*100</f>
        <v>#REF!</v>
      </c>
      <c r="K61" s="384"/>
    </row>
    <row r="62" spans="1:11" s="341" customFormat="1" ht="20.100000000000001" customHeight="1">
      <c r="A62" s="383" t="s">
        <v>225</v>
      </c>
      <c r="B62" s="363" t="s">
        <v>197</v>
      </c>
      <c r="C62" s="354" t="s">
        <v>196</v>
      </c>
      <c r="D62" s="467"/>
      <c r="E62" s="458" t="e">
        <f>#REF!</f>
        <v>#REF!</v>
      </c>
      <c r="F62" s="458" t="e">
        <f>#REF!</f>
        <v>#REF!</v>
      </c>
      <c r="G62" s="458" t="e">
        <f t="shared" si="8"/>
        <v>#REF!</v>
      </c>
      <c r="H62" s="467"/>
      <c r="I62" s="458" t="e">
        <f>#REF!</f>
        <v>#REF!</v>
      </c>
      <c r="J62" s="458" t="e">
        <f t="shared" si="9"/>
        <v>#REF!</v>
      </c>
      <c r="K62" s="485"/>
    </row>
    <row r="63" spans="1:11" s="341" customFormat="1" ht="20.100000000000001" customHeight="1">
      <c r="A63" s="383"/>
      <c r="B63" s="363" t="s">
        <v>198</v>
      </c>
      <c r="C63" s="354" t="s">
        <v>191</v>
      </c>
      <c r="D63" s="472"/>
      <c r="E63" s="470" t="e">
        <f>#REF!</f>
        <v>#REF!</v>
      </c>
      <c r="F63" s="470" t="e">
        <f>#REF!</f>
        <v>#REF!</v>
      </c>
      <c r="G63" s="458" t="e">
        <f t="shared" si="8"/>
        <v>#REF!</v>
      </c>
      <c r="H63" s="472"/>
      <c r="I63" s="470" t="e">
        <f>#REF!</f>
        <v>#REF!</v>
      </c>
      <c r="J63" s="458" t="e">
        <f t="shared" si="9"/>
        <v>#REF!</v>
      </c>
      <c r="K63" s="485"/>
    </row>
    <row r="64" spans="1:11" s="341" customFormat="1" ht="20.100000000000001" customHeight="1">
      <c r="A64" s="383" t="s">
        <v>226</v>
      </c>
      <c r="B64" s="363" t="s">
        <v>199</v>
      </c>
      <c r="C64" s="354" t="s">
        <v>196</v>
      </c>
      <c r="D64" s="467"/>
      <c r="E64" s="458" t="e">
        <f>#REF!</f>
        <v>#REF!</v>
      </c>
      <c r="F64" s="458" t="e">
        <f>#REF!</f>
        <v>#REF!</v>
      </c>
      <c r="G64" s="458" t="e">
        <f t="shared" si="8"/>
        <v>#REF!</v>
      </c>
      <c r="H64" s="467"/>
      <c r="I64" s="458" t="e">
        <f>#REF!</f>
        <v>#REF!</v>
      </c>
      <c r="J64" s="458" t="e">
        <f t="shared" si="9"/>
        <v>#REF!</v>
      </c>
      <c r="K64" s="485"/>
    </row>
    <row r="65" spans="1:11" s="341" customFormat="1" ht="20.100000000000001" customHeight="1">
      <c r="A65" s="383"/>
      <c r="B65" s="363" t="s">
        <v>200</v>
      </c>
      <c r="C65" s="354" t="s">
        <v>191</v>
      </c>
      <c r="D65" s="472"/>
      <c r="E65" s="470" t="e">
        <f>#REF!</f>
        <v>#REF!</v>
      </c>
      <c r="F65" s="470" t="e">
        <f>#REF!</f>
        <v>#REF!</v>
      </c>
      <c r="G65" s="458" t="e">
        <f t="shared" si="8"/>
        <v>#REF!</v>
      </c>
      <c r="H65" s="472"/>
      <c r="I65" s="470" t="e">
        <f>#REF!</f>
        <v>#REF!</v>
      </c>
      <c r="J65" s="458" t="e">
        <f t="shared" si="9"/>
        <v>#REF!</v>
      </c>
      <c r="K65" s="485"/>
    </row>
    <row r="66" spans="1:11" s="341" customFormat="1" ht="20.100000000000001" customHeight="1">
      <c r="A66" s="383" t="s">
        <v>227</v>
      </c>
      <c r="B66" s="363" t="s">
        <v>201</v>
      </c>
      <c r="C66" s="354" t="s">
        <v>196</v>
      </c>
      <c r="D66" s="467"/>
      <c r="E66" s="458" t="e">
        <f>#REF!</f>
        <v>#REF!</v>
      </c>
      <c r="F66" s="458" t="e">
        <f>#REF!</f>
        <v>#REF!</v>
      </c>
      <c r="G66" s="458" t="e">
        <f t="shared" si="8"/>
        <v>#REF!</v>
      </c>
      <c r="H66" s="467"/>
      <c r="I66" s="458" t="e">
        <f>#REF!</f>
        <v>#REF!</v>
      </c>
      <c r="J66" s="458" t="e">
        <f t="shared" si="9"/>
        <v>#REF!</v>
      </c>
      <c r="K66" s="485"/>
    </row>
    <row r="67" spans="1:11" s="341" customFormat="1" ht="20.100000000000001" customHeight="1">
      <c r="A67" s="383"/>
      <c r="B67" s="363" t="s">
        <v>202</v>
      </c>
      <c r="C67" s="354" t="s">
        <v>191</v>
      </c>
      <c r="D67" s="488"/>
      <c r="E67" s="470" t="e">
        <f>#REF!</f>
        <v>#REF!</v>
      </c>
      <c r="F67" s="470" t="e">
        <f>#REF!</f>
        <v>#REF!</v>
      </c>
      <c r="G67" s="458" t="e">
        <f t="shared" si="8"/>
        <v>#REF!</v>
      </c>
      <c r="H67" s="488"/>
      <c r="I67" s="470" t="e">
        <f>#REF!</f>
        <v>#REF!</v>
      </c>
      <c r="J67" s="458" t="e">
        <f t="shared" si="9"/>
        <v>#REF!</v>
      </c>
      <c r="K67" s="485"/>
    </row>
    <row r="68" spans="1:11" s="341" customFormat="1" ht="20.100000000000001" customHeight="1">
      <c r="A68" s="383" t="s">
        <v>228</v>
      </c>
      <c r="B68" s="363" t="s">
        <v>203</v>
      </c>
      <c r="C68" s="354" t="s">
        <v>204</v>
      </c>
      <c r="D68" s="466"/>
      <c r="E68" s="458" t="e">
        <f>#REF!</f>
        <v>#REF!</v>
      </c>
      <c r="F68" s="458" t="e">
        <f>#REF!</f>
        <v>#REF!</v>
      </c>
      <c r="G68" s="458" t="e">
        <f t="shared" si="8"/>
        <v>#REF!</v>
      </c>
      <c r="H68" s="466"/>
      <c r="I68" s="458" t="e">
        <f>#REF!</f>
        <v>#REF!</v>
      </c>
      <c r="J68" s="458" t="e">
        <f t="shared" si="9"/>
        <v>#REF!</v>
      </c>
      <c r="K68" s="485"/>
    </row>
    <row r="69" spans="1:11" s="341" customFormat="1" ht="20.100000000000001" customHeight="1">
      <c r="A69" s="383"/>
      <c r="B69" s="363" t="s">
        <v>205</v>
      </c>
      <c r="C69" s="354" t="s">
        <v>206</v>
      </c>
      <c r="D69" s="489"/>
      <c r="E69" s="474" t="e">
        <f>#REF!</f>
        <v>#REF!</v>
      </c>
      <c r="F69" s="474" t="e">
        <f>#REF!</f>
        <v>#REF!</v>
      </c>
      <c r="G69" s="458" t="e">
        <f t="shared" si="8"/>
        <v>#REF!</v>
      </c>
      <c r="H69" s="489"/>
      <c r="I69" s="474" t="e">
        <f>#REF!</f>
        <v>#REF!</v>
      </c>
      <c r="J69" s="458" t="e">
        <f t="shared" si="9"/>
        <v>#REF!</v>
      </c>
      <c r="K69" s="485"/>
    </row>
    <row r="70" spans="1:11" ht="20.100000000000001" customHeight="1">
      <c r="A70" s="383"/>
      <c r="B70" s="358"/>
      <c r="C70" s="354"/>
      <c r="D70" s="384"/>
      <c r="E70" s="384"/>
      <c r="F70" s="384"/>
      <c r="G70" s="458"/>
      <c r="H70" s="384"/>
      <c r="I70" s="487"/>
      <c r="J70" s="458"/>
      <c r="K70" s="384"/>
    </row>
    <row r="71" spans="1:11" ht="20.100000000000001" customHeight="1">
      <c r="A71" s="358">
        <v>5</v>
      </c>
      <c r="B71" s="358" t="s">
        <v>229</v>
      </c>
      <c r="C71" s="354"/>
      <c r="D71" s="384"/>
      <c r="E71" s="384"/>
      <c r="F71" s="384"/>
      <c r="G71" s="458"/>
      <c r="H71" s="384"/>
      <c r="I71" s="487"/>
      <c r="J71" s="458"/>
      <c r="K71" s="384"/>
    </row>
    <row r="72" spans="1:11" ht="20.100000000000001" customHeight="1">
      <c r="A72" s="383">
        <v>5.0999999999999996</v>
      </c>
      <c r="B72" s="363" t="s">
        <v>64</v>
      </c>
      <c r="C72" s="354" t="s">
        <v>196</v>
      </c>
      <c r="D72" s="384"/>
      <c r="E72" s="379"/>
      <c r="F72" s="379"/>
      <c r="G72" s="458" t="e">
        <f>F72/D72*100</f>
        <v>#DIV/0!</v>
      </c>
      <c r="H72" s="384"/>
      <c r="I72" s="487"/>
      <c r="J72" s="458" t="e">
        <f>I72/H72*100</f>
        <v>#DIV/0!</v>
      </c>
      <c r="K72" s="384"/>
    </row>
    <row r="73" spans="1:11" ht="20.100000000000001" customHeight="1">
      <c r="A73" s="383">
        <v>5.2</v>
      </c>
      <c r="B73" s="363" t="s">
        <v>65</v>
      </c>
      <c r="C73" s="354" t="s">
        <v>196</v>
      </c>
      <c r="D73" s="384"/>
      <c r="E73" s="379"/>
      <c r="F73" s="379"/>
      <c r="G73" s="458" t="e">
        <f>F73/D73*100</f>
        <v>#DIV/0!</v>
      </c>
      <c r="H73" s="384"/>
      <c r="I73" s="487"/>
      <c r="J73" s="458" t="e">
        <f>I73/H73*100</f>
        <v>#DIV/0!</v>
      </c>
      <c r="K73" s="384"/>
    </row>
    <row r="74" spans="1:11" ht="20.100000000000001" customHeight="1">
      <c r="A74" s="383">
        <v>5.3</v>
      </c>
      <c r="B74" s="363" t="s">
        <v>218</v>
      </c>
      <c r="C74" s="354" t="s">
        <v>196</v>
      </c>
      <c r="D74" s="384"/>
      <c r="E74" s="379"/>
      <c r="F74" s="379"/>
      <c r="G74" s="458" t="e">
        <f>F74/D74*100</f>
        <v>#DIV/0!</v>
      </c>
      <c r="H74" s="384"/>
      <c r="I74" s="487"/>
      <c r="J74" s="458" t="e">
        <f>I74/H74*100</f>
        <v>#DIV/0!</v>
      </c>
      <c r="K74" s="384"/>
    </row>
    <row r="75" spans="1:11" ht="20.100000000000001" customHeight="1">
      <c r="A75" s="358"/>
      <c r="B75" s="363" t="s">
        <v>230</v>
      </c>
      <c r="C75" s="354" t="s">
        <v>196</v>
      </c>
      <c r="D75" s="384"/>
      <c r="E75" s="379"/>
      <c r="F75" s="379"/>
      <c r="G75" s="458" t="e">
        <f>F75/D75*100</f>
        <v>#DIV/0!</v>
      </c>
      <c r="H75" s="384"/>
      <c r="I75" s="487"/>
      <c r="J75" s="458" t="e">
        <f>I75/H75*100</f>
        <v>#DIV/0!</v>
      </c>
      <c r="K75" s="384"/>
    </row>
    <row r="76" spans="1:11" ht="20.100000000000001" customHeight="1">
      <c r="A76" s="358"/>
      <c r="B76" s="363"/>
      <c r="C76" s="354"/>
      <c r="D76" s="384"/>
      <c r="E76" s="384"/>
      <c r="F76" s="384"/>
      <c r="G76" s="463"/>
      <c r="H76" s="384"/>
      <c r="I76" s="384"/>
      <c r="J76" s="463"/>
      <c r="K76" s="384"/>
    </row>
    <row r="77" spans="1:11" ht="20.100000000000001" customHeight="1">
      <c r="A77" s="352">
        <v>6</v>
      </c>
      <c r="B77" s="358" t="s">
        <v>231</v>
      </c>
      <c r="C77" s="356"/>
      <c r="D77" s="384"/>
      <c r="E77" s="384"/>
      <c r="F77" s="384"/>
      <c r="G77" s="463"/>
      <c r="H77" s="384"/>
      <c r="I77" s="384"/>
      <c r="J77" s="463"/>
      <c r="K77" s="384"/>
    </row>
    <row r="78" spans="1:11" ht="20.100000000000001" customHeight="1">
      <c r="A78" s="383">
        <v>6.1</v>
      </c>
      <c r="B78" s="358" t="s">
        <v>64</v>
      </c>
      <c r="C78" s="354"/>
      <c r="D78" s="466"/>
      <c r="E78" s="384"/>
      <c r="F78" s="384"/>
      <c r="G78" s="463"/>
      <c r="H78" s="466"/>
      <c r="I78" s="384"/>
      <c r="J78" s="463"/>
      <c r="K78" s="384"/>
    </row>
    <row r="79" spans="1:11" ht="20.100000000000001" customHeight="1">
      <c r="A79" s="383" t="s">
        <v>232</v>
      </c>
      <c r="B79" s="363" t="s">
        <v>194</v>
      </c>
      <c r="C79" s="354" t="s">
        <v>191</v>
      </c>
      <c r="D79" s="466"/>
      <c r="E79" s="384"/>
      <c r="F79" s="384">
        <v>2350.1799999999998</v>
      </c>
      <c r="G79" s="463" t="e">
        <f t="shared" ref="G79:G85" si="10">F79/D79*100</f>
        <v>#DIV/0!</v>
      </c>
      <c r="H79" s="466"/>
      <c r="I79" s="384">
        <v>2350.1799999999998</v>
      </c>
      <c r="J79" s="463" t="e">
        <f t="shared" ref="J79:J85" si="11">I79/H79*100</f>
        <v>#DIV/0!</v>
      </c>
      <c r="K79" s="384"/>
    </row>
    <row r="80" spans="1:11" ht="20.100000000000001" customHeight="1">
      <c r="A80" s="383"/>
      <c r="B80" s="363" t="s">
        <v>195</v>
      </c>
      <c r="C80" s="354" t="s">
        <v>191</v>
      </c>
      <c r="D80" s="466"/>
      <c r="E80" s="384"/>
      <c r="F80" s="384"/>
      <c r="G80" s="463" t="e">
        <f t="shared" si="10"/>
        <v>#DIV/0!</v>
      </c>
      <c r="H80" s="466"/>
      <c r="I80" s="384"/>
      <c r="J80" s="463" t="e">
        <f t="shared" si="11"/>
        <v>#DIV/0!</v>
      </c>
      <c r="K80" s="384"/>
    </row>
    <row r="81" spans="1:11" ht="20.100000000000001" customHeight="1">
      <c r="A81" s="383"/>
      <c r="B81" s="363" t="s">
        <v>20</v>
      </c>
      <c r="C81" s="354" t="s">
        <v>196</v>
      </c>
      <c r="D81" s="466"/>
      <c r="E81" s="384"/>
      <c r="F81" s="384"/>
      <c r="G81" s="463" t="e">
        <f t="shared" si="10"/>
        <v>#DIV/0!</v>
      </c>
      <c r="H81" s="466"/>
      <c r="I81" s="384"/>
      <c r="J81" s="463" t="e">
        <f t="shared" si="11"/>
        <v>#DIV/0!</v>
      </c>
      <c r="K81" s="384"/>
    </row>
    <row r="82" spans="1:11" s="341" customFormat="1" ht="20.100000000000001" customHeight="1">
      <c r="A82" s="383" t="s">
        <v>233</v>
      </c>
      <c r="B82" s="363" t="s">
        <v>197</v>
      </c>
      <c r="C82" s="354" t="s">
        <v>196</v>
      </c>
      <c r="D82" s="466"/>
      <c r="E82" s="463"/>
      <c r="F82" s="463"/>
      <c r="G82" s="463" t="e">
        <f t="shared" si="10"/>
        <v>#DIV/0!</v>
      </c>
      <c r="H82" s="466"/>
      <c r="I82" s="463"/>
      <c r="J82" s="463" t="e">
        <f t="shared" si="11"/>
        <v>#DIV/0!</v>
      </c>
      <c r="K82" s="485"/>
    </row>
    <row r="83" spans="1:11" s="341" customFormat="1" ht="20.100000000000001" customHeight="1">
      <c r="A83" s="383"/>
      <c r="B83" s="363" t="s">
        <v>198</v>
      </c>
      <c r="C83" s="354" t="s">
        <v>191</v>
      </c>
      <c r="D83" s="466"/>
      <c r="E83" s="463"/>
      <c r="F83" s="463"/>
      <c r="G83" s="463" t="e">
        <f t="shared" si="10"/>
        <v>#DIV/0!</v>
      </c>
      <c r="H83" s="466"/>
      <c r="I83" s="463"/>
      <c r="J83" s="463" t="e">
        <f t="shared" si="11"/>
        <v>#DIV/0!</v>
      </c>
      <c r="K83" s="485"/>
    </row>
    <row r="84" spans="1:11" s="341" customFormat="1" ht="20.100000000000001" customHeight="1">
      <c r="A84" s="383" t="s">
        <v>234</v>
      </c>
      <c r="B84" s="363" t="s">
        <v>203</v>
      </c>
      <c r="C84" s="354" t="s">
        <v>204</v>
      </c>
      <c r="D84" s="466"/>
      <c r="E84" s="463"/>
      <c r="F84" s="463"/>
      <c r="G84" s="463" t="e">
        <f t="shared" si="10"/>
        <v>#DIV/0!</v>
      </c>
      <c r="H84" s="464"/>
      <c r="I84" s="463"/>
      <c r="J84" s="463" t="e">
        <f t="shared" si="11"/>
        <v>#DIV/0!</v>
      </c>
      <c r="K84" s="485"/>
    </row>
    <row r="85" spans="1:11" s="341" customFormat="1" ht="20.100000000000001" customHeight="1">
      <c r="A85" s="383"/>
      <c r="B85" s="363" t="s">
        <v>205</v>
      </c>
      <c r="C85" s="354" t="s">
        <v>206</v>
      </c>
      <c r="D85" s="466"/>
      <c r="E85" s="463"/>
      <c r="F85" s="463"/>
      <c r="G85" s="463" t="e">
        <f t="shared" si="10"/>
        <v>#DIV/0!</v>
      </c>
      <c r="H85" s="464"/>
      <c r="I85" s="463"/>
      <c r="J85" s="463" t="e">
        <f t="shared" si="11"/>
        <v>#DIV/0!</v>
      </c>
      <c r="K85" s="485"/>
    </row>
    <row r="86" spans="1:11" ht="20.100000000000001" customHeight="1">
      <c r="A86" s="383">
        <v>6.2</v>
      </c>
      <c r="B86" s="358" t="s">
        <v>65</v>
      </c>
      <c r="C86" s="354"/>
      <c r="D86" s="384"/>
      <c r="E86" s="384"/>
      <c r="F86" s="384"/>
      <c r="G86" s="463"/>
      <c r="H86" s="355"/>
      <c r="I86" s="384"/>
      <c r="J86" s="463"/>
      <c r="K86" s="384"/>
    </row>
    <row r="87" spans="1:11" ht="20.100000000000001" customHeight="1">
      <c r="A87" s="383" t="s">
        <v>235</v>
      </c>
      <c r="B87" s="363" t="s">
        <v>194</v>
      </c>
      <c r="C87" s="354" t="s">
        <v>191</v>
      </c>
      <c r="D87" s="384"/>
      <c r="E87" s="384">
        <v>1023.74</v>
      </c>
      <c r="F87" s="384">
        <v>2914.54</v>
      </c>
      <c r="G87" s="463" t="e">
        <f>F87/D87*100</f>
        <v>#DIV/0!</v>
      </c>
      <c r="H87" s="355"/>
      <c r="I87" s="384">
        <v>2914.54</v>
      </c>
      <c r="J87" s="463" t="e">
        <f>I87/H87*100</f>
        <v>#DIV/0!</v>
      </c>
      <c r="K87" s="384"/>
    </row>
    <row r="88" spans="1:11" ht="20.100000000000001" customHeight="1">
      <c r="A88" s="383"/>
      <c r="B88" s="363" t="s">
        <v>195</v>
      </c>
      <c r="C88" s="354" t="s">
        <v>191</v>
      </c>
      <c r="D88" s="384"/>
      <c r="E88" s="384"/>
      <c r="F88" s="384"/>
      <c r="G88" s="463" t="e">
        <f>F88/D88*100</f>
        <v>#DIV/0!</v>
      </c>
      <c r="H88" s="355"/>
      <c r="I88" s="384"/>
      <c r="J88" s="463" t="e">
        <f>I88/H88*100</f>
        <v>#DIV/0!</v>
      </c>
      <c r="K88" s="384"/>
    </row>
    <row r="89" spans="1:11" ht="20.100000000000001" customHeight="1">
      <c r="A89" s="383"/>
      <c r="B89" s="363" t="s">
        <v>20</v>
      </c>
      <c r="C89" s="354" t="s">
        <v>196</v>
      </c>
      <c r="D89" s="384"/>
      <c r="E89" s="384"/>
      <c r="F89" s="384"/>
      <c r="G89" s="463" t="e">
        <f>F89/D89*100</f>
        <v>#DIV/0!</v>
      </c>
      <c r="H89" s="355"/>
      <c r="I89" s="384"/>
      <c r="J89" s="463" t="e">
        <f>I89/H89*100</f>
        <v>#DIV/0!</v>
      </c>
      <c r="K89" s="384"/>
    </row>
    <row r="90" spans="1:11" s="341" customFormat="1" ht="20.100000000000001" customHeight="1">
      <c r="A90" s="383" t="s">
        <v>236</v>
      </c>
      <c r="B90" s="363" t="s">
        <v>199</v>
      </c>
      <c r="C90" s="354" t="s">
        <v>196</v>
      </c>
      <c r="D90" s="356"/>
      <c r="E90" s="463"/>
      <c r="F90" s="463"/>
      <c r="G90" s="463" t="e">
        <f>F90/D90*100</f>
        <v>#DIV/0!</v>
      </c>
      <c r="H90" s="464"/>
      <c r="I90" s="484"/>
      <c r="J90" s="463" t="e">
        <f>I90/H90*100</f>
        <v>#DIV/0!</v>
      </c>
      <c r="K90" s="485"/>
    </row>
    <row r="91" spans="1:11" s="341" customFormat="1" ht="20.100000000000001" customHeight="1">
      <c r="A91" s="383"/>
      <c r="B91" s="363" t="s">
        <v>200</v>
      </c>
      <c r="C91" s="354" t="s">
        <v>191</v>
      </c>
      <c r="D91" s="356"/>
      <c r="E91" s="463"/>
      <c r="F91" s="463"/>
      <c r="G91" s="463" t="e">
        <f>F91/D91*100</f>
        <v>#DIV/0!</v>
      </c>
      <c r="H91" s="464"/>
      <c r="I91" s="484"/>
      <c r="J91" s="463" t="e">
        <f>I91/H91*100</f>
        <v>#DIV/0!</v>
      </c>
      <c r="K91" s="485"/>
    </row>
    <row r="92" spans="1:11" ht="20.100000000000001" customHeight="1">
      <c r="A92" s="383">
        <v>6.3</v>
      </c>
      <c r="B92" s="358" t="s">
        <v>218</v>
      </c>
      <c r="C92" s="354"/>
      <c r="D92" s="355"/>
      <c r="E92" s="384"/>
      <c r="F92" s="384"/>
      <c r="G92" s="463"/>
      <c r="H92" s="355"/>
      <c r="I92" s="384"/>
      <c r="J92" s="463"/>
      <c r="K92" s="384"/>
    </row>
    <row r="93" spans="1:11" ht="20.100000000000001" customHeight="1">
      <c r="A93" s="383" t="s">
        <v>237</v>
      </c>
      <c r="B93" s="363" t="s">
        <v>194</v>
      </c>
      <c r="C93" s="354" t="s">
        <v>191</v>
      </c>
      <c r="D93" s="355"/>
      <c r="E93" s="384">
        <v>0</v>
      </c>
      <c r="F93" s="384">
        <v>0</v>
      </c>
      <c r="G93" s="463" t="e">
        <f>F93/D93*100</f>
        <v>#DIV/0!</v>
      </c>
      <c r="H93" s="355"/>
      <c r="I93" s="384">
        <v>0</v>
      </c>
      <c r="J93" s="463" t="e">
        <f t="shared" ref="J93:J99" si="12">I93/H93*100</f>
        <v>#DIV/0!</v>
      </c>
      <c r="K93" s="384"/>
    </row>
    <row r="94" spans="1:11" ht="20.100000000000001" customHeight="1">
      <c r="A94" s="383"/>
      <c r="B94" s="363" t="s">
        <v>195</v>
      </c>
      <c r="C94" s="354" t="s">
        <v>191</v>
      </c>
      <c r="D94" s="355"/>
      <c r="E94" s="384"/>
      <c r="F94" s="384"/>
      <c r="G94" s="463" t="e">
        <f t="shared" ref="G94:G99" si="13">F94/D94*100</f>
        <v>#DIV/0!</v>
      </c>
      <c r="H94" s="355"/>
      <c r="I94" s="384"/>
      <c r="J94" s="463" t="e">
        <f t="shared" si="12"/>
        <v>#DIV/0!</v>
      </c>
      <c r="K94" s="384"/>
    </row>
    <row r="95" spans="1:11" ht="20.100000000000001" customHeight="1">
      <c r="A95" s="383"/>
      <c r="B95" s="363" t="s">
        <v>20</v>
      </c>
      <c r="C95" s="354" t="s">
        <v>196</v>
      </c>
      <c r="D95" s="355"/>
      <c r="E95" s="384"/>
      <c r="F95" s="384"/>
      <c r="G95" s="463" t="e">
        <f t="shared" si="13"/>
        <v>#DIV/0!</v>
      </c>
      <c r="H95" s="355"/>
      <c r="I95" s="384"/>
      <c r="J95" s="463" t="e">
        <f t="shared" si="12"/>
        <v>#DIV/0!</v>
      </c>
      <c r="K95" s="384"/>
    </row>
    <row r="96" spans="1:11" s="341" customFormat="1" ht="20.100000000000001" customHeight="1">
      <c r="A96" s="383" t="s">
        <v>238</v>
      </c>
      <c r="B96" s="363" t="s">
        <v>201</v>
      </c>
      <c r="C96" s="354" t="s">
        <v>196</v>
      </c>
      <c r="D96" s="356"/>
      <c r="E96" s="463"/>
      <c r="F96" s="463"/>
      <c r="G96" s="463" t="e">
        <f t="shared" si="13"/>
        <v>#DIV/0!</v>
      </c>
      <c r="H96" s="464"/>
      <c r="I96" s="484"/>
      <c r="J96" s="463" t="e">
        <f t="shared" si="12"/>
        <v>#DIV/0!</v>
      </c>
      <c r="K96" s="485"/>
    </row>
    <row r="97" spans="1:11" s="341" customFormat="1" ht="20.100000000000001" customHeight="1">
      <c r="A97" s="383"/>
      <c r="B97" s="363" t="s">
        <v>202</v>
      </c>
      <c r="C97" s="354" t="s">
        <v>191</v>
      </c>
      <c r="D97" s="356"/>
      <c r="E97" s="463"/>
      <c r="F97" s="463"/>
      <c r="G97" s="463" t="e">
        <f t="shared" si="13"/>
        <v>#DIV/0!</v>
      </c>
      <c r="H97" s="464"/>
      <c r="I97" s="484"/>
      <c r="J97" s="463" t="e">
        <f t="shared" si="12"/>
        <v>#DIV/0!</v>
      </c>
      <c r="K97" s="485"/>
    </row>
    <row r="98" spans="1:11" s="341" customFormat="1" ht="20.100000000000001" customHeight="1">
      <c r="A98" s="383" t="s">
        <v>239</v>
      </c>
      <c r="B98" s="363" t="s">
        <v>203</v>
      </c>
      <c r="C98" s="354" t="s">
        <v>204</v>
      </c>
      <c r="D98" s="356"/>
      <c r="E98" s="463"/>
      <c r="F98" s="463"/>
      <c r="G98" s="463" t="e">
        <f t="shared" si="13"/>
        <v>#DIV/0!</v>
      </c>
      <c r="H98" s="464"/>
      <c r="I98" s="484"/>
      <c r="J98" s="463" t="e">
        <f t="shared" si="12"/>
        <v>#DIV/0!</v>
      </c>
      <c r="K98" s="485"/>
    </row>
    <row r="99" spans="1:11" s="341" customFormat="1" ht="20.100000000000001" customHeight="1">
      <c r="A99" s="383"/>
      <c r="B99" s="363" t="s">
        <v>205</v>
      </c>
      <c r="C99" s="354" t="s">
        <v>206</v>
      </c>
      <c r="D99" s="356"/>
      <c r="E99" s="463"/>
      <c r="F99" s="463"/>
      <c r="G99" s="463" t="e">
        <f t="shared" si="13"/>
        <v>#DIV/0!</v>
      </c>
      <c r="H99" s="464"/>
      <c r="I99" s="484"/>
      <c r="J99" s="463" t="e">
        <f t="shared" si="12"/>
        <v>#DIV/0!</v>
      </c>
      <c r="K99" s="485"/>
    </row>
    <row r="100" spans="1:11" ht="20.100000000000001" customHeight="1">
      <c r="A100" s="383"/>
      <c r="B100" s="490"/>
      <c r="C100" s="354"/>
      <c r="D100" s="355"/>
      <c r="E100" s="384"/>
      <c r="F100" s="384"/>
      <c r="G100" s="384"/>
      <c r="H100" s="355"/>
      <c r="I100" s="384"/>
      <c r="J100" s="384"/>
      <c r="K100" s="384"/>
    </row>
    <row r="101" spans="1:11" ht="20.100000000000001" customHeight="1">
      <c r="A101" s="358">
        <v>7</v>
      </c>
      <c r="B101" s="358" t="s">
        <v>240</v>
      </c>
      <c r="C101" s="354"/>
      <c r="D101" s="355"/>
      <c r="E101" s="384"/>
      <c r="F101" s="384"/>
      <c r="G101" s="384"/>
      <c r="H101" s="355"/>
      <c r="I101" s="384"/>
      <c r="J101" s="384"/>
      <c r="K101" s="384"/>
    </row>
    <row r="102" spans="1:11" ht="20.100000000000001" customHeight="1">
      <c r="A102" s="363">
        <v>7.1</v>
      </c>
      <c r="B102" s="363" t="s">
        <v>241</v>
      </c>
      <c r="C102" s="354"/>
      <c r="D102" s="355"/>
      <c r="E102" s="379"/>
      <c r="F102" s="379"/>
      <c r="G102" s="384"/>
      <c r="H102" s="355"/>
      <c r="I102" s="379"/>
      <c r="J102" s="384"/>
      <c r="K102" s="384"/>
    </row>
    <row r="103" spans="1:11" ht="20.100000000000001" customHeight="1">
      <c r="A103" s="383">
        <v>7.2</v>
      </c>
      <c r="B103" s="363" t="s">
        <v>242</v>
      </c>
      <c r="C103" s="354"/>
      <c r="D103" s="355"/>
      <c r="E103" s="379"/>
      <c r="F103" s="379"/>
      <c r="G103" s="384"/>
      <c r="H103" s="355"/>
      <c r="I103" s="379"/>
      <c r="J103" s="384"/>
      <c r="K103" s="384"/>
    </row>
    <row r="104" spans="1:11" ht="20.100000000000001" customHeight="1">
      <c r="A104" s="383">
        <v>7.3</v>
      </c>
      <c r="B104" s="363" t="s">
        <v>243</v>
      </c>
      <c r="C104" s="354"/>
      <c r="D104" s="355"/>
      <c r="E104" s="379"/>
      <c r="F104" s="379"/>
      <c r="G104" s="384"/>
      <c r="H104" s="355"/>
      <c r="I104" s="379"/>
      <c r="J104" s="384"/>
      <c r="K104" s="384"/>
    </row>
    <row r="105" spans="1:11" ht="20.100000000000001" customHeight="1">
      <c r="A105" s="383"/>
      <c r="B105" s="358"/>
      <c r="C105" s="354"/>
      <c r="D105" s="355"/>
      <c r="E105" s="384"/>
      <c r="F105" s="384"/>
      <c r="G105" s="384"/>
      <c r="H105" s="355"/>
      <c r="I105" s="384"/>
      <c r="J105" s="384"/>
      <c r="K105" s="384"/>
    </row>
    <row r="106" spans="1:11" ht="20.100000000000001" customHeight="1">
      <c r="A106" s="352" t="s">
        <v>244</v>
      </c>
      <c r="B106" s="358" t="s">
        <v>245</v>
      </c>
      <c r="C106" s="747" t="s">
        <v>246</v>
      </c>
      <c r="D106" s="747"/>
      <c r="E106" s="747"/>
      <c r="F106" s="747"/>
      <c r="G106" s="747"/>
      <c r="H106" s="747"/>
      <c r="I106" s="747"/>
      <c r="J106" s="747"/>
      <c r="K106" s="747"/>
    </row>
    <row r="107" spans="1:11" ht="20.100000000000001" customHeight="1">
      <c r="A107" s="352">
        <v>1</v>
      </c>
      <c r="B107" s="358" t="s">
        <v>247</v>
      </c>
      <c r="C107" s="747" t="s">
        <v>248</v>
      </c>
      <c r="D107" s="747"/>
      <c r="E107" s="747"/>
      <c r="F107" s="747"/>
      <c r="G107" s="747"/>
      <c r="H107" s="747"/>
      <c r="I107" s="747"/>
      <c r="J107" s="747"/>
      <c r="K107" s="747"/>
    </row>
    <row r="108" spans="1:11" ht="20.100000000000001" customHeight="1">
      <c r="A108" s="352">
        <v>2</v>
      </c>
      <c r="B108" s="358" t="s">
        <v>249</v>
      </c>
      <c r="C108" s="747" t="s">
        <v>250</v>
      </c>
      <c r="D108" s="747"/>
      <c r="E108" s="747"/>
      <c r="F108" s="747"/>
      <c r="G108" s="747"/>
      <c r="H108" s="747"/>
      <c r="I108" s="747"/>
      <c r="J108" s="747"/>
      <c r="K108" s="747"/>
    </row>
    <row r="109" spans="1:11" ht="20.100000000000001" customHeight="1">
      <c r="A109" s="352">
        <v>3</v>
      </c>
      <c r="B109" s="358" t="s">
        <v>251</v>
      </c>
      <c r="C109" s="747" t="s">
        <v>250</v>
      </c>
      <c r="D109" s="747"/>
      <c r="E109" s="747"/>
      <c r="F109" s="747"/>
      <c r="G109" s="747"/>
      <c r="H109" s="747"/>
      <c r="I109" s="747"/>
      <c r="J109" s="747"/>
      <c r="K109" s="747"/>
    </row>
    <row r="110" spans="1:11" ht="20.100000000000001" customHeight="1">
      <c r="A110" s="352">
        <v>4</v>
      </c>
      <c r="B110" s="358" t="s">
        <v>252</v>
      </c>
      <c r="C110" s="747" t="s">
        <v>250</v>
      </c>
      <c r="D110" s="747"/>
      <c r="E110" s="747"/>
      <c r="F110" s="747"/>
      <c r="G110" s="747"/>
      <c r="H110" s="747"/>
      <c r="I110" s="747"/>
      <c r="J110" s="747"/>
      <c r="K110" s="747"/>
    </row>
    <row r="111" spans="1:11" ht="20.100000000000001" customHeight="1">
      <c r="A111" s="352">
        <v>5</v>
      </c>
      <c r="B111" s="358" t="s">
        <v>253</v>
      </c>
      <c r="C111" s="747" t="s">
        <v>250</v>
      </c>
      <c r="D111" s="747"/>
      <c r="E111" s="747"/>
      <c r="F111" s="747"/>
      <c r="G111" s="747"/>
      <c r="H111" s="747"/>
      <c r="I111" s="747"/>
      <c r="J111" s="747"/>
      <c r="K111" s="747"/>
    </row>
    <row r="112" spans="1:11" ht="20.100000000000001" customHeight="1">
      <c r="A112" s="352"/>
      <c r="B112" s="358" t="s">
        <v>254</v>
      </c>
      <c r="C112" s="747"/>
      <c r="D112" s="747"/>
      <c r="E112" s="747"/>
      <c r="F112" s="747"/>
      <c r="G112" s="747"/>
      <c r="H112" s="747"/>
      <c r="I112" s="747"/>
      <c r="J112" s="747"/>
      <c r="K112" s="747"/>
    </row>
    <row r="113" spans="1:11" ht="20.100000000000001" customHeight="1">
      <c r="A113" s="352"/>
      <c r="B113" s="358"/>
      <c r="C113" s="747"/>
      <c r="D113" s="747"/>
      <c r="E113" s="747"/>
      <c r="F113" s="747"/>
      <c r="G113" s="747"/>
      <c r="H113" s="747"/>
      <c r="I113" s="747"/>
      <c r="J113" s="747"/>
      <c r="K113" s="747"/>
    </row>
  </sheetData>
  <mergeCells count="11">
    <mergeCell ref="C113:K113"/>
    <mergeCell ref="C108:K108"/>
    <mergeCell ref="C109:K109"/>
    <mergeCell ref="C110:K110"/>
    <mergeCell ref="C111:K111"/>
    <mergeCell ref="C112:K112"/>
    <mergeCell ref="A1:K1"/>
    <mergeCell ref="A2:K2"/>
    <mergeCell ref="A3:E3"/>
    <mergeCell ref="C106:K106"/>
    <mergeCell ref="C107:K107"/>
  </mergeCells>
  <phoneticPr fontId="54" type="noConversion"/>
  <pageMargins left="0.74791666666666701" right="0.74791666666666701" top="0.98402777777777795" bottom="0.98402777777777795" header="0.51180555555555596" footer="0.51180555555555596"/>
  <pageSetup paperSize="9" scale="75" orientation="landscape" horizontalDpi="200" verticalDpi="300"/>
  <headerFooter alignWithMargins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/>
  <dimension ref="A1:G37"/>
  <sheetViews>
    <sheetView workbookViewId="0">
      <pane xSplit="3" ySplit="3" topLeftCell="D19" activePane="bottomRight" state="frozen"/>
      <selection pane="topRight"/>
      <selection pane="bottomLeft"/>
      <selection pane="bottomRight" activeCell="H37" sqref="H37"/>
    </sheetView>
  </sheetViews>
  <sheetFormatPr defaultColWidth="9" defaultRowHeight="14.4"/>
  <cols>
    <col min="1" max="1" width="6" style="317" customWidth="1"/>
    <col min="2" max="2" width="15.88671875" style="317" customWidth="1"/>
    <col min="3" max="3" width="6.44140625" style="317" customWidth="1"/>
    <col min="4" max="6" width="15.6640625" style="317" customWidth="1"/>
    <col min="7" max="16384" width="9" style="317"/>
  </cols>
  <sheetData>
    <row r="1" spans="1:6" ht="29.25" customHeight="1">
      <c r="A1" s="751" t="s">
        <v>255</v>
      </c>
      <c r="B1" s="751"/>
      <c r="C1" s="751"/>
      <c r="D1" s="751"/>
      <c r="E1" s="751"/>
      <c r="F1" s="751"/>
    </row>
    <row r="2" spans="1:6" ht="21.75" customHeight="1">
      <c r="A2" s="752" t="e">
        <f>#REF!</f>
        <v>#REF!</v>
      </c>
      <c r="B2" s="752"/>
      <c r="C2" s="752"/>
      <c r="D2" s="752"/>
      <c r="E2" s="752"/>
      <c r="F2" s="752"/>
    </row>
    <row r="3" spans="1:6" ht="30" customHeight="1">
      <c r="A3" s="318" t="s">
        <v>177</v>
      </c>
      <c r="B3" s="318" t="s">
        <v>256</v>
      </c>
      <c r="C3" s="318" t="s">
        <v>179</v>
      </c>
      <c r="D3" s="319" t="s">
        <v>181</v>
      </c>
      <c r="E3" s="319" t="s">
        <v>182</v>
      </c>
      <c r="F3" s="320" t="s">
        <v>185</v>
      </c>
    </row>
    <row r="4" spans="1:6" ht="18" customHeight="1">
      <c r="A4" s="457">
        <v>1</v>
      </c>
      <c r="B4" s="322" t="s">
        <v>257</v>
      </c>
      <c r="C4" s="323"/>
      <c r="D4" s="323"/>
      <c r="E4" s="323"/>
      <c r="F4" s="323"/>
    </row>
    <row r="5" spans="1:6" ht="18" customHeight="1">
      <c r="A5" s="318">
        <v>1.1000000000000001</v>
      </c>
      <c r="B5" s="326" t="s">
        <v>258</v>
      </c>
      <c r="C5" s="327" t="s">
        <v>259</v>
      </c>
      <c r="D5" s="458" t="e">
        <f>#REF!</f>
        <v>#REF!</v>
      </c>
      <c r="E5" s="458" t="e">
        <f>#REF!</f>
        <v>#REF!</v>
      </c>
      <c r="F5" s="459" t="e">
        <f>#REF!</f>
        <v>#REF!</v>
      </c>
    </row>
    <row r="6" spans="1:6" ht="18" customHeight="1">
      <c r="A6" s="318">
        <v>1.2</v>
      </c>
      <c r="B6" s="326" t="s">
        <v>260</v>
      </c>
      <c r="C6" s="327" t="s">
        <v>196</v>
      </c>
      <c r="D6" s="460" t="e">
        <f>#REF!+#REF!</f>
        <v>#REF!</v>
      </c>
      <c r="E6" s="460" t="e">
        <f>#REF!+#REF!</f>
        <v>#REF!</v>
      </c>
      <c r="F6" s="460" t="e">
        <f>#REF!+#REF!</f>
        <v>#REF!</v>
      </c>
    </row>
    <row r="7" spans="1:6" ht="18" customHeight="1">
      <c r="A7" s="457">
        <v>2</v>
      </c>
      <c r="B7" s="322" t="s">
        <v>261</v>
      </c>
      <c r="C7" s="327"/>
      <c r="D7" s="318"/>
      <c r="E7" s="318"/>
      <c r="F7" s="318"/>
    </row>
    <row r="8" spans="1:6" ht="18" customHeight="1">
      <c r="A8" s="318">
        <v>2.1</v>
      </c>
      <c r="B8" s="326" t="s">
        <v>64</v>
      </c>
      <c r="C8" s="327"/>
      <c r="D8" s="318"/>
      <c r="E8" s="318"/>
      <c r="F8" s="318"/>
    </row>
    <row r="9" spans="1:6" ht="18" customHeight="1">
      <c r="A9" s="318"/>
      <c r="B9" s="326" t="s">
        <v>121</v>
      </c>
      <c r="C9" s="327" t="s">
        <v>196</v>
      </c>
      <c r="D9" s="460" t="e">
        <f>#REF!</f>
        <v>#REF!</v>
      </c>
      <c r="E9" s="460" t="e">
        <f>#REF!</f>
        <v>#REF!</v>
      </c>
      <c r="F9" s="460" t="e">
        <f>#REF!</f>
        <v>#REF!</v>
      </c>
    </row>
    <row r="10" spans="1:6" ht="18" customHeight="1">
      <c r="A10" s="318"/>
      <c r="B10" s="326" t="s">
        <v>122</v>
      </c>
      <c r="C10" s="327" t="s">
        <v>196</v>
      </c>
      <c r="D10" s="460" t="e">
        <f>#REF!</f>
        <v>#REF!</v>
      </c>
      <c r="E10" s="460" t="e">
        <f>#REF!</f>
        <v>#REF!</v>
      </c>
      <c r="F10" s="460" t="e">
        <f>#REF!</f>
        <v>#REF!</v>
      </c>
    </row>
    <row r="11" spans="1:6" ht="18" customHeight="1">
      <c r="A11" s="318"/>
      <c r="B11" s="326" t="s">
        <v>262</v>
      </c>
      <c r="C11" s="327" t="s">
        <v>196</v>
      </c>
      <c r="D11" s="460" t="e">
        <f>#REF!</f>
        <v>#REF!</v>
      </c>
      <c r="E11" s="460" t="e">
        <f>#REF!</f>
        <v>#REF!</v>
      </c>
      <c r="F11" s="460" t="e">
        <f>#REF!</f>
        <v>#REF!</v>
      </c>
    </row>
    <row r="12" spans="1:6" ht="18" customHeight="1">
      <c r="A12" s="318"/>
      <c r="B12" s="326" t="s">
        <v>123</v>
      </c>
      <c r="C12" s="327" t="s">
        <v>263</v>
      </c>
      <c r="D12" s="461" t="e">
        <f>#REF!</f>
        <v>#REF!</v>
      </c>
      <c r="E12" s="460" t="e">
        <f>#REF!</f>
        <v>#REF!</v>
      </c>
      <c r="F12" s="460" t="e">
        <f>#REF!</f>
        <v>#REF!</v>
      </c>
    </row>
    <row r="13" spans="1:6" ht="18" customHeight="1">
      <c r="A13" s="318">
        <v>2.2000000000000002</v>
      </c>
      <c r="B13" s="326" t="s">
        <v>65</v>
      </c>
      <c r="C13" s="327"/>
      <c r="D13" s="460"/>
      <c r="E13" s="460"/>
      <c r="F13" s="460"/>
    </row>
    <row r="14" spans="1:6" ht="18" customHeight="1">
      <c r="A14" s="318"/>
      <c r="B14" s="326" t="s">
        <v>121</v>
      </c>
      <c r="C14" s="327" t="s">
        <v>196</v>
      </c>
      <c r="D14" s="460" t="e">
        <f>#REF!</f>
        <v>#REF!</v>
      </c>
      <c r="E14" s="460" t="e">
        <f>#REF!</f>
        <v>#REF!</v>
      </c>
      <c r="F14" s="460" t="e">
        <f>#REF!</f>
        <v>#REF!</v>
      </c>
    </row>
    <row r="15" spans="1:6" ht="18" customHeight="1">
      <c r="A15" s="318"/>
      <c r="B15" s="326" t="s">
        <v>122</v>
      </c>
      <c r="C15" s="327" t="s">
        <v>196</v>
      </c>
      <c r="D15" s="460" t="e">
        <f>#REF!</f>
        <v>#REF!</v>
      </c>
      <c r="E15" s="460" t="e">
        <f>#REF!</f>
        <v>#REF!</v>
      </c>
      <c r="F15" s="460" t="e">
        <f>#REF!</f>
        <v>#REF!</v>
      </c>
    </row>
    <row r="16" spans="1:6" ht="18" customHeight="1">
      <c r="A16" s="318"/>
      <c r="B16" s="326" t="s">
        <v>262</v>
      </c>
      <c r="C16" s="327" t="s">
        <v>196</v>
      </c>
      <c r="D16" s="460" t="e">
        <f>#REF!</f>
        <v>#REF!</v>
      </c>
      <c r="E16" s="460" t="e">
        <f>#REF!</f>
        <v>#REF!</v>
      </c>
      <c r="F16" s="460" t="e">
        <f>#REF!</f>
        <v>#REF!</v>
      </c>
    </row>
    <row r="17" spans="1:6" ht="18" customHeight="1">
      <c r="A17" s="318"/>
      <c r="B17" s="326" t="s">
        <v>123</v>
      </c>
      <c r="C17" s="327"/>
      <c r="D17" s="460" t="e">
        <f>#REF!</f>
        <v>#REF!</v>
      </c>
      <c r="E17" s="460" t="e">
        <f>#REF!</f>
        <v>#REF!</v>
      </c>
      <c r="F17" s="460" t="e">
        <f>#REF!</f>
        <v>#REF!</v>
      </c>
    </row>
    <row r="18" spans="1:6" ht="18" customHeight="1">
      <c r="A18" s="318">
        <v>2.2999999999999998</v>
      </c>
      <c r="B18" s="326" t="s">
        <v>218</v>
      </c>
      <c r="C18" s="327"/>
      <c r="D18" s="460"/>
      <c r="E18" s="460"/>
      <c r="F18" s="460"/>
    </row>
    <row r="19" spans="1:6" ht="18" customHeight="1">
      <c r="A19" s="318"/>
      <c r="B19" s="326" t="s">
        <v>121</v>
      </c>
      <c r="C19" s="327" t="s">
        <v>196</v>
      </c>
      <c r="D19" s="460" t="e">
        <f>#REF!</f>
        <v>#REF!</v>
      </c>
      <c r="E19" s="460" t="e">
        <f>#REF!</f>
        <v>#REF!</v>
      </c>
      <c r="F19" s="460" t="e">
        <f>#REF!</f>
        <v>#REF!</v>
      </c>
    </row>
    <row r="20" spans="1:6" ht="18" customHeight="1">
      <c r="A20" s="318"/>
      <c r="B20" s="326" t="s">
        <v>122</v>
      </c>
      <c r="C20" s="327" t="s">
        <v>196</v>
      </c>
      <c r="D20" s="460" t="e">
        <f>#REF!</f>
        <v>#REF!</v>
      </c>
      <c r="E20" s="460" t="e">
        <f>#REF!</f>
        <v>#REF!</v>
      </c>
      <c r="F20" s="460" t="e">
        <f>#REF!</f>
        <v>#REF!</v>
      </c>
    </row>
    <row r="21" spans="1:6" ht="18" customHeight="1">
      <c r="A21" s="318"/>
      <c r="B21" s="326" t="s">
        <v>262</v>
      </c>
      <c r="C21" s="327" t="s">
        <v>196</v>
      </c>
      <c r="D21" s="460" t="e">
        <f>#REF!</f>
        <v>#REF!</v>
      </c>
      <c r="E21" s="460" t="e">
        <f>#REF!</f>
        <v>#REF!</v>
      </c>
      <c r="F21" s="460" t="e">
        <f>#REF!</f>
        <v>#REF!</v>
      </c>
    </row>
    <row r="22" spans="1:6" ht="18" customHeight="1">
      <c r="A22" s="318"/>
      <c r="B22" s="326" t="s">
        <v>123</v>
      </c>
      <c r="C22" s="327" t="s">
        <v>263</v>
      </c>
      <c r="D22" s="460" t="e">
        <f>#REF!</f>
        <v>#REF!</v>
      </c>
      <c r="E22" s="460" t="e">
        <f>#REF!</f>
        <v>#REF!</v>
      </c>
      <c r="F22" s="460" t="e">
        <f>#REF!</f>
        <v>#REF!</v>
      </c>
    </row>
    <row r="23" spans="1:6" ht="18" customHeight="1">
      <c r="A23" s="457">
        <v>3</v>
      </c>
      <c r="B23" s="322" t="s">
        <v>264</v>
      </c>
      <c r="C23" s="327"/>
      <c r="D23" s="460"/>
      <c r="E23" s="460"/>
      <c r="F23" s="460"/>
    </row>
    <row r="24" spans="1:6" ht="18" customHeight="1">
      <c r="A24" s="318"/>
      <c r="B24" s="326" t="s">
        <v>121</v>
      </c>
      <c r="C24" s="327" t="s">
        <v>196</v>
      </c>
      <c r="D24" s="460" t="e">
        <f>#REF!</f>
        <v>#REF!</v>
      </c>
      <c r="E24" s="460" t="e">
        <f>#REF!</f>
        <v>#REF!</v>
      </c>
      <c r="F24" s="460" t="e">
        <f>#REF!</f>
        <v>#REF!</v>
      </c>
    </row>
    <row r="25" spans="1:6" ht="18" customHeight="1">
      <c r="A25" s="318"/>
      <c r="B25" s="326" t="s">
        <v>122</v>
      </c>
      <c r="C25" s="327" t="s">
        <v>196</v>
      </c>
      <c r="D25" s="460" t="e">
        <f>#REF!</f>
        <v>#REF!</v>
      </c>
      <c r="E25" s="460" t="e">
        <f>#REF!</f>
        <v>#REF!</v>
      </c>
      <c r="F25" s="460" t="e">
        <f>#REF!</f>
        <v>#REF!</v>
      </c>
    </row>
    <row r="26" spans="1:6" ht="18" customHeight="1">
      <c r="A26" s="318"/>
      <c r="B26" s="326" t="s">
        <v>262</v>
      </c>
      <c r="C26" s="327" t="s">
        <v>196</v>
      </c>
      <c r="D26" s="460" t="e">
        <f>#REF!</f>
        <v>#REF!</v>
      </c>
      <c r="E26" s="460" t="e">
        <f>#REF!</f>
        <v>#REF!</v>
      </c>
      <c r="F26" s="460" t="e">
        <f>#REF!</f>
        <v>#REF!</v>
      </c>
    </row>
    <row r="27" spans="1:6" ht="18" customHeight="1">
      <c r="A27" s="318"/>
      <c r="B27" s="326" t="s">
        <v>123</v>
      </c>
      <c r="C27" s="327" t="s">
        <v>263</v>
      </c>
      <c r="D27" s="460" t="e">
        <f>#REF!</f>
        <v>#REF!</v>
      </c>
      <c r="E27" s="460" t="e">
        <f>#REF!</f>
        <v>#REF!</v>
      </c>
      <c r="F27" s="460" t="e">
        <f>#REF!</f>
        <v>#REF!</v>
      </c>
    </row>
    <row r="28" spans="1:6" ht="18" customHeight="1">
      <c r="A28" s="457">
        <v>4</v>
      </c>
      <c r="B28" s="322" t="s">
        <v>27</v>
      </c>
      <c r="C28" s="318"/>
      <c r="D28" s="460"/>
      <c r="E28" s="460"/>
      <c r="F28" s="460"/>
    </row>
    <row r="29" spans="1:6" ht="18" customHeight="1">
      <c r="A29" s="318"/>
      <c r="B29" s="326" t="s">
        <v>9</v>
      </c>
      <c r="C29" s="327" t="s">
        <v>196</v>
      </c>
      <c r="D29" s="460" t="e">
        <f>#REF!</f>
        <v>#REF!</v>
      </c>
      <c r="E29" s="460" t="e">
        <f>#REF!</f>
        <v>#REF!</v>
      </c>
      <c r="F29" s="460" t="e">
        <f>#REF!</f>
        <v>#REF!</v>
      </c>
    </row>
    <row r="30" spans="1:6" ht="18" customHeight="1">
      <c r="A30" s="318"/>
      <c r="B30" s="326" t="s">
        <v>265</v>
      </c>
      <c r="C30" s="327" t="s">
        <v>196</v>
      </c>
      <c r="D30" s="460" t="e">
        <f>#REF!</f>
        <v>#REF!</v>
      </c>
      <c r="E30" s="460" t="e">
        <f>#REF!</f>
        <v>#REF!</v>
      </c>
      <c r="F30" s="460" t="e">
        <f>#REF!</f>
        <v>#REF!</v>
      </c>
    </row>
    <row r="31" spans="1:6" ht="18" customHeight="1">
      <c r="A31" s="318"/>
      <c r="B31" s="326" t="s">
        <v>266</v>
      </c>
      <c r="C31" s="327" t="s">
        <v>196</v>
      </c>
      <c r="D31" s="460" t="e">
        <f>#REF!</f>
        <v>#REF!</v>
      </c>
      <c r="E31" s="460" t="e">
        <f>#REF!</f>
        <v>#REF!</v>
      </c>
      <c r="F31" s="460" t="e">
        <f>#REF!</f>
        <v>#REF!</v>
      </c>
    </row>
    <row r="32" spans="1:6" ht="18" customHeight="1">
      <c r="A32" s="318"/>
      <c r="B32" s="326" t="s">
        <v>14</v>
      </c>
      <c r="C32" s="327" t="s">
        <v>196</v>
      </c>
      <c r="D32" s="460" t="e">
        <f>#REF!</f>
        <v>#REF!</v>
      </c>
      <c r="E32" s="460" t="e">
        <f>#REF!</f>
        <v>#REF!</v>
      </c>
      <c r="F32" s="460" t="e">
        <f>#REF!</f>
        <v>#REF!</v>
      </c>
    </row>
    <row r="33" spans="1:7" ht="18" customHeight="1">
      <c r="A33" s="457">
        <v>5</v>
      </c>
      <c r="B33" s="322" t="s">
        <v>267</v>
      </c>
      <c r="C33" s="327"/>
      <c r="D33" s="460"/>
      <c r="E33" s="460"/>
      <c r="F33" s="460"/>
    </row>
    <row r="34" spans="1:7" ht="18" customHeight="1">
      <c r="A34" s="462"/>
      <c r="B34" s="326" t="s">
        <v>268</v>
      </c>
      <c r="C34" s="337" t="s">
        <v>259</v>
      </c>
      <c r="D34" s="748">
        <v>7144</v>
      </c>
      <c r="E34" s="749"/>
      <c r="F34" s="750"/>
      <c r="G34" s="338"/>
    </row>
    <row r="35" spans="1:7" ht="18" customHeight="1">
      <c r="A35" s="462"/>
      <c r="B35" s="326" t="s">
        <v>64</v>
      </c>
      <c r="C35" s="337" t="s">
        <v>259</v>
      </c>
      <c r="D35" s="748">
        <v>770</v>
      </c>
      <c r="E35" s="749"/>
      <c r="F35" s="750"/>
    </row>
    <row r="36" spans="1:7" ht="18" customHeight="1">
      <c r="A36" s="462"/>
      <c r="B36" s="326" t="s">
        <v>65</v>
      </c>
      <c r="C36" s="337" t="s">
        <v>259</v>
      </c>
      <c r="D36" s="748">
        <v>650</v>
      </c>
      <c r="E36" s="749"/>
      <c r="F36" s="750"/>
    </row>
    <row r="37" spans="1:7" ht="18" customHeight="1">
      <c r="A37" s="462"/>
      <c r="B37" s="326" t="s">
        <v>218</v>
      </c>
      <c r="C37" s="337" t="s">
        <v>259</v>
      </c>
      <c r="D37" s="748">
        <v>145</v>
      </c>
      <c r="E37" s="749"/>
      <c r="F37" s="750"/>
    </row>
  </sheetData>
  <mergeCells count="6">
    <mergeCell ref="D37:F37"/>
    <mergeCell ref="A1:F1"/>
    <mergeCell ref="A2:F2"/>
    <mergeCell ref="D34:F34"/>
    <mergeCell ref="D35:F35"/>
    <mergeCell ref="D36:F36"/>
  </mergeCells>
  <phoneticPr fontId="54" type="noConversion"/>
  <pageMargins left="0.69930555555555596" right="0.69930555555555596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DG33"/>
  <sheetViews>
    <sheetView topLeftCell="B1" zoomScale="80" zoomScaleNormal="80" workbookViewId="0">
      <selection activeCell="D27" sqref="D27"/>
    </sheetView>
  </sheetViews>
  <sheetFormatPr defaultColWidth="9" defaultRowHeight="15.6"/>
  <cols>
    <col min="1" max="1" width="4.44140625" style="343" customWidth="1"/>
    <col min="2" max="2" width="7.44140625" style="343" customWidth="1"/>
    <col min="3" max="3" width="9.44140625" style="343" customWidth="1"/>
    <col min="4" max="4" width="9" style="343" customWidth="1"/>
    <col min="5" max="7" width="7.21875" style="343" customWidth="1"/>
    <col min="8" max="9" width="9.44140625" style="343" customWidth="1"/>
    <col min="10" max="10" width="10" style="343" customWidth="1"/>
    <col min="11" max="11" width="5.33203125" style="343" customWidth="1"/>
    <col min="12" max="12" width="7.33203125" style="343" customWidth="1"/>
    <col min="13" max="14" width="7.109375" style="343" customWidth="1"/>
    <col min="15" max="15" width="7.6640625" style="343" customWidth="1"/>
    <col min="16" max="17" width="8.109375" style="343" customWidth="1"/>
    <col min="18" max="18" width="8.6640625" style="343" customWidth="1"/>
    <col min="19" max="19" width="8.109375" style="343" customWidth="1"/>
    <col min="20" max="20" width="6.88671875" style="343" customWidth="1"/>
    <col min="21" max="21" width="7.109375" style="343" customWidth="1"/>
    <col min="22" max="22" width="7.77734375" style="343" customWidth="1"/>
    <col min="23" max="25" width="8.109375" style="343" customWidth="1"/>
    <col min="26" max="26" width="5.21875" style="343" customWidth="1"/>
    <col min="27" max="27" width="10.6640625" style="343" customWidth="1"/>
    <col min="28" max="29" width="8.21875" style="343" customWidth="1"/>
    <col min="30" max="30" width="8.109375" style="343" customWidth="1"/>
    <col min="31" max="33" width="9" style="343" customWidth="1"/>
    <col min="34" max="36" width="7.77734375" style="343" customWidth="1"/>
    <col min="37" max="37" width="9" style="343"/>
    <col min="38" max="96" width="9" style="343" hidden="1" customWidth="1"/>
    <col min="97" max="97" width="9" style="343"/>
    <col min="98" max="98" width="9" style="343" hidden="1" customWidth="1"/>
    <col min="99" max="99" width="9.88671875" style="343" customWidth="1"/>
    <col min="100" max="100" width="10.6640625" style="343" customWidth="1"/>
    <col min="101" max="101" width="10.44140625" style="343" customWidth="1"/>
    <col min="102" max="102" width="10.109375" style="343" customWidth="1"/>
    <col min="103" max="103" width="13.44140625" style="343" customWidth="1"/>
    <col min="104" max="106" width="10.33203125" style="343" customWidth="1"/>
    <col min="107" max="107" width="16.77734375" style="343" customWidth="1"/>
    <col min="108" max="108" width="15.77734375" style="343" customWidth="1"/>
    <col min="109" max="110" width="9" style="343"/>
    <col min="111" max="111" width="9.44140625" style="343" customWidth="1"/>
    <col min="112" max="234" width="9" style="343"/>
    <col min="235" max="235" width="5.44140625" style="343" customWidth="1"/>
    <col min="236" max="236" width="7.44140625" style="343" customWidth="1"/>
    <col min="237" max="237" width="8.109375" style="343" customWidth="1"/>
    <col min="238" max="238" width="8.33203125" style="343" customWidth="1"/>
    <col min="239" max="240" width="5" style="343" customWidth="1"/>
    <col min="241" max="241" width="5.33203125" style="343" customWidth="1"/>
    <col min="242" max="242" width="6" style="343" customWidth="1"/>
    <col min="243" max="244" width="6.6640625" style="343" customWidth="1"/>
    <col min="245" max="245" width="7.77734375" style="343" customWidth="1"/>
    <col min="246" max="246" width="7.6640625" style="343" customWidth="1"/>
    <col min="247" max="247" width="6.6640625" style="343" customWidth="1"/>
    <col min="248" max="248" width="5.109375" style="343" customWidth="1"/>
    <col min="249" max="249" width="5.33203125" style="343" customWidth="1"/>
    <col min="250" max="250" width="5.44140625" style="343" customWidth="1"/>
    <col min="251" max="254" width="6.6640625" style="343" customWidth="1"/>
    <col min="255" max="255" width="6.77734375" style="343" customWidth="1"/>
    <col min="256" max="256" width="5.109375" style="343" customWidth="1"/>
    <col min="257" max="257" width="7.109375" style="343" customWidth="1"/>
    <col min="258" max="258" width="6.109375" style="343" customWidth="1"/>
    <col min="259" max="259" width="7.109375" style="343" customWidth="1"/>
    <col min="260" max="260" width="6.44140625" style="343" customWidth="1"/>
    <col min="261" max="264" width="7.109375" style="343" customWidth="1"/>
    <col min="265" max="265" width="7.44140625" style="343" customWidth="1"/>
    <col min="266" max="266" width="7.88671875" style="343" customWidth="1"/>
    <col min="267" max="268" width="6.88671875" style="343" customWidth="1"/>
    <col min="269" max="272" width="7.109375" style="343" customWidth="1"/>
    <col min="273" max="273" width="7.44140625" style="343" customWidth="1"/>
    <col min="274" max="274" width="7.109375" style="343" customWidth="1"/>
    <col min="275" max="275" width="5.21875" style="343" customWidth="1"/>
    <col min="276" max="284" width="10.6640625" style="343" customWidth="1"/>
    <col min="285" max="288" width="8.6640625" style="343" customWidth="1"/>
    <col min="289" max="490" width="9" style="343"/>
    <col min="491" max="491" width="5.44140625" style="343" customWidth="1"/>
    <col min="492" max="492" width="7.44140625" style="343" customWidth="1"/>
    <col min="493" max="493" width="8.109375" style="343" customWidth="1"/>
    <col min="494" max="494" width="8.33203125" style="343" customWidth="1"/>
    <col min="495" max="496" width="5" style="343" customWidth="1"/>
    <col min="497" max="497" width="5.33203125" style="343" customWidth="1"/>
    <col min="498" max="498" width="6" style="343" customWidth="1"/>
    <col min="499" max="500" width="6.6640625" style="343" customWidth="1"/>
    <col min="501" max="501" width="7.77734375" style="343" customWidth="1"/>
    <col min="502" max="502" width="7.6640625" style="343" customWidth="1"/>
    <col min="503" max="503" width="6.6640625" style="343" customWidth="1"/>
    <col min="504" max="504" width="5.109375" style="343" customWidth="1"/>
    <col min="505" max="505" width="5.33203125" style="343" customWidth="1"/>
    <col min="506" max="506" width="5.44140625" style="343" customWidth="1"/>
    <col min="507" max="510" width="6.6640625" style="343" customWidth="1"/>
    <col min="511" max="511" width="6.77734375" style="343" customWidth="1"/>
    <col min="512" max="512" width="5.109375" style="343" customWidth="1"/>
    <col min="513" max="513" width="7.109375" style="343" customWidth="1"/>
    <col min="514" max="514" width="6.109375" style="343" customWidth="1"/>
    <col min="515" max="515" width="7.109375" style="343" customWidth="1"/>
    <col min="516" max="516" width="6.44140625" style="343" customWidth="1"/>
    <col min="517" max="520" width="7.109375" style="343" customWidth="1"/>
    <col min="521" max="521" width="7.44140625" style="343" customWidth="1"/>
    <col min="522" max="522" width="7.88671875" style="343" customWidth="1"/>
    <col min="523" max="524" width="6.88671875" style="343" customWidth="1"/>
    <col min="525" max="528" width="7.109375" style="343" customWidth="1"/>
    <col min="529" max="529" width="7.44140625" style="343" customWidth="1"/>
    <col min="530" max="530" width="7.109375" style="343" customWidth="1"/>
    <col min="531" max="531" width="5.21875" style="343" customWidth="1"/>
    <col min="532" max="540" width="10.6640625" style="343" customWidth="1"/>
    <col min="541" max="544" width="8.6640625" style="343" customWidth="1"/>
    <col min="545" max="746" width="9" style="343"/>
    <col min="747" max="747" width="5.44140625" style="343" customWidth="1"/>
    <col min="748" max="748" width="7.44140625" style="343" customWidth="1"/>
    <col min="749" max="749" width="8.109375" style="343" customWidth="1"/>
    <col min="750" max="750" width="8.33203125" style="343" customWidth="1"/>
    <col min="751" max="752" width="5" style="343" customWidth="1"/>
    <col min="753" max="753" width="5.33203125" style="343" customWidth="1"/>
    <col min="754" max="754" width="6" style="343" customWidth="1"/>
    <col min="755" max="756" width="6.6640625" style="343" customWidth="1"/>
    <col min="757" max="757" width="7.77734375" style="343" customWidth="1"/>
    <col min="758" max="758" width="7.6640625" style="343" customWidth="1"/>
    <col min="759" max="759" width="6.6640625" style="343" customWidth="1"/>
    <col min="760" max="760" width="5.109375" style="343" customWidth="1"/>
    <col min="761" max="761" width="5.33203125" style="343" customWidth="1"/>
    <col min="762" max="762" width="5.44140625" style="343" customWidth="1"/>
    <col min="763" max="766" width="6.6640625" style="343" customWidth="1"/>
    <col min="767" max="767" width="6.77734375" style="343" customWidth="1"/>
    <col min="768" max="768" width="5.109375" style="343" customWidth="1"/>
    <col min="769" max="769" width="7.109375" style="343" customWidth="1"/>
    <col min="770" max="770" width="6.109375" style="343" customWidth="1"/>
    <col min="771" max="771" width="7.109375" style="343" customWidth="1"/>
    <col min="772" max="772" width="6.44140625" style="343" customWidth="1"/>
    <col min="773" max="776" width="7.109375" style="343" customWidth="1"/>
    <col min="777" max="777" width="7.44140625" style="343" customWidth="1"/>
    <col min="778" max="778" width="7.88671875" style="343" customWidth="1"/>
    <col min="779" max="780" width="6.88671875" style="343" customWidth="1"/>
    <col min="781" max="784" width="7.109375" style="343" customWidth="1"/>
    <col min="785" max="785" width="7.44140625" style="343" customWidth="1"/>
    <col min="786" max="786" width="7.109375" style="343" customWidth="1"/>
    <col min="787" max="787" width="5.21875" style="343" customWidth="1"/>
    <col min="788" max="796" width="10.6640625" style="343" customWidth="1"/>
    <col min="797" max="800" width="8.6640625" style="343" customWidth="1"/>
    <col min="801" max="1002" width="9" style="343"/>
    <col min="1003" max="1003" width="5.44140625" style="343" customWidth="1"/>
    <col min="1004" max="1004" width="7.44140625" style="343" customWidth="1"/>
    <col min="1005" max="1005" width="8.109375" style="343" customWidth="1"/>
    <col min="1006" max="1006" width="8.33203125" style="343" customWidth="1"/>
    <col min="1007" max="1008" width="5" style="343" customWidth="1"/>
    <col min="1009" max="1009" width="5.33203125" style="343" customWidth="1"/>
    <col min="1010" max="1010" width="6" style="343" customWidth="1"/>
    <col min="1011" max="1012" width="6.6640625" style="343" customWidth="1"/>
    <col min="1013" max="1013" width="7.77734375" style="343" customWidth="1"/>
    <col min="1014" max="1014" width="7.6640625" style="343" customWidth="1"/>
    <col min="1015" max="1015" width="6.6640625" style="343" customWidth="1"/>
    <col min="1016" max="1016" width="5.109375" style="343" customWidth="1"/>
    <col min="1017" max="1017" width="5.33203125" style="343" customWidth="1"/>
    <col min="1018" max="1018" width="5.44140625" style="343" customWidth="1"/>
    <col min="1019" max="1022" width="6.6640625" style="343" customWidth="1"/>
    <col min="1023" max="1023" width="6.77734375" style="343" customWidth="1"/>
    <col min="1024" max="1024" width="5.109375" style="343" customWidth="1"/>
    <col min="1025" max="1025" width="7.109375" style="343" customWidth="1"/>
    <col min="1026" max="1026" width="6.109375" style="343" customWidth="1"/>
    <col min="1027" max="1027" width="7.109375" style="343" customWidth="1"/>
    <col min="1028" max="1028" width="6.44140625" style="343" customWidth="1"/>
    <col min="1029" max="1032" width="7.109375" style="343" customWidth="1"/>
    <col min="1033" max="1033" width="7.44140625" style="343" customWidth="1"/>
    <col min="1034" max="1034" width="7.88671875" style="343" customWidth="1"/>
    <col min="1035" max="1036" width="6.88671875" style="343" customWidth="1"/>
    <col min="1037" max="1040" width="7.109375" style="343" customWidth="1"/>
    <col min="1041" max="1041" width="7.44140625" style="343" customWidth="1"/>
    <col min="1042" max="1042" width="7.109375" style="343" customWidth="1"/>
    <col min="1043" max="1043" width="5.21875" style="343" customWidth="1"/>
    <col min="1044" max="1052" width="10.6640625" style="343" customWidth="1"/>
    <col min="1053" max="1056" width="8.6640625" style="343" customWidth="1"/>
    <col min="1057" max="1258" width="9" style="343"/>
    <col min="1259" max="1259" width="5.44140625" style="343" customWidth="1"/>
    <col min="1260" max="1260" width="7.44140625" style="343" customWidth="1"/>
    <col min="1261" max="1261" width="8.109375" style="343" customWidth="1"/>
    <col min="1262" max="1262" width="8.33203125" style="343" customWidth="1"/>
    <col min="1263" max="1264" width="5" style="343" customWidth="1"/>
    <col min="1265" max="1265" width="5.33203125" style="343" customWidth="1"/>
    <col min="1266" max="1266" width="6" style="343" customWidth="1"/>
    <col min="1267" max="1268" width="6.6640625" style="343" customWidth="1"/>
    <col min="1269" max="1269" width="7.77734375" style="343" customWidth="1"/>
    <col min="1270" max="1270" width="7.6640625" style="343" customWidth="1"/>
    <col min="1271" max="1271" width="6.6640625" style="343" customWidth="1"/>
    <col min="1272" max="1272" width="5.109375" style="343" customWidth="1"/>
    <col min="1273" max="1273" width="5.33203125" style="343" customWidth="1"/>
    <col min="1274" max="1274" width="5.44140625" style="343" customWidth="1"/>
    <col min="1275" max="1278" width="6.6640625" style="343" customWidth="1"/>
    <col min="1279" max="1279" width="6.77734375" style="343" customWidth="1"/>
    <col min="1280" max="1280" width="5.109375" style="343" customWidth="1"/>
    <col min="1281" max="1281" width="7.109375" style="343" customWidth="1"/>
    <col min="1282" max="1282" width="6.109375" style="343" customWidth="1"/>
    <col min="1283" max="1283" width="7.109375" style="343" customWidth="1"/>
    <col min="1284" max="1284" width="6.44140625" style="343" customWidth="1"/>
    <col min="1285" max="1288" width="7.109375" style="343" customWidth="1"/>
    <col min="1289" max="1289" width="7.44140625" style="343" customWidth="1"/>
    <col min="1290" max="1290" width="7.88671875" style="343" customWidth="1"/>
    <col min="1291" max="1292" width="6.88671875" style="343" customWidth="1"/>
    <col min="1293" max="1296" width="7.109375" style="343" customWidth="1"/>
    <col min="1297" max="1297" width="7.44140625" style="343" customWidth="1"/>
    <col min="1298" max="1298" width="7.109375" style="343" customWidth="1"/>
    <col min="1299" max="1299" width="5.21875" style="343" customWidth="1"/>
    <col min="1300" max="1308" width="10.6640625" style="343" customWidth="1"/>
    <col min="1309" max="1312" width="8.6640625" style="343" customWidth="1"/>
    <col min="1313" max="1514" width="9" style="343"/>
    <col min="1515" max="1515" width="5.44140625" style="343" customWidth="1"/>
    <col min="1516" max="1516" width="7.44140625" style="343" customWidth="1"/>
    <col min="1517" max="1517" width="8.109375" style="343" customWidth="1"/>
    <col min="1518" max="1518" width="8.33203125" style="343" customWidth="1"/>
    <col min="1519" max="1520" width="5" style="343" customWidth="1"/>
    <col min="1521" max="1521" width="5.33203125" style="343" customWidth="1"/>
    <col min="1522" max="1522" width="6" style="343" customWidth="1"/>
    <col min="1523" max="1524" width="6.6640625" style="343" customWidth="1"/>
    <col min="1525" max="1525" width="7.77734375" style="343" customWidth="1"/>
    <col min="1526" max="1526" width="7.6640625" style="343" customWidth="1"/>
    <col min="1527" max="1527" width="6.6640625" style="343" customWidth="1"/>
    <col min="1528" max="1528" width="5.109375" style="343" customWidth="1"/>
    <col min="1529" max="1529" width="5.33203125" style="343" customWidth="1"/>
    <col min="1530" max="1530" width="5.44140625" style="343" customWidth="1"/>
    <col min="1531" max="1534" width="6.6640625" style="343" customWidth="1"/>
    <col min="1535" max="1535" width="6.77734375" style="343" customWidth="1"/>
    <col min="1536" max="1536" width="5.109375" style="343" customWidth="1"/>
    <col min="1537" max="1537" width="7.109375" style="343" customWidth="1"/>
    <col min="1538" max="1538" width="6.109375" style="343" customWidth="1"/>
    <col min="1539" max="1539" width="7.109375" style="343" customWidth="1"/>
    <col min="1540" max="1540" width="6.44140625" style="343" customWidth="1"/>
    <col min="1541" max="1544" width="7.109375" style="343" customWidth="1"/>
    <col min="1545" max="1545" width="7.44140625" style="343" customWidth="1"/>
    <col min="1546" max="1546" width="7.88671875" style="343" customWidth="1"/>
    <col min="1547" max="1548" width="6.88671875" style="343" customWidth="1"/>
    <col min="1549" max="1552" width="7.109375" style="343" customWidth="1"/>
    <col min="1553" max="1553" width="7.44140625" style="343" customWidth="1"/>
    <col min="1554" max="1554" width="7.109375" style="343" customWidth="1"/>
    <col min="1555" max="1555" width="5.21875" style="343" customWidth="1"/>
    <col min="1556" max="1564" width="10.6640625" style="343" customWidth="1"/>
    <col min="1565" max="1568" width="8.6640625" style="343" customWidth="1"/>
    <col min="1569" max="1770" width="9" style="343"/>
    <col min="1771" max="1771" width="5.44140625" style="343" customWidth="1"/>
    <col min="1772" max="1772" width="7.44140625" style="343" customWidth="1"/>
    <col min="1773" max="1773" width="8.109375" style="343" customWidth="1"/>
    <col min="1774" max="1774" width="8.33203125" style="343" customWidth="1"/>
    <col min="1775" max="1776" width="5" style="343" customWidth="1"/>
    <col min="1777" max="1777" width="5.33203125" style="343" customWidth="1"/>
    <col min="1778" max="1778" width="6" style="343" customWidth="1"/>
    <col min="1779" max="1780" width="6.6640625" style="343" customWidth="1"/>
    <col min="1781" max="1781" width="7.77734375" style="343" customWidth="1"/>
    <col min="1782" max="1782" width="7.6640625" style="343" customWidth="1"/>
    <col min="1783" max="1783" width="6.6640625" style="343" customWidth="1"/>
    <col min="1784" max="1784" width="5.109375" style="343" customWidth="1"/>
    <col min="1785" max="1785" width="5.33203125" style="343" customWidth="1"/>
    <col min="1786" max="1786" width="5.44140625" style="343" customWidth="1"/>
    <col min="1787" max="1790" width="6.6640625" style="343" customWidth="1"/>
    <col min="1791" max="1791" width="6.77734375" style="343" customWidth="1"/>
    <col min="1792" max="1792" width="5.109375" style="343" customWidth="1"/>
    <col min="1793" max="1793" width="7.109375" style="343" customWidth="1"/>
    <col min="1794" max="1794" width="6.109375" style="343" customWidth="1"/>
    <col min="1795" max="1795" width="7.109375" style="343" customWidth="1"/>
    <col min="1796" max="1796" width="6.44140625" style="343" customWidth="1"/>
    <col min="1797" max="1800" width="7.109375" style="343" customWidth="1"/>
    <col min="1801" max="1801" width="7.44140625" style="343" customWidth="1"/>
    <col min="1802" max="1802" width="7.88671875" style="343" customWidth="1"/>
    <col min="1803" max="1804" width="6.88671875" style="343" customWidth="1"/>
    <col min="1805" max="1808" width="7.109375" style="343" customWidth="1"/>
    <col min="1809" max="1809" width="7.44140625" style="343" customWidth="1"/>
    <col min="1810" max="1810" width="7.109375" style="343" customWidth="1"/>
    <col min="1811" max="1811" width="5.21875" style="343" customWidth="1"/>
    <col min="1812" max="1820" width="10.6640625" style="343" customWidth="1"/>
    <col min="1821" max="1824" width="8.6640625" style="343" customWidth="1"/>
    <col min="1825" max="2026" width="9" style="343"/>
    <col min="2027" max="2027" width="5.44140625" style="343" customWidth="1"/>
    <col min="2028" max="2028" width="7.44140625" style="343" customWidth="1"/>
    <col min="2029" max="2029" width="8.109375" style="343" customWidth="1"/>
    <col min="2030" max="2030" width="8.33203125" style="343" customWidth="1"/>
    <col min="2031" max="2032" width="5" style="343" customWidth="1"/>
    <col min="2033" max="2033" width="5.33203125" style="343" customWidth="1"/>
    <col min="2034" max="2034" width="6" style="343" customWidth="1"/>
    <col min="2035" max="2036" width="6.6640625" style="343" customWidth="1"/>
    <col min="2037" max="2037" width="7.77734375" style="343" customWidth="1"/>
    <col min="2038" max="2038" width="7.6640625" style="343" customWidth="1"/>
    <col min="2039" max="2039" width="6.6640625" style="343" customWidth="1"/>
    <col min="2040" max="2040" width="5.109375" style="343" customWidth="1"/>
    <col min="2041" max="2041" width="5.33203125" style="343" customWidth="1"/>
    <col min="2042" max="2042" width="5.44140625" style="343" customWidth="1"/>
    <col min="2043" max="2046" width="6.6640625" style="343" customWidth="1"/>
    <col min="2047" max="2047" width="6.77734375" style="343" customWidth="1"/>
    <col min="2048" max="2048" width="5.109375" style="343" customWidth="1"/>
    <col min="2049" max="2049" width="7.109375" style="343" customWidth="1"/>
    <col min="2050" max="2050" width="6.109375" style="343" customWidth="1"/>
    <col min="2051" max="2051" width="7.109375" style="343" customWidth="1"/>
    <col min="2052" max="2052" width="6.44140625" style="343" customWidth="1"/>
    <col min="2053" max="2056" width="7.109375" style="343" customWidth="1"/>
    <col min="2057" max="2057" width="7.44140625" style="343" customWidth="1"/>
    <col min="2058" max="2058" width="7.88671875" style="343" customWidth="1"/>
    <col min="2059" max="2060" width="6.88671875" style="343" customWidth="1"/>
    <col min="2061" max="2064" width="7.109375" style="343" customWidth="1"/>
    <col min="2065" max="2065" width="7.44140625" style="343" customWidth="1"/>
    <col min="2066" max="2066" width="7.109375" style="343" customWidth="1"/>
    <col min="2067" max="2067" width="5.21875" style="343" customWidth="1"/>
    <col min="2068" max="2076" width="10.6640625" style="343" customWidth="1"/>
    <col min="2077" max="2080" width="8.6640625" style="343" customWidth="1"/>
    <col min="2081" max="2282" width="9" style="343"/>
    <col min="2283" max="2283" width="5.44140625" style="343" customWidth="1"/>
    <col min="2284" max="2284" width="7.44140625" style="343" customWidth="1"/>
    <col min="2285" max="2285" width="8.109375" style="343" customWidth="1"/>
    <col min="2286" max="2286" width="8.33203125" style="343" customWidth="1"/>
    <col min="2287" max="2288" width="5" style="343" customWidth="1"/>
    <col min="2289" max="2289" width="5.33203125" style="343" customWidth="1"/>
    <col min="2290" max="2290" width="6" style="343" customWidth="1"/>
    <col min="2291" max="2292" width="6.6640625" style="343" customWidth="1"/>
    <col min="2293" max="2293" width="7.77734375" style="343" customWidth="1"/>
    <col min="2294" max="2294" width="7.6640625" style="343" customWidth="1"/>
    <col min="2295" max="2295" width="6.6640625" style="343" customWidth="1"/>
    <col min="2296" max="2296" width="5.109375" style="343" customWidth="1"/>
    <col min="2297" max="2297" width="5.33203125" style="343" customWidth="1"/>
    <col min="2298" max="2298" width="5.44140625" style="343" customWidth="1"/>
    <col min="2299" max="2302" width="6.6640625" style="343" customWidth="1"/>
    <col min="2303" max="2303" width="6.77734375" style="343" customWidth="1"/>
    <col min="2304" max="2304" width="5.109375" style="343" customWidth="1"/>
    <col min="2305" max="2305" width="7.109375" style="343" customWidth="1"/>
    <col min="2306" max="2306" width="6.109375" style="343" customWidth="1"/>
    <col min="2307" max="2307" width="7.109375" style="343" customWidth="1"/>
    <col min="2308" max="2308" width="6.44140625" style="343" customWidth="1"/>
    <col min="2309" max="2312" width="7.109375" style="343" customWidth="1"/>
    <col min="2313" max="2313" width="7.44140625" style="343" customWidth="1"/>
    <col min="2314" max="2314" width="7.88671875" style="343" customWidth="1"/>
    <col min="2315" max="2316" width="6.88671875" style="343" customWidth="1"/>
    <col min="2317" max="2320" width="7.109375" style="343" customWidth="1"/>
    <col min="2321" max="2321" width="7.44140625" style="343" customWidth="1"/>
    <col min="2322" max="2322" width="7.109375" style="343" customWidth="1"/>
    <col min="2323" max="2323" width="5.21875" style="343" customWidth="1"/>
    <col min="2324" max="2332" width="10.6640625" style="343" customWidth="1"/>
    <col min="2333" max="2336" width="8.6640625" style="343" customWidth="1"/>
    <col min="2337" max="2538" width="9" style="343"/>
    <col min="2539" max="2539" width="5.44140625" style="343" customWidth="1"/>
    <col min="2540" max="2540" width="7.44140625" style="343" customWidth="1"/>
    <col min="2541" max="2541" width="8.109375" style="343" customWidth="1"/>
    <col min="2542" max="2542" width="8.33203125" style="343" customWidth="1"/>
    <col min="2543" max="2544" width="5" style="343" customWidth="1"/>
    <col min="2545" max="2545" width="5.33203125" style="343" customWidth="1"/>
    <col min="2546" max="2546" width="6" style="343" customWidth="1"/>
    <col min="2547" max="2548" width="6.6640625" style="343" customWidth="1"/>
    <col min="2549" max="2549" width="7.77734375" style="343" customWidth="1"/>
    <col min="2550" max="2550" width="7.6640625" style="343" customWidth="1"/>
    <col min="2551" max="2551" width="6.6640625" style="343" customWidth="1"/>
    <col min="2552" max="2552" width="5.109375" style="343" customWidth="1"/>
    <col min="2553" max="2553" width="5.33203125" style="343" customWidth="1"/>
    <col min="2554" max="2554" width="5.44140625" style="343" customWidth="1"/>
    <col min="2555" max="2558" width="6.6640625" style="343" customWidth="1"/>
    <col min="2559" max="2559" width="6.77734375" style="343" customWidth="1"/>
    <col min="2560" max="2560" width="5.109375" style="343" customWidth="1"/>
    <col min="2561" max="2561" width="7.109375" style="343" customWidth="1"/>
    <col min="2562" max="2562" width="6.109375" style="343" customWidth="1"/>
    <col min="2563" max="2563" width="7.109375" style="343" customWidth="1"/>
    <col min="2564" max="2564" width="6.44140625" style="343" customWidth="1"/>
    <col min="2565" max="2568" width="7.109375" style="343" customWidth="1"/>
    <col min="2569" max="2569" width="7.44140625" style="343" customWidth="1"/>
    <col min="2570" max="2570" width="7.88671875" style="343" customWidth="1"/>
    <col min="2571" max="2572" width="6.88671875" style="343" customWidth="1"/>
    <col min="2573" max="2576" width="7.109375" style="343" customWidth="1"/>
    <col min="2577" max="2577" width="7.44140625" style="343" customWidth="1"/>
    <col min="2578" max="2578" width="7.109375" style="343" customWidth="1"/>
    <col min="2579" max="2579" width="5.21875" style="343" customWidth="1"/>
    <col min="2580" max="2588" width="10.6640625" style="343" customWidth="1"/>
    <col min="2589" max="2592" width="8.6640625" style="343" customWidth="1"/>
    <col min="2593" max="2794" width="9" style="343"/>
    <col min="2795" max="2795" width="5.44140625" style="343" customWidth="1"/>
    <col min="2796" max="2796" width="7.44140625" style="343" customWidth="1"/>
    <col min="2797" max="2797" width="8.109375" style="343" customWidth="1"/>
    <col min="2798" max="2798" width="8.33203125" style="343" customWidth="1"/>
    <col min="2799" max="2800" width="5" style="343" customWidth="1"/>
    <col min="2801" max="2801" width="5.33203125" style="343" customWidth="1"/>
    <col min="2802" max="2802" width="6" style="343" customWidth="1"/>
    <col min="2803" max="2804" width="6.6640625" style="343" customWidth="1"/>
    <col min="2805" max="2805" width="7.77734375" style="343" customWidth="1"/>
    <col min="2806" max="2806" width="7.6640625" style="343" customWidth="1"/>
    <col min="2807" max="2807" width="6.6640625" style="343" customWidth="1"/>
    <col min="2808" max="2808" width="5.109375" style="343" customWidth="1"/>
    <col min="2809" max="2809" width="5.33203125" style="343" customWidth="1"/>
    <col min="2810" max="2810" width="5.44140625" style="343" customWidth="1"/>
    <col min="2811" max="2814" width="6.6640625" style="343" customWidth="1"/>
    <col min="2815" max="2815" width="6.77734375" style="343" customWidth="1"/>
    <col min="2816" max="2816" width="5.109375" style="343" customWidth="1"/>
    <col min="2817" max="2817" width="7.109375" style="343" customWidth="1"/>
    <col min="2818" max="2818" width="6.109375" style="343" customWidth="1"/>
    <col min="2819" max="2819" width="7.109375" style="343" customWidth="1"/>
    <col min="2820" max="2820" width="6.44140625" style="343" customWidth="1"/>
    <col min="2821" max="2824" width="7.109375" style="343" customWidth="1"/>
    <col min="2825" max="2825" width="7.44140625" style="343" customWidth="1"/>
    <col min="2826" max="2826" width="7.88671875" style="343" customWidth="1"/>
    <col min="2827" max="2828" width="6.88671875" style="343" customWidth="1"/>
    <col min="2829" max="2832" width="7.109375" style="343" customWidth="1"/>
    <col min="2833" max="2833" width="7.44140625" style="343" customWidth="1"/>
    <col min="2834" max="2834" width="7.109375" style="343" customWidth="1"/>
    <col min="2835" max="2835" width="5.21875" style="343" customWidth="1"/>
    <col min="2836" max="2844" width="10.6640625" style="343" customWidth="1"/>
    <col min="2845" max="2848" width="8.6640625" style="343" customWidth="1"/>
    <col min="2849" max="3050" width="9" style="343"/>
    <col min="3051" max="3051" width="5.44140625" style="343" customWidth="1"/>
    <col min="3052" max="3052" width="7.44140625" style="343" customWidth="1"/>
    <col min="3053" max="3053" width="8.109375" style="343" customWidth="1"/>
    <col min="3054" max="3054" width="8.33203125" style="343" customWidth="1"/>
    <col min="3055" max="3056" width="5" style="343" customWidth="1"/>
    <col min="3057" max="3057" width="5.33203125" style="343" customWidth="1"/>
    <col min="3058" max="3058" width="6" style="343" customWidth="1"/>
    <col min="3059" max="3060" width="6.6640625" style="343" customWidth="1"/>
    <col min="3061" max="3061" width="7.77734375" style="343" customWidth="1"/>
    <col min="3062" max="3062" width="7.6640625" style="343" customWidth="1"/>
    <col min="3063" max="3063" width="6.6640625" style="343" customWidth="1"/>
    <col min="3064" max="3064" width="5.109375" style="343" customWidth="1"/>
    <col min="3065" max="3065" width="5.33203125" style="343" customWidth="1"/>
    <col min="3066" max="3066" width="5.44140625" style="343" customWidth="1"/>
    <col min="3067" max="3070" width="6.6640625" style="343" customWidth="1"/>
    <col min="3071" max="3071" width="6.77734375" style="343" customWidth="1"/>
    <col min="3072" max="3072" width="5.109375" style="343" customWidth="1"/>
    <col min="3073" max="3073" width="7.109375" style="343" customWidth="1"/>
    <col min="3074" max="3074" width="6.109375" style="343" customWidth="1"/>
    <col min="3075" max="3075" width="7.109375" style="343" customWidth="1"/>
    <col min="3076" max="3076" width="6.44140625" style="343" customWidth="1"/>
    <col min="3077" max="3080" width="7.109375" style="343" customWidth="1"/>
    <col min="3081" max="3081" width="7.44140625" style="343" customWidth="1"/>
    <col min="3082" max="3082" width="7.88671875" style="343" customWidth="1"/>
    <col min="3083" max="3084" width="6.88671875" style="343" customWidth="1"/>
    <col min="3085" max="3088" width="7.109375" style="343" customWidth="1"/>
    <col min="3089" max="3089" width="7.44140625" style="343" customWidth="1"/>
    <col min="3090" max="3090" width="7.109375" style="343" customWidth="1"/>
    <col min="3091" max="3091" width="5.21875" style="343" customWidth="1"/>
    <col min="3092" max="3100" width="10.6640625" style="343" customWidth="1"/>
    <col min="3101" max="3104" width="8.6640625" style="343" customWidth="1"/>
    <col min="3105" max="3306" width="9" style="343"/>
    <col min="3307" max="3307" width="5.44140625" style="343" customWidth="1"/>
    <col min="3308" max="3308" width="7.44140625" style="343" customWidth="1"/>
    <col min="3309" max="3309" width="8.109375" style="343" customWidth="1"/>
    <col min="3310" max="3310" width="8.33203125" style="343" customWidth="1"/>
    <col min="3311" max="3312" width="5" style="343" customWidth="1"/>
    <col min="3313" max="3313" width="5.33203125" style="343" customWidth="1"/>
    <col min="3314" max="3314" width="6" style="343" customWidth="1"/>
    <col min="3315" max="3316" width="6.6640625" style="343" customWidth="1"/>
    <col min="3317" max="3317" width="7.77734375" style="343" customWidth="1"/>
    <col min="3318" max="3318" width="7.6640625" style="343" customWidth="1"/>
    <col min="3319" max="3319" width="6.6640625" style="343" customWidth="1"/>
    <col min="3320" max="3320" width="5.109375" style="343" customWidth="1"/>
    <col min="3321" max="3321" width="5.33203125" style="343" customWidth="1"/>
    <col min="3322" max="3322" width="5.44140625" style="343" customWidth="1"/>
    <col min="3323" max="3326" width="6.6640625" style="343" customWidth="1"/>
    <col min="3327" max="3327" width="6.77734375" style="343" customWidth="1"/>
    <col min="3328" max="3328" width="5.109375" style="343" customWidth="1"/>
    <col min="3329" max="3329" width="7.109375" style="343" customWidth="1"/>
    <col min="3330" max="3330" width="6.109375" style="343" customWidth="1"/>
    <col min="3331" max="3331" width="7.109375" style="343" customWidth="1"/>
    <col min="3332" max="3332" width="6.44140625" style="343" customWidth="1"/>
    <col min="3333" max="3336" width="7.109375" style="343" customWidth="1"/>
    <col min="3337" max="3337" width="7.44140625" style="343" customWidth="1"/>
    <col min="3338" max="3338" width="7.88671875" style="343" customWidth="1"/>
    <col min="3339" max="3340" width="6.88671875" style="343" customWidth="1"/>
    <col min="3341" max="3344" width="7.109375" style="343" customWidth="1"/>
    <col min="3345" max="3345" width="7.44140625" style="343" customWidth="1"/>
    <col min="3346" max="3346" width="7.109375" style="343" customWidth="1"/>
    <col min="3347" max="3347" width="5.21875" style="343" customWidth="1"/>
    <col min="3348" max="3356" width="10.6640625" style="343" customWidth="1"/>
    <col min="3357" max="3360" width="8.6640625" style="343" customWidth="1"/>
    <col min="3361" max="3562" width="9" style="343"/>
    <col min="3563" max="3563" width="5.44140625" style="343" customWidth="1"/>
    <col min="3564" max="3564" width="7.44140625" style="343" customWidth="1"/>
    <col min="3565" max="3565" width="8.109375" style="343" customWidth="1"/>
    <col min="3566" max="3566" width="8.33203125" style="343" customWidth="1"/>
    <col min="3567" max="3568" width="5" style="343" customWidth="1"/>
    <col min="3569" max="3569" width="5.33203125" style="343" customWidth="1"/>
    <col min="3570" max="3570" width="6" style="343" customWidth="1"/>
    <col min="3571" max="3572" width="6.6640625" style="343" customWidth="1"/>
    <col min="3573" max="3573" width="7.77734375" style="343" customWidth="1"/>
    <col min="3574" max="3574" width="7.6640625" style="343" customWidth="1"/>
    <col min="3575" max="3575" width="6.6640625" style="343" customWidth="1"/>
    <col min="3576" max="3576" width="5.109375" style="343" customWidth="1"/>
    <col min="3577" max="3577" width="5.33203125" style="343" customWidth="1"/>
    <col min="3578" max="3578" width="5.44140625" style="343" customWidth="1"/>
    <col min="3579" max="3582" width="6.6640625" style="343" customWidth="1"/>
    <col min="3583" max="3583" width="6.77734375" style="343" customWidth="1"/>
    <col min="3584" max="3584" width="5.109375" style="343" customWidth="1"/>
    <col min="3585" max="3585" width="7.109375" style="343" customWidth="1"/>
    <col min="3586" max="3586" width="6.109375" style="343" customWidth="1"/>
    <col min="3587" max="3587" width="7.109375" style="343" customWidth="1"/>
    <col min="3588" max="3588" width="6.44140625" style="343" customWidth="1"/>
    <col min="3589" max="3592" width="7.109375" style="343" customWidth="1"/>
    <col min="3593" max="3593" width="7.44140625" style="343" customWidth="1"/>
    <col min="3594" max="3594" width="7.88671875" style="343" customWidth="1"/>
    <col min="3595" max="3596" width="6.88671875" style="343" customWidth="1"/>
    <col min="3597" max="3600" width="7.109375" style="343" customWidth="1"/>
    <col min="3601" max="3601" width="7.44140625" style="343" customWidth="1"/>
    <col min="3602" max="3602" width="7.109375" style="343" customWidth="1"/>
    <col min="3603" max="3603" width="5.21875" style="343" customWidth="1"/>
    <col min="3604" max="3612" width="10.6640625" style="343" customWidth="1"/>
    <col min="3613" max="3616" width="8.6640625" style="343" customWidth="1"/>
    <col min="3617" max="3818" width="9" style="343"/>
    <col min="3819" max="3819" width="5.44140625" style="343" customWidth="1"/>
    <col min="3820" max="3820" width="7.44140625" style="343" customWidth="1"/>
    <col min="3821" max="3821" width="8.109375" style="343" customWidth="1"/>
    <col min="3822" max="3822" width="8.33203125" style="343" customWidth="1"/>
    <col min="3823" max="3824" width="5" style="343" customWidth="1"/>
    <col min="3825" max="3825" width="5.33203125" style="343" customWidth="1"/>
    <col min="3826" max="3826" width="6" style="343" customWidth="1"/>
    <col min="3827" max="3828" width="6.6640625" style="343" customWidth="1"/>
    <col min="3829" max="3829" width="7.77734375" style="343" customWidth="1"/>
    <col min="3830" max="3830" width="7.6640625" style="343" customWidth="1"/>
    <col min="3831" max="3831" width="6.6640625" style="343" customWidth="1"/>
    <col min="3832" max="3832" width="5.109375" style="343" customWidth="1"/>
    <col min="3833" max="3833" width="5.33203125" style="343" customWidth="1"/>
    <col min="3834" max="3834" width="5.44140625" style="343" customWidth="1"/>
    <col min="3835" max="3838" width="6.6640625" style="343" customWidth="1"/>
    <col min="3839" max="3839" width="6.77734375" style="343" customWidth="1"/>
    <col min="3840" max="3840" width="5.109375" style="343" customWidth="1"/>
    <col min="3841" max="3841" width="7.109375" style="343" customWidth="1"/>
    <col min="3842" max="3842" width="6.109375" style="343" customWidth="1"/>
    <col min="3843" max="3843" width="7.109375" style="343" customWidth="1"/>
    <col min="3844" max="3844" width="6.44140625" style="343" customWidth="1"/>
    <col min="3845" max="3848" width="7.109375" style="343" customWidth="1"/>
    <col min="3849" max="3849" width="7.44140625" style="343" customWidth="1"/>
    <col min="3850" max="3850" width="7.88671875" style="343" customWidth="1"/>
    <col min="3851" max="3852" width="6.88671875" style="343" customWidth="1"/>
    <col min="3853" max="3856" width="7.109375" style="343" customWidth="1"/>
    <col min="3857" max="3857" width="7.44140625" style="343" customWidth="1"/>
    <col min="3858" max="3858" width="7.109375" style="343" customWidth="1"/>
    <col min="3859" max="3859" width="5.21875" style="343" customWidth="1"/>
    <col min="3860" max="3868" width="10.6640625" style="343" customWidth="1"/>
    <col min="3869" max="3872" width="8.6640625" style="343" customWidth="1"/>
    <col min="3873" max="4074" width="9" style="343"/>
    <col min="4075" max="4075" width="5.44140625" style="343" customWidth="1"/>
    <col min="4076" max="4076" width="7.44140625" style="343" customWidth="1"/>
    <col min="4077" max="4077" width="8.109375" style="343" customWidth="1"/>
    <col min="4078" max="4078" width="8.33203125" style="343" customWidth="1"/>
    <col min="4079" max="4080" width="5" style="343" customWidth="1"/>
    <col min="4081" max="4081" width="5.33203125" style="343" customWidth="1"/>
    <col min="4082" max="4082" width="6" style="343" customWidth="1"/>
    <col min="4083" max="4084" width="6.6640625" style="343" customWidth="1"/>
    <col min="4085" max="4085" width="7.77734375" style="343" customWidth="1"/>
    <col min="4086" max="4086" width="7.6640625" style="343" customWidth="1"/>
    <col min="4087" max="4087" width="6.6640625" style="343" customWidth="1"/>
    <col min="4088" max="4088" width="5.109375" style="343" customWidth="1"/>
    <col min="4089" max="4089" width="5.33203125" style="343" customWidth="1"/>
    <col min="4090" max="4090" width="5.44140625" style="343" customWidth="1"/>
    <col min="4091" max="4094" width="6.6640625" style="343" customWidth="1"/>
    <col min="4095" max="4095" width="6.77734375" style="343" customWidth="1"/>
    <col min="4096" max="4096" width="5.109375" style="343" customWidth="1"/>
    <col min="4097" max="4097" width="7.109375" style="343" customWidth="1"/>
    <col min="4098" max="4098" width="6.109375" style="343" customWidth="1"/>
    <col min="4099" max="4099" width="7.109375" style="343" customWidth="1"/>
    <col min="4100" max="4100" width="6.44140625" style="343" customWidth="1"/>
    <col min="4101" max="4104" width="7.109375" style="343" customWidth="1"/>
    <col min="4105" max="4105" width="7.44140625" style="343" customWidth="1"/>
    <col min="4106" max="4106" width="7.88671875" style="343" customWidth="1"/>
    <col min="4107" max="4108" width="6.88671875" style="343" customWidth="1"/>
    <col min="4109" max="4112" width="7.109375" style="343" customWidth="1"/>
    <col min="4113" max="4113" width="7.44140625" style="343" customWidth="1"/>
    <col min="4114" max="4114" width="7.109375" style="343" customWidth="1"/>
    <col min="4115" max="4115" width="5.21875" style="343" customWidth="1"/>
    <col min="4116" max="4124" width="10.6640625" style="343" customWidth="1"/>
    <col min="4125" max="4128" width="8.6640625" style="343" customWidth="1"/>
    <col min="4129" max="4330" width="9" style="343"/>
    <col min="4331" max="4331" width="5.44140625" style="343" customWidth="1"/>
    <col min="4332" max="4332" width="7.44140625" style="343" customWidth="1"/>
    <col min="4333" max="4333" width="8.109375" style="343" customWidth="1"/>
    <col min="4334" max="4334" width="8.33203125" style="343" customWidth="1"/>
    <col min="4335" max="4336" width="5" style="343" customWidth="1"/>
    <col min="4337" max="4337" width="5.33203125" style="343" customWidth="1"/>
    <col min="4338" max="4338" width="6" style="343" customWidth="1"/>
    <col min="4339" max="4340" width="6.6640625" style="343" customWidth="1"/>
    <col min="4341" max="4341" width="7.77734375" style="343" customWidth="1"/>
    <col min="4342" max="4342" width="7.6640625" style="343" customWidth="1"/>
    <col min="4343" max="4343" width="6.6640625" style="343" customWidth="1"/>
    <col min="4344" max="4344" width="5.109375" style="343" customWidth="1"/>
    <col min="4345" max="4345" width="5.33203125" style="343" customWidth="1"/>
    <col min="4346" max="4346" width="5.44140625" style="343" customWidth="1"/>
    <col min="4347" max="4350" width="6.6640625" style="343" customWidth="1"/>
    <col min="4351" max="4351" width="6.77734375" style="343" customWidth="1"/>
    <col min="4352" max="4352" width="5.109375" style="343" customWidth="1"/>
    <col min="4353" max="4353" width="7.109375" style="343" customWidth="1"/>
    <col min="4354" max="4354" width="6.109375" style="343" customWidth="1"/>
    <col min="4355" max="4355" width="7.109375" style="343" customWidth="1"/>
    <col min="4356" max="4356" width="6.44140625" style="343" customWidth="1"/>
    <col min="4357" max="4360" width="7.109375" style="343" customWidth="1"/>
    <col min="4361" max="4361" width="7.44140625" style="343" customWidth="1"/>
    <col min="4362" max="4362" width="7.88671875" style="343" customWidth="1"/>
    <col min="4363" max="4364" width="6.88671875" style="343" customWidth="1"/>
    <col min="4365" max="4368" width="7.109375" style="343" customWidth="1"/>
    <col min="4369" max="4369" width="7.44140625" style="343" customWidth="1"/>
    <col min="4370" max="4370" width="7.109375" style="343" customWidth="1"/>
    <col min="4371" max="4371" width="5.21875" style="343" customWidth="1"/>
    <col min="4372" max="4380" width="10.6640625" style="343" customWidth="1"/>
    <col min="4381" max="4384" width="8.6640625" style="343" customWidth="1"/>
    <col min="4385" max="4586" width="9" style="343"/>
    <col min="4587" max="4587" width="5.44140625" style="343" customWidth="1"/>
    <col min="4588" max="4588" width="7.44140625" style="343" customWidth="1"/>
    <col min="4589" max="4589" width="8.109375" style="343" customWidth="1"/>
    <col min="4590" max="4590" width="8.33203125" style="343" customWidth="1"/>
    <col min="4591" max="4592" width="5" style="343" customWidth="1"/>
    <col min="4593" max="4593" width="5.33203125" style="343" customWidth="1"/>
    <col min="4594" max="4594" width="6" style="343" customWidth="1"/>
    <col min="4595" max="4596" width="6.6640625" style="343" customWidth="1"/>
    <col min="4597" max="4597" width="7.77734375" style="343" customWidth="1"/>
    <col min="4598" max="4598" width="7.6640625" style="343" customWidth="1"/>
    <col min="4599" max="4599" width="6.6640625" style="343" customWidth="1"/>
    <col min="4600" max="4600" width="5.109375" style="343" customWidth="1"/>
    <col min="4601" max="4601" width="5.33203125" style="343" customWidth="1"/>
    <col min="4602" max="4602" width="5.44140625" style="343" customWidth="1"/>
    <col min="4603" max="4606" width="6.6640625" style="343" customWidth="1"/>
    <col min="4607" max="4607" width="6.77734375" style="343" customWidth="1"/>
    <col min="4608" max="4608" width="5.109375" style="343" customWidth="1"/>
    <col min="4609" max="4609" width="7.109375" style="343" customWidth="1"/>
    <col min="4610" max="4610" width="6.109375" style="343" customWidth="1"/>
    <col min="4611" max="4611" width="7.109375" style="343" customWidth="1"/>
    <col min="4612" max="4612" width="6.44140625" style="343" customWidth="1"/>
    <col min="4613" max="4616" width="7.109375" style="343" customWidth="1"/>
    <col min="4617" max="4617" width="7.44140625" style="343" customWidth="1"/>
    <col min="4618" max="4618" width="7.88671875" style="343" customWidth="1"/>
    <col min="4619" max="4620" width="6.88671875" style="343" customWidth="1"/>
    <col min="4621" max="4624" width="7.109375" style="343" customWidth="1"/>
    <col min="4625" max="4625" width="7.44140625" style="343" customWidth="1"/>
    <col min="4626" max="4626" width="7.109375" style="343" customWidth="1"/>
    <col min="4627" max="4627" width="5.21875" style="343" customWidth="1"/>
    <col min="4628" max="4636" width="10.6640625" style="343" customWidth="1"/>
    <col min="4637" max="4640" width="8.6640625" style="343" customWidth="1"/>
    <col min="4641" max="4842" width="9" style="343"/>
    <col min="4843" max="4843" width="5.44140625" style="343" customWidth="1"/>
    <col min="4844" max="4844" width="7.44140625" style="343" customWidth="1"/>
    <col min="4845" max="4845" width="8.109375" style="343" customWidth="1"/>
    <col min="4846" max="4846" width="8.33203125" style="343" customWidth="1"/>
    <col min="4847" max="4848" width="5" style="343" customWidth="1"/>
    <col min="4849" max="4849" width="5.33203125" style="343" customWidth="1"/>
    <col min="4850" max="4850" width="6" style="343" customWidth="1"/>
    <col min="4851" max="4852" width="6.6640625" style="343" customWidth="1"/>
    <col min="4853" max="4853" width="7.77734375" style="343" customWidth="1"/>
    <col min="4854" max="4854" width="7.6640625" style="343" customWidth="1"/>
    <col min="4855" max="4855" width="6.6640625" style="343" customWidth="1"/>
    <col min="4856" max="4856" width="5.109375" style="343" customWidth="1"/>
    <col min="4857" max="4857" width="5.33203125" style="343" customWidth="1"/>
    <col min="4858" max="4858" width="5.44140625" style="343" customWidth="1"/>
    <col min="4859" max="4862" width="6.6640625" style="343" customWidth="1"/>
    <col min="4863" max="4863" width="6.77734375" style="343" customWidth="1"/>
    <col min="4864" max="4864" width="5.109375" style="343" customWidth="1"/>
    <col min="4865" max="4865" width="7.109375" style="343" customWidth="1"/>
    <col min="4866" max="4866" width="6.109375" style="343" customWidth="1"/>
    <col min="4867" max="4867" width="7.109375" style="343" customWidth="1"/>
    <col min="4868" max="4868" width="6.44140625" style="343" customWidth="1"/>
    <col min="4869" max="4872" width="7.109375" style="343" customWidth="1"/>
    <col min="4873" max="4873" width="7.44140625" style="343" customWidth="1"/>
    <col min="4874" max="4874" width="7.88671875" style="343" customWidth="1"/>
    <col min="4875" max="4876" width="6.88671875" style="343" customWidth="1"/>
    <col min="4877" max="4880" width="7.109375" style="343" customWidth="1"/>
    <col min="4881" max="4881" width="7.44140625" style="343" customWidth="1"/>
    <col min="4882" max="4882" width="7.109375" style="343" customWidth="1"/>
    <col min="4883" max="4883" width="5.21875" style="343" customWidth="1"/>
    <col min="4884" max="4892" width="10.6640625" style="343" customWidth="1"/>
    <col min="4893" max="4896" width="8.6640625" style="343" customWidth="1"/>
    <col min="4897" max="5098" width="9" style="343"/>
    <col min="5099" max="5099" width="5.44140625" style="343" customWidth="1"/>
    <col min="5100" max="5100" width="7.44140625" style="343" customWidth="1"/>
    <col min="5101" max="5101" width="8.109375" style="343" customWidth="1"/>
    <col min="5102" max="5102" width="8.33203125" style="343" customWidth="1"/>
    <col min="5103" max="5104" width="5" style="343" customWidth="1"/>
    <col min="5105" max="5105" width="5.33203125" style="343" customWidth="1"/>
    <col min="5106" max="5106" width="6" style="343" customWidth="1"/>
    <col min="5107" max="5108" width="6.6640625" style="343" customWidth="1"/>
    <col min="5109" max="5109" width="7.77734375" style="343" customWidth="1"/>
    <col min="5110" max="5110" width="7.6640625" style="343" customWidth="1"/>
    <col min="5111" max="5111" width="6.6640625" style="343" customWidth="1"/>
    <col min="5112" max="5112" width="5.109375" style="343" customWidth="1"/>
    <col min="5113" max="5113" width="5.33203125" style="343" customWidth="1"/>
    <col min="5114" max="5114" width="5.44140625" style="343" customWidth="1"/>
    <col min="5115" max="5118" width="6.6640625" style="343" customWidth="1"/>
    <col min="5119" max="5119" width="6.77734375" style="343" customWidth="1"/>
    <col min="5120" max="5120" width="5.109375" style="343" customWidth="1"/>
    <col min="5121" max="5121" width="7.109375" style="343" customWidth="1"/>
    <col min="5122" max="5122" width="6.109375" style="343" customWidth="1"/>
    <col min="5123" max="5123" width="7.109375" style="343" customWidth="1"/>
    <col min="5124" max="5124" width="6.44140625" style="343" customWidth="1"/>
    <col min="5125" max="5128" width="7.109375" style="343" customWidth="1"/>
    <col min="5129" max="5129" width="7.44140625" style="343" customWidth="1"/>
    <col min="5130" max="5130" width="7.88671875" style="343" customWidth="1"/>
    <col min="5131" max="5132" width="6.88671875" style="343" customWidth="1"/>
    <col min="5133" max="5136" width="7.109375" style="343" customWidth="1"/>
    <col min="5137" max="5137" width="7.44140625" style="343" customWidth="1"/>
    <col min="5138" max="5138" width="7.109375" style="343" customWidth="1"/>
    <col min="5139" max="5139" width="5.21875" style="343" customWidth="1"/>
    <col min="5140" max="5148" width="10.6640625" style="343" customWidth="1"/>
    <col min="5149" max="5152" width="8.6640625" style="343" customWidth="1"/>
    <col min="5153" max="5354" width="9" style="343"/>
    <col min="5355" max="5355" width="5.44140625" style="343" customWidth="1"/>
    <col min="5356" max="5356" width="7.44140625" style="343" customWidth="1"/>
    <col min="5357" max="5357" width="8.109375" style="343" customWidth="1"/>
    <col min="5358" max="5358" width="8.33203125" style="343" customWidth="1"/>
    <col min="5359" max="5360" width="5" style="343" customWidth="1"/>
    <col min="5361" max="5361" width="5.33203125" style="343" customWidth="1"/>
    <col min="5362" max="5362" width="6" style="343" customWidth="1"/>
    <col min="5363" max="5364" width="6.6640625" style="343" customWidth="1"/>
    <col min="5365" max="5365" width="7.77734375" style="343" customWidth="1"/>
    <col min="5366" max="5366" width="7.6640625" style="343" customWidth="1"/>
    <col min="5367" max="5367" width="6.6640625" style="343" customWidth="1"/>
    <col min="5368" max="5368" width="5.109375" style="343" customWidth="1"/>
    <col min="5369" max="5369" width="5.33203125" style="343" customWidth="1"/>
    <col min="5370" max="5370" width="5.44140625" style="343" customWidth="1"/>
    <col min="5371" max="5374" width="6.6640625" style="343" customWidth="1"/>
    <col min="5375" max="5375" width="6.77734375" style="343" customWidth="1"/>
    <col min="5376" max="5376" width="5.109375" style="343" customWidth="1"/>
    <col min="5377" max="5377" width="7.109375" style="343" customWidth="1"/>
    <col min="5378" max="5378" width="6.109375" style="343" customWidth="1"/>
    <col min="5379" max="5379" width="7.109375" style="343" customWidth="1"/>
    <col min="5380" max="5380" width="6.44140625" style="343" customWidth="1"/>
    <col min="5381" max="5384" width="7.109375" style="343" customWidth="1"/>
    <col min="5385" max="5385" width="7.44140625" style="343" customWidth="1"/>
    <col min="5386" max="5386" width="7.88671875" style="343" customWidth="1"/>
    <col min="5387" max="5388" width="6.88671875" style="343" customWidth="1"/>
    <col min="5389" max="5392" width="7.109375" style="343" customWidth="1"/>
    <col min="5393" max="5393" width="7.44140625" style="343" customWidth="1"/>
    <col min="5394" max="5394" width="7.109375" style="343" customWidth="1"/>
    <col min="5395" max="5395" width="5.21875" style="343" customWidth="1"/>
    <col min="5396" max="5404" width="10.6640625" style="343" customWidth="1"/>
    <col min="5405" max="5408" width="8.6640625" style="343" customWidth="1"/>
    <col min="5409" max="5610" width="9" style="343"/>
    <col min="5611" max="5611" width="5.44140625" style="343" customWidth="1"/>
    <col min="5612" max="5612" width="7.44140625" style="343" customWidth="1"/>
    <col min="5613" max="5613" width="8.109375" style="343" customWidth="1"/>
    <col min="5614" max="5614" width="8.33203125" style="343" customWidth="1"/>
    <col min="5615" max="5616" width="5" style="343" customWidth="1"/>
    <col min="5617" max="5617" width="5.33203125" style="343" customWidth="1"/>
    <col min="5618" max="5618" width="6" style="343" customWidth="1"/>
    <col min="5619" max="5620" width="6.6640625" style="343" customWidth="1"/>
    <col min="5621" max="5621" width="7.77734375" style="343" customWidth="1"/>
    <col min="5622" max="5622" width="7.6640625" style="343" customWidth="1"/>
    <col min="5623" max="5623" width="6.6640625" style="343" customWidth="1"/>
    <col min="5624" max="5624" width="5.109375" style="343" customWidth="1"/>
    <col min="5625" max="5625" width="5.33203125" style="343" customWidth="1"/>
    <col min="5626" max="5626" width="5.44140625" style="343" customWidth="1"/>
    <col min="5627" max="5630" width="6.6640625" style="343" customWidth="1"/>
    <col min="5631" max="5631" width="6.77734375" style="343" customWidth="1"/>
    <col min="5632" max="5632" width="5.109375" style="343" customWidth="1"/>
    <col min="5633" max="5633" width="7.109375" style="343" customWidth="1"/>
    <col min="5634" max="5634" width="6.109375" style="343" customWidth="1"/>
    <col min="5635" max="5635" width="7.109375" style="343" customWidth="1"/>
    <col min="5636" max="5636" width="6.44140625" style="343" customWidth="1"/>
    <col min="5637" max="5640" width="7.109375" style="343" customWidth="1"/>
    <col min="5641" max="5641" width="7.44140625" style="343" customWidth="1"/>
    <col min="5642" max="5642" width="7.88671875" style="343" customWidth="1"/>
    <col min="5643" max="5644" width="6.88671875" style="343" customWidth="1"/>
    <col min="5645" max="5648" width="7.109375" style="343" customWidth="1"/>
    <col min="5649" max="5649" width="7.44140625" style="343" customWidth="1"/>
    <col min="5650" max="5650" width="7.109375" style="343" customWidth="1"/>
    <col min="5651" max="5651" width="5.21875" style="343" customWidth="1"/>
    <col min="5652" max="5660" width="10.6640625" style="343" customWidth="1"/>
    <col min="5661" max="5664" width="8.6640625" style="343" customWidth="1"/>
    <col min="5665" max="5866" width="9" style="343"/>
    <col min="5867" max="5867" width="5.44140625" style="343" customWidth="1"/>
    <col min="5868" max="5868" width="7.44140625" style="343" customWidth="1"/>
    <col min="5869" max="5869" width="8.109375" style="343" customWidth="1"/>
    <col min="5870" max="5870" width="8.33203125" style="343" customWidth="1"/>
    <col min="5871" max="5872" width="5" style="343" customWidth="1"/>
    <col min="5873" max="5873" width="5.33203125" style="343" customWidth="1"/>
    <col min="5874" max="5874" width="6" style="343" customWidth="1"/>
    <col min="5875" max="5876" width="6.6640625" style="343" customWidth="1"/>
    <col min="5877" max="5877" width="7.77734375" style="343" customWidth="1"/>
    <col min="5878" max="5878" width="7.6640625" style="343" customWidth="1"/>
    <col min="5879" max="5879" width="6.6640625" style="343" customWidth="1"/>
    <col min="5880" max="5880" width="5.109375" style="343" customWidth="1"/>
    <col min="5881" max="5881" width="5.33203125" style="343" customWidth="1"/>
    <col min="5882" max="5882" width="5.44140625" style="343" customWidth="1"/>
    <col min="5883" max="5886" width="6.6640625" style="343" customWidth="1"/>
    <col min="5887" max="5887" width="6.77734375" style="343" customWidth="1"/>
    <col min="5888" max="5888" width="5.109375" style="343" customWidth="1"/>
    <col min="5889" max="5889" width="7.109375" style="343" customWidth="1"/>
    <col min="5890" max="5890" width="6.109375" style="343" customWidth="1"/>
    <col min="5891" max="5891" width="7.109375" style="343" customWidth="1"/>
    <col min="5892" max="5892" width="6.44140625" style="343" customWidth="1"/>
    <col min="5893" max="5896" width="7.109375" style="343" customWidth="1"/>
    <col min="5897" max="5897" width="7.44140625" style="343" customWidth="1"/>
    <col min="5898" max="5898" width="7.88671875" style="343" customWidth="1"/>
    <col min="5899" max="5900" width="6.88671875" style="343" customWidth="1"/>
    <col min="5901" max="5904" width="7.109375" style="343" customWidth="1"/>
    <col min="5905" max="5905" width="7.44140625" style="343" customWidth="1"/>
    <col min="5906" max="5906" width="7.109375" style="343" customWidth="1"/>
    <col min="5907" max="5907" width="5.21875" style="343" customWidth="1"/>
    <col min="5908" max="5916" width="10.6640625" style="343" customWidth="1"/>
    <col min="5917" max="5920" width="8.6640625" style="343" customWidth="1"/>
    <col min="5921" max="6122" width="9" style="343"/>
    <col min="6123" max="6123" width="5.44140625" style="343" customWidth="1"/>
    <col min="6124" max="6124" width="7.44140625" style="343" customWidth="1"/>
    <col min="6125" max="6125" width="8.109375" style="343" customWidth="1"/>
    <col min="6126" max="6126" width="8.33203125" style="343" customWidth="1"/>
    <col min="6127" max="6128" width="5" style="343" customWidth="1"/>
    <col min="6129" max="6129" width="5.33203125" style="343" customWidth="1"/>
    <col min="6130" max="6130" width="6" style="343" customWidth="1"/>
    <col min="6131" max="6132" width="6.6640625" style="343" customWidth="1"/>
    <col min="6133" max="6133" width="7.77734375" style="343" customWidth="1"/>
    <col min="6134" max="6134" width="7.6640625" style="343" customWidth="1"/>
    <col min="6135" max="6135" width="6.6640625" style="343" customWidth="1"/>
    <col min="6136" max="6136" width="5.109375" style="343" customWidth="1"/>
    <col min="6137" max="6137" width="5.33203125" style="343" customWidth="1"/>
    <col min="6138" max="6138" width="5.44140625" style="343" customWidth="1"/>
    <col min="6139" max="6142" width="6.6640625" style="343" customWidth="1"/>
    <col min="6143" max="6143" width="6.77734375" style="343" customWidth="1"/>
    <col min="6144" max="6144" width="5.109375" style="343" customWidth="1"/>
    <col min="6145" max="6145" width="7.109375" style="343" customWidth="1"/>
    <col min="6146" max="6146" width="6.109375" style="343" customWidth="1"/>
    <col min="6147" max="6147" width="7.109375" style="343" customWidth="1"/>
    <col min="6148" max="6148" width="6.44140625" style="343" customWidth="1"/>
    <col min="6149" max="6152" width="7.109375" style="343" customWidth="1"/>
    <col min="6153" max="6153" width="7.44140625" style="343" customWidth="1"/>
    <col min="6154" max="6154" width="7.88671875" style="343" customWidth="1"/>
    <col min="6155" max="6156" width="6.88671875" style="343" customWidth="1"/>
    <col min="6157" max="6160" width="7.109375" style="343" customWidth="1"/>
    <col min="6161" max="6161" width="7.44140625" style="343" customWidth="1"/>
    <col min="6162" max="6162" width="7.109375" style="343" customWidth="1"/>
    <col min="6163" max="6163" width="5.21875" style="343" customWidth="1"/>
    <col min="6164" max="6172" width="10.6640625" style="343" customWidth="1"/>
    <col min="6173" max="6176" width="8.6640625" style="343" customWidth="1"/>
    <col min="6177" max="6378" width="9" style="343"/>
    <col min="6379" max="6379" width="5.44140625" style="343" customWidth="1"/>
    <col min="6380" max="6380" width="7.44140625" style="343" customWidth="1"/>
    <col min="6381" max="6381" width="8.109375" style="343" customWidth="1"/>
    <col min="6382" max="6382" width="8.33203125" style="343" customWidth="1"/>
    <col min="6383" max="6384" width="5" style="343" customWidth="1"/>
    <col min="6385" max="6385" width="5.33203125" style="343" customWidth="1"/>
    <col min="6386" max="6386" width="6" style="343" customWidth="1"/>
    <col min="6387" max="6388" width="6.6640625" style="343" customWidth="1"/>
    <col min="6389" max="6389" width="7.77734375" style="343" customWidth="1"/>
    <col min="6390" max="6390" width="7.6640625" style="343" customWidth="1"/>
    <col min="6391" max="6391" width="6.6640625" style="343" customWidth="1"/>
    <col min="6392" max="6392" width="5.109375" style="343" customWidth="1"/>
    <col min="6393" max="6393" width="5.33203125" style="343" customWidth="1"/>
    <col min="6394" max="6394" width="5.44140625" style="343" customWidth="1"/>
    <col min="6395" max="6398" width="6.6640625" style="343" customWidth="1"/>
    <col min="6399" max="6399" width="6.77734375" style="343" customWidth="1"/>
    <col min="6400" max="6400" width="5.109375" style="343" customWidth="1"/>
    <col min="6401" max="6401" width="7.109375" style="343" customWidth="1"/>
    <col min="6402" max="6402" width="6.109375" style="343" customWidth="1"/>
    <col min="6403" max="6403" width="7.109375" style="343" customWidth="1"/>
    <col min="6404" max="6404" width="6.44140625" style="343" customWidth="1"/>
    <col min="6405" max="6408" width="7.109375" style="343" customWidth="1"/>
    <col min="6409" max="6409" width="7.44140625" style="343" customWidth="1"/>
    <col min="6410" max="6410" width="7.88671875" style="343" customWidth="1"/>
    <col min="6411" max="6412" width="6.88671875" style="343" customWidth="1"/>
    <col min="6413" max="6416" width="7.109375" style="343" customWidth="1"/>
    <col min="6417" max="6417" width="7.44140625" style="343" customWidth="1"/>
    <col min="6418" max="6418" width="7.109375" style="343" customWidth="1"/>
    <col min="6419" max="6419" width="5.21875" style="343" customWidth="1"/>
    <col min="6420" max="6428" width="10.6640625" style="343" customWidth="1"/>
    <col min="6429" max="6432" width="8.6640625" style="343" customWidth="1"/>
    <col min="6433" max="6634" width="9" style="343"/>
    <col min="6635" max="6635" width="5.44140625" style="343" customWidth="1"/>
    <col min="6636" max="6636" width="7.44140625" style="343" customWidth="1"/>
    <col min="6637" max="6637" width="8.109375" style="343" customWidth="1"/>
    <col min="6638" max="6638" width="8.33203125" style="343" customWidth="1"/>
    <col min="6639" max="6640" width="5" style="343" customWidth="1"/>
    <col min="6641" max="6641" width="5.33203125" style="343" customWidth="1"/>
    <col min="6642" max="6642" width="6" style="343" customWidth="1"/>
    <col min="6643" max="6644" width="6.6640625" style="343" customWidth="1"/>
    <col min="6645" max="6645" width="7.77734375" style="343" customWidth="1"/>
    <col min="6646" max="6646" width="7.6640625" style="343" customWidth="1"/>
    <col min="6647" max="6647" width="6.6640625" style="343" customWidth="1"/>
    <col min="6648" max="6648" width="5.109375" style="343" customWidth="1"/>
    <col min="6649" max="6649" width="5.33203125" style="343" customWidth="1"/>
    <col min="6650" max="6650" width="5.44140625" style="343" customWidth="1"/>
    <col min="6651" max="6654" width="6.6640625" style="343" customWidth="1"/>
    <col min="6655" max="6655" width="6.77734375" style="343" customWidth="1"/>
    <col min="6656" max="6656" width="5.109375" style="343" customWidth="1"/>
    <col min="6657" max="6657" width="7.109375" style="343" customWidth="1"/>
    <col min="6658" max="6658" width="6.109375" style="343" customWidth="1"/>
    <col min="6659" max="6659" width="7.109375" style="343" customWidth="1"/>
    <col min="6660" max="6660" width="6.44140625" style="343" customWidth="1"/>
    <col min="6661" max="6664" width="7.109375" style="343" customWidth="1"/>
    <col min="6665" max="6665" width="7.44140625" style="343" customWidth="1"/>
    <col min="6666" max="6666" width="7.88671875" style="343" customWidth="1"/>
    <col min="6667" max="6668" width="6.88671875" style="343" customWidth="1"/>
    <col min="6669" max="6672" width="7.109375" style="343" customWidth="1"/>
    <col min="6673" max="6673" width="7.44140625" style="343" customWidth="1"/>
    <col min="6674" max="6674" width="7.109375" style="343" customWidth="1"/>
    <col min="6675" max="6675" width="5.21875" style="343" customWidth="1"/>
    <col min="6676" max="6684" width="10.6640625" style="343" customWidth="1"/>
    <col min="6685" max="6688" width="8.6640625" style="343" customWidth="1"/>
    <col min="6689" max="6890" width="9" style="343"/>
    <col min="6891" max="6891" width="5.44140625" style="343" customWidth="1"/>
    <col min="6892" max="6892" width="7.44140625" style="343" customWidth="1"/>
    <col min="6893" max="6893" width="8.109375" style="343" customWidth="1"/>
    <col min="6894" max="6894" width="8.33203125" style="343" customWidth="1"/>
    <col min="6895" max="6896" width="5" style="343" customWidth="1"/>
    <col min="6897" max="6897" width="5.33203125" style="343" customWidth="1"/>
    <col min="6898" max="6898" width="6" style="343" customWidth="1"/>
    <col min="6899" max="6900" width="6.6640625" style="343" customWidth="1"/>
    <col min="6901" max="6901" width="7.77734375" style="343" customWidth="1"/>
    <col min="6902" max="6902" width="7.6640625" style="343" customWidth="1"/>
    <col min="6903" max="6903" width="6.6640625" style="343" customWidth="1"/>
    <col min="6904" max="6904" width="5.109375" style="343" customWidth="1"/>
    <col min="6905" max="6905" width="5.33203125" style="343" customWidth="1"/>
    <col min="6906" max="6906" width="5.44140625" style="343" customWidth="1"/>
    <col min="6907" max="6910" width="6.6640625" style="343" customWidth="1"/>
    <col min="6911" max="6911" width="6.77734375" style="343" customWidth="1"/>
    <col min="6912" max="6912" width="5.109375" style="343" customWidth="1"/>
    <col min="6913" max="6913" width="7.109375" style="343" customWidth="1"/>
    <col min="6914" max="6914" width="6.109375" style="343" customWidth="1"/>
    <col min="6915" max="6915" width="7.109375" style="343" customWidth="1"/>
    <col min="6916" max="6916" width="6.44140625" style="343" customWidth="1"/>
    <col min="6917" max="6920" width="7.109375" style="343" customWidth="1"/>
    <col min="6921" max="6921" width="7.44140625" style="343" customWidth="1"/>
    <col min="6922" max="6922" width="7.88671875" style="343" customWidth="1"/>
    <col min="6923" max="6924" width="6.88671875" style="343" customWidth="1"/>
    <col min="6925" max="6928" width="7.109375" style="343" customWidth="1"/>
    <col min="6929" max="6929" width="7.44140625" style="343" customWidth="1"/>
    <col min="6930" max="6930" width="7.109375" style="343" customWidth="1"/>
    <col min="6931" max="6931" width="5.21875" style="343" customWidth="1"/>
    <col min="6932" max="6940" width="10.6640625" style="343" customWidth="1"/>
    <col min="6941" max="6944" width="8.6640625" style="343" customWidth="1"/>
    <col min="6945" max="7146" width="9" style="343"/>
    <col min="7147" max="7147" width="5.44140625" style="343" customWidth="1"/>
    <col min="7148" max="7148" width="7.44140625" style="343" customWidth="1"/>
    <col min="7149" max="7149" width="8.109375" style="343" customWidth="1"/>
    <col min="7150" max="7150" width="8.33203125" style="343" customWidth="1"/>
    <col min="7151" max="7152" width="5" style="343" customWidth="1"/>
    <col min="7153" max="7153" width="5.33203125" style="343" customWidth="1"/>
    <col min="7154" max="7154" width="6" style="343" customWidth="1"/>
    <col min="7155" max="7156" width="6.6640625" style="343" customWidth="1"/>
    <col min="7157" max="7157" width="7.77734375" style="343" customWidth="1"/>
    <col min="7158" max="7158" width="7.6640625" style="343" customWidth="1"/>
    <col min="7159" max="7159" width="6.6640625" style="343" customWidth="1"/>
    <col min="7160" max="7160" width="5.109375" style="343" customWidth="1"/>
    <col min="7161" max="7161" width="5.33203125" style="343" customWidth="1"/>
    <col min="7162" max="7162" width="5.44140625" style="343" customWidth="1"/>
    <col min="7163" max="7166" width="6.6640625" style="343" customWidth="1"/>
    <col min="7167" max="7167" width="6.77734375" style="343" customWidth="1"/>
    <col min="7168" max="7168" width="5.109375" style="343" customWidth="1"/>
    <col min="7169" max="7169" width="7.109375" style="343" customWidth="1"/>
    <col min="7170" max="7170" width="6.109375" style="343" customWidth="1"/>
    <col min="7171" max="7171" width="7.109375" style="343" customWidth="1"/>
    <col min="7172" max="7172" width="6.44140625" style="343" customWidth="1"/>
    <col min="7173" max="7176" width="7.109375" style="343" customWidth="1"/>
    <col min="7177" max="7177" width="7.44140625" style="343" customWidth="1"/>
    <col min="7178" max="7178" width="7.88671875" style="343" customWidth="1"/>
    <col min="7179" max="7180" width="6.88671875" style="343" customWidth="1"/>
    <col min="7181" max="7184" width="7.109375" style="343" customWidth="1"/>
    <col min="7185" max="7185" width="7.44140625" style="343" customWidth="1"/>
    <col min="7186" max="7186" width="7.109375" style="343" customWidth="1"/>
    <col min="7187" max="7187" width="5.21875" style="343" customWidth="1"/>
    <col min="7188" max="7196" width="10.6640625" style="343" customWidth="1"/>
    <col min="7197" max="7200" width="8.6640625" style="343" customWidth="1"/>
    <col min="7201" max="7402" width="9" style="343"/>
    <col min="7403" max="7403" width="5.44140625" style="343" customWidth="1"/>
    <col min="7404" max="7404" width="7.44140625" style="343" customWidth="1"/>
    <col min="7405" max="7405" width="8.109375" style="343" customWidth="1"/>
    <col min="7406" max="7406" width="8.33203125" style="343" customWidth="1"/>
    <col min="7407" max="7408" width="5" style="343" customWidth="1"/>
    <col min="7409" max="7409" width="5.33203125" style="343" customWidth="1"/>
    <col min="7410" max="7410" width="6" style="343" customWidth="1"/>
    <col min="7411" max="7412" width="6.6640625" style="343" customWidth="1"/>
    <col min="7413" max="7413" width="7.77734375" style="343" customWidth="1"/>
    <col min="7414" max="7414" width="7.6640625" style="343" customWidth="1"/>
    <col min="7415" max="7415" width="6.6640625" style="343" customWidth="1"/>
    <col min="7416" max="7416" width="5.109375" style="343" customWidth="1"/>
    <col min="7417" max="7417" width="5.33203125" style="343" customWidth="1"/>
    <col min="7418" max="7418" width="5.44140625" style="343" customWidth="1"/>
    <col min="7419" max="7422" width="6.6640625" style="343" customWidth="1"/>
    <col min="7423" max="7423" width="6.77734375" style="343" customWidth="1"/>
    <col min="7424" max="7424" width="5.109375" style="343" customWidth="1"/>
    <col min="7425" max="7425" width="7.109375" style="343" customWidth="1"/>
    <col min="7426" max="7426" width="6.109375" style="343" customWidth="1"/>
    <col min="7427" max="7427" width="7.109375" style="343" customWidth="1"/>
    <col min="7428" max="7428" width="6.44140625" style="343" customWidth="1"/>
    <col min="7429" max="7432" width="7.109375" style="343" customWidth="1"/>
    <col min="7433" max="7433" width="7.44140625" style="343" customWidth="1"/>
    <col min="7434" max="7434" width="7.88671875" style="343" customWidth="1"/>
    <col min="7435" max="7436" width="6.88671875" style="343" customWidth="1"/>
    <col min="7437" max="7440" width="7.109375" style="343" customWidth="1"/>
    <col min="7441" max="7441" width="7.44140625" style="343" customWidth="1"/>
    <col min="7442" max="7442" width="7.109375" style="343" customWidth="1"/>
    <col min="7443" max="7443" width="5.21875" style="343" customWidth="1"/>
    <col min="7444" max="7452" width="10.6640625" style="343" customWidth="1"/>
    <col min="7453" max="7456" width="8.6640625" style="343" customWidth="1"/>
    <col min="7457" max="7658" width="9" style="343"/>
    <col min="7659" max="7659" width="5.44140625" style="343" customWidth="1"/>
    <col min="7660" max="7660" width="7.44140625" style="343" customWidth="1"/>
    <col min="7661" max="7661" width="8.109375" style="343" customWidth="1"/>
    <col min="7662" max="7662" width="8.33203125" style="343" customWidth="1"/>
    <col min="7663" max="7664" width="5" style="343" customWidth="1"/>
    <col min="7665" max="7665" width="5.33203125" style="343" customWidth="1"/>
    <col min="7666" max="7666" width="6" style="343" customWidth="1"/>
    <col min="7667" max="7668" width="6.6640625" style="343" customWidth="1"/>
    <col min="7669" max="7669" width="7.77734375" style="343" customWidth="1"/>
    <col min="7670" max="7670" width="7.6640625" style="343" customWidth="1"/>
    <col min="7671" max="7671" width="6.6640625" style="343" customWidth="1"/>
    <col min="7672" max="7672" width="5.109375" style="343" customWidth="1"/>
    <col min="7673" max="7673" width="5.33203125" style="343" customWidth="1"/>
    <col min="7674" max="7674" width="5.44140625" style="343" customWidth="1"/>
    <col min="7675" max="7678" width="6.6640625" style="343" customWidth="1"/>
    <col min="7679" max="7679" width="6.77734375" style="343" customWidth="1"/>
    <col min="7680" max="7680" width="5.109375" style="343" customWidth="1"/>
    <col min="7681" max="7681" width="7.109375" style="343" customWidth="1"/>
    <col min="7682" max="7682" width="6.109375" style="343" customWidth="1"/>
    <col min="7683" max="7683" width="7.109375" style="343" customWidth="1"/>
    <col min="7684" max="7684" width="6.44140625" style="343" customWidth="1"/>
    <col min="7685" max="7688" width="7.109375" style="343" customWidth="1"/>
    <col min="7689" max="7689" width="7.44140625" style="343" customWidth="1"/>
    <col min="7690" max="7690" width="7.88671875" style="343" customWidth="1"/>
    <col min="7691" max="7692" width="6.88671875" style="343" customWidth="1"/>
    <col min="7693" max="7696" width="7.109375" style="343" customWidth="1"/>
    <col min="7697" max="7697" width="7.44140625" style="343" customWidth="1"/>
    <col min="7698" max="7698" width="7.109375" style="343" customWidth="1"/>
    <col min="7699" max="7699" width="5.21875" style="343" customWidth="1"/>
    <col min="7700" max="7708" width="10.6640625" style="343" customWidth="1"/>
    <col min="7709" max="7712" width="8.6640625" style="343" customWidth="1"/>
    <col min="7713" max="7914" width="9" style="343"/>
    <col min="7915" max="7915" width="5.44140625" style="343" customWidth="1"/>
    <col min="7916" max="7916" width="7.44140625" style="343" customWidth="1"/>
    <col min="7917" max="7917" width="8.109375" style="343" customWidth="1"/>
    <col min="7918" max="7918" width="8.33203125" style="343" customWidth="1"/>
    <col min="7919" max="7920" width="5" style="343" customWidth="1"/>
    <col min="7921" max="7921" width="5.33203125" style="343" customWidth="1"/>
    <col min="7922" max="7922" width="6" style="343" customWidth="1"/>
    <col min="7923" max="7924" width="6.6640625" style="343" customWidth="1"/>
    <col min="7925" max="7925" width="7.77734375" style="343" customWidth="1"/>
    <col min="7926" max="7926" width="7.6640625" style="343" customWidth="1"/>
    <col min="7927" max="7927" width="6.6640625" style="343" customWidth="1"/>
    <col min="7928" max="7928" width="5.109375" style="343" customWidth="1"/>
    <col min="7929" max="7929" width="5.33203125" style="343" customWidth="1"/>
    <col min="7930" max="7930" width="5.44140625" style="343" customWidth="1"/>
    <col min="7931" max="7934" width="6.6640625" style="343" customWidth="1"/>
    <col min="7935" max="7935" width="6.77734375" style="343" customWidth="1"/>
    <col min="7936" max="7936" width="5.109375" style="343" customWidth="1"/>
    <col min="7937" max="7937" width="7.109375" style="343" customWidth="1"/>
    <col min="7938" max="7938" width="6.109375" style="343" customWidth="1"/>
    <col min="7939" max="7939" width="7.109375" style="343" customWidth="1"/>
    <col min="7940" max="7940" width="6.44140625" style="343" customWidth="1"/>
    <col min="7941" max="7944" width="7.109375" style="343" customWidth="1"/>
    <col min="7945" max="7945" width="7.44140625" style="343" customWidth="1"/>
    <col min="7946" max="7946" width="7.88671875" style="343" customWidth="1"/>
    <col min="7947" max="7948" width="6.88671875" style="343" customWidth="1"/>
    <col min="7949" max="7952" width="7.109375" style="343" customWidth="1"/>
    <col min="7953" max="7953" width="7.44140625" style="343" customWidth="1"/>
    <col min="7954" max="7954" width="7.109375" style="343" customWidth="1"/>
    <col min="7955" max="7955" width="5.21875" style="343" customWidth="1"/>
    <col min="7956" max="7964" width="10.6640625" style="343" customWidth="1"/>
    <col min="7965" max="7968" width="8.6640625" style="343" customWidth="1"/>
    <col min="7969" max="8170" width="9" style="343"/>
    <col min="8171" max="8171" width="5.44140625" style="343" customWidth="1"/>
    <col min="8172" max="8172" width="7.44140625" style="343" customWidth="1"/>
    <col min="8173" max="8173" width="8.109375" style="343" customWidth="1"/>
    <col min="8174" max="8174" width="8.33203125" style="343" customWidth="1"/>
    <col min="8175" max="8176" width="5" style="343" customWidth="1"/>
    <col min="8177" max="8177" width="5.33203125" style="343" customWidth="1"/>
    <col min="8178" max="8178" width="6" style="343" customWidth="1"/>
    <col min="8179" max="8180" width="6.6640625" style="343" customWidth="1"/>
    <col min="8181" max="8181" width="7.77734375" style="343" customWidth="1"/>
    <col min="8182" max="8182" width="7.6640625" style="343" customWidth="1"/>
    <col min="8183" max="8183" width="6.6640625" style="343" customWidth="1"/>
    <col min="8184" max="8184" width="5.109375" style="343" customWidth="1"/>
    <col min="8185" max="8185" width="5.33203125" style="343" customWidth="1"/>
    <col min="8186" max="8186" width="5.44140625" style="343" customWidth="1"/>
    <col min="8187" max="8190" width="6.6640625" style="343" customWidth="1"/>
    <col min="8191" max="8191" width="6.77734375" style="343" customWidth="1"/>
    <col min="8192" max="8192" width="5.109375" style="343" customWidth="1"/>
    <col min="8193" max="8193" width="7.109375" style="343" customWidth="1"/>
    <col min="8194" max="8194" width="6.109375" style="343" customWidth="1"/>
    <col min="8195" max="8195" width="7.109375" style="343" customWidth="1"/>
    <col min="8196" max="8196" width="6.44140625" style="343" customWidth="1"/>
    <col min="8197" max="8200" width="7.109375" style="343" customWidth="1"/>
    <col min="8201" max="8201" width="7.44140625" style="343" customWidth="1"/>
    <col min="8202" max="8202" width="7.88671875" style="343" customWidth="1"/>
    <col min="8203" max="8204" width="6.88671875" style="343" customWidth="1"/>
    <col min="8205" max="8208" width="7.109375" style="343" customWidth="1"/>
    <col min="8209" max="8209" width="7.44140625" style="343" customWidth="1"/>
    <col min="8210" max="8210" width="7.109375" style="343" customWidth="1"/>
    <col min="8211" max="8211" width="5.21875" style="343" customWidth="1"/>
    <col min="8212" max="8220" width="10.6640625" style="343" customWidth="1"/>
    <col min="8221" max="8224" width="8.6640625" style="343" customWidth="1"/>
    <col min="8225" max="8426" width="9" style="343"/>
    <col min="8427" max="8427" width="5.44140625" style="343" customWidth="1"/>
    <col min="8428" max="8428" width="7.44140625" style="343" customWidth="1"/>
    <col min="8429" max="8429" width="8.109375" style="343" customWidth="1"/>
    <col min="8430" max="8430" width="8.33203125" style="343" customWidth="1"/>
    <col min="8431" max="8432" width="5" style="343" customWidth="1"/>
    <col min="8433" max="8433" width="5.33203125" style="343" customWidth="1"/>
    <col min="8434" max="8434" width="6" style="343" customWidth="1"/>
    <col min="8435" max="8436" width="6.6640625" style="343" customWidth="1"/>
    <col min="8437" max="8437" width="7.77734375" style="343" customWidth="1"/>
    <col min="8438" max="8438" width="7.6640625" style="343" customWidth="1"/>
    <col min="8439" max="8439" width="6.6640625" style="343" customWidth="1"/>
    <col min="8440" max="8440" width="5.109375" style="343" customWidth="1"/>
    <col min="8441" max="8441" width="5.33203125" style="343" customWidth="1"/>
    <col min="8442" max="8442" width="5.44140625" style="343" customWidth="1"/>
    <col min="8443" max="8446" width="6.6640625" style="343" customWidth="1"/>
    <col min="8447" max="8447" width="6.77734375" style="343" customWidth="1"/>
    <col min="8448" max="8448" width="5.109375" style="343" customWidth="1"/>
    <col min="8449" max="8449" width="7.109375" style="343" customWidth="1"/>
    <col min="8450" max="8450" width="6.109375" style="343" customWidth="1"/>
    <col min="8451" max="8451" width="7.109375" style="343" customWidth="1"/>
    <col min="8452" max="8452" width="6.44140625" style="343" customWidth="1"/>
    <col min="8453" max="8456" width="7.109375" style="343" customWidth="1"/>
    <col min="8457" max="8457" width="7.44140625" style="343" customWidth="1"/>
    <col min="8458" max="8458" width="7.88671875" style="343" customWidth="1"/>
    <col min="8459" max="8460" width="6.88671875" style="343" customWidth="1"/>
    <col min="8461" max="8464" width="7.109375" style="343" customWidth="1"/>
    <col min="8465" max="8465" width="7.44140625" style="343" customWidth="1"/>
    <col min="8466" max="8466" width="7.109375" style="343" customWidth="1"/>
    <col min="8467" max="8467" width="5.21875" style="343" customWidth="1"/>
    <col min="8468" max="8476" width="10.6640625" style="343" customWidth="1"/>
    <col min="8477" max="8480" width="8.6640625" style="343" customWidth="1"/>
    <col min="8481" max="8682" width="9" style="343"/>
    <col min="8683" max="8683" width="5.44140625" style="343" customWidth="1"/>
    <col min="8684" max="8684" width="7.44140625" style="343" customWidth="1"/>
    <col min="8685" max="8685" width="8.109375" style="343" customWidth="1"/>
    <col min="8686" max="8686" width="8.33203125" style="343" customWidth="1"/>
    <col min="8687" max="8688" width="5" style="343" customWidth="1"/>
    <col min="8689" max="8689" width="5.33203125" style="343" customWidth="1"/>
    <col min="8690" max="8690" width="6" style="343" customWidth="1"/>
    <col min="8691" max="8692" width="6.6640625" style="343" customWidth="1"/>
    <col min="8693" max="8693" width="7.77734375" style="343" customWidth="1"/>
    <col min="8694" max="8694" width="7.6640625" style="343" customWidth="1"/>
    <col min="8695" max="8695" width="6.6640625" style="343" customWidth="1"/>
    <col min="8696" max="8696" width="5.109375" style="343" customWidth="1"/>
    <col min="8697" max="8697" width="5.33203125" style="343" customWidth="1"/>
    <col min="8698" max="8698" width="5.44140625" style="343" customWidth="1"/>
    <col min="8699" max="8702" width="6.6640625" style="343" customWidth="1"/>
    <col min="8703" max="8703" width="6.77734375" style="343" customWidth="1"/>
    <col min="8704" max="8704" width="5.109375" style="343" customWidth="1"/>
    <col min="8705" max="8705" width="7.109375" style="343" customWidth="1"/>
    <col min="8706" max="8706" width="6.109375" style="343" customWidth="1"/>
    <col min="8707" max="8707" width="7.109375" style="343" customWidth="1"/>
    <col min="8708" max="8708" width="6.44140625" style="343" customWidth="1"/>
    <col min="8709" max="8712" width="7.109375" style="343" customWidth="1"/>
    <col min="8713" max="8713" width="7.44140625" style="343" customWidth="1"/>
    <col min="8714" max="8714" width="7.88671875" style="343" customWidth="1"/>
    <col min="8715" max="8716" width="6.88671875" style="343" customWidth="1"/>
    <col min="8717" max="8720" width="7.109375" style="343" customWidth="1"/>
    <col min="8721" max="8721" width="7.44140625" style="343" customWidth="1"/>
    <col min="8722" max="8722" width="7.109375" style="343" customWidth="1"/>
    <col min="8723" max="8723" width="5.21875" style="343" customWidth="1"/>
    <col min="8724" max="8732" width="10.6640625" style="343" customWidth="1"/>
    <col min="8733" max="8736" width="8.6640625" style="343" customWidth="1"/>
    <col min="8737" max="8938" width="9" style="343"/>
    <col min="8939" max="8939" width="5.44140625" style="343" customWidth="1"/>
    <col min="8940" max="8940" width="7.44140625" style="343" customWidth="1"/>
    <col min="8941" max="8941" width="8.109375" style="343" customWidth="1"/>
    <col min="8942" max="8942" width="8.33203125" style="343" customWidth="1"/>
    <col min="8943" max="8944" width="5" style="343" customWidth="1"/>
    <col min="8945" max="8945" width="5.33203125" style="343" customWidth="1"/>
    <col min="8946" max="8946" width="6" style="343" customWidth="1"/>
    <col min="8947" max="8948" width="6.6640625" style="343" customWidth="1"/>
    <col min="8949" max="8949" width="7.77734375" style="343" customWidth="1"/>
    <col min="8950" max="8950" width="7.6640625" style="343" customWidth="1"/>
    <col min="8951" max="8951" width="6.6640625" style="343" customWidth="1"/>
    <col min="8952" max="8952" width="5.109375" style="343" customWidth="1"/>
    <col min="8953" max="8953" width="5.33203125" style="343" customWidth="1"/>
    <col min="8954" max="8954" width="5.44140625" style="343" customWidth="1"/>
    <col min="8955" max="8958" width="6.6640625" style="343" customWidth="1"/>
    <col min="8959" max="8959" width="6.77734375" style="343" customWidth="1"/>
    <col min="8960" max="8960" width="5.109375" style="343" customWidth="1"/>
    <col min="8961" max="8961" width="7.109375" style="343" customWidth="1"/>
    <col min="8962" max="8962" width="6.109375" style="343" customWidth="1"/>
    <col min="8963" max="8963" width="7.109375" style="343" customWidth="1"/>
    <col min="8964" max="8964" width="6.44140625" style="343" customWidth="1"/>
    <col min="8965" max="8968" width="7.109375" style="343" customWidth="1"/>
    <col min="8969" max="8969" width="7.44140625" style="343" customWidth="1"/>
    <col min="8970" max="8970" width="7.88671875" style="343" customWidth="1"/>
    <col min="8971" max="8972" width="6.88671875" style="343" customWidth="1"/>
    <col min="8973" max="8976" width="7.109375" style="343" customWidth="1"/>
    <col min="8977" max="8977" width="7.44140625" style="343" customWidth="1"/>
    <col min="8978" max="8978" width="7.109375" style="343" customWidth="1"/>
    <col min="8979" max="8979" width="5.21875" style="343" customWidth="1"/>
    <col min="8980" max="8988" width="10.6640625" style="343" customWidth="1"/>
    <col min="8989" max="8992" width="8.6640625" style="343" customWidth="1"/>
    <col min="8993" max="9194" width="9" style="343"/>
    <col min="9195" max="9195" width="5.44140625" style="343" customWidth="1"/>
    <col min="9196" max="9196" width="7.44140625" style="343" customWidth="1"/>
    <col min="9197" max="9197" width="8.109375" style="343" customWidth="1"/>
    <col min="9198" max="9198" width="8.33203125" style="343" customWidth="1"/>
    <col min="9199" max="9200" width="5" style="343" customWidth="1"/>
    <col min="9201" max="9201" width="5.33203125" style="343" customWidth="1"/>
    <col min="9202" max="9202" width="6" style="343" customWidth="1"/>
    <col min="9203" max="9204" width="6.6640625" style="343" customWidth="1"/>
    <col min="9205" max="9205" width="7.77734375" style="343" customWidth="1"/>
    <col min="9206" max="9206" width="7.6640625" style="343" customWidth="1"/>
    <col min="9207" max="9207" width="6.6640625" style="343" customWidth="1"/>
    <col min="9208" max="9208" width="5.109375" style="343" customWidth="1"/>
    <col min="9209" max="9209" width="5.33203125" style="343" customWidth="1"/>
    <col min="9210" max="9210" width="5.44140625" style="343" customWidth="1"/>
    <col min="9211" max="9214" width="6.6640625" style="343" customWidth="1"/>
    <col min="9215" max="9215" width="6.77734375" style="343" customWidth="1"/>
    <col min="9216" max="9216" width="5.109375" style="343" customWidth="1"/>
    <col min="9217" max="9217" width="7.109375" style="343" customWidth="1"/>
    <col min="9218" max="9218" width="6.109375" style="343" customWidth="1"/>
    <col min="9219" max="9219" width="7.109375" style="343" customWidth="1"/>
    <col min="9220" max="9220" width="6.44140625" style="343" customWidth="1"/>
    <col min="9221" max="9224" width="7.109375" style="343" customWidth="1"/>
    <col min="9225" max="9225" width="7.44140625" style="343" customWidth="1"/>
    <col min="9226" max="9226" width="7.88671875" style="343" customWidth="1"/>
    <col min="9227" max="9228" width="6.88671875" style="343" customWidth="1"/>
    <col min="9229" max="9232" width="7.109375" style="343" customWidth="1"/>
    <col min="9233" max="9233" width="7.44140625" style="343" customWidth="1"/>
    <col min="9234" max="9234" width="7.109375" style="343" customWidth="1"/>
    <col min="9235" max="9235" width="5.21875" style="343" customWidth="1"/>
    <col min="9236" max="9244" width="10.6640625" style="343" customWidth="1"/>
    <col min="9245" max="9248" width="8.6640625" style="343" customWidth="1"/>
    <col min="9249" max="9450" width="9" style="343"/>
    <col min="9451" max="9451" width="5.44140625" style="343" customWidth="1"/>
    <col min="9452" max="9452" width="7.44140625" style="343" customWidth="1"/>
    <col min="9453" max="9453" width="8.109375" style="343" customWidth="1"/>
    <col min="9454" max="9454" width="8.33203125" style="343" customWidth="1"/>
    <col min="9455" max="9456" width="5" style="343" customWidth="1"/>
    <col min="9457" max="9457" width="5.33203125" style="343" customWidth="1"/>
    <col min="9458" max="9458" width="6" style="343" customWidth="1"/>
    <col min="9459" max="9460" width="6.6640625" style="343" customWidth="1"/>
    <col min="9461" max="9461" width="7.77734375" style="343" customWidth="1"/>
    <col min="9462" max="9462" width="7.6640625" style="343" customWidth="1"/>
    <col min="9463" max="9463" width="6.6640625" style="343" customWidth="1"/>
    <col min="9464" max="9464" width="5.109375" style="343" customWidth="1"/>
    <col min="9465" max="9465" width="5.33203125" style="343" customWidth="1"/>
    <col min="9466" max="9466" width="5.44140625" style="343" customWidth="1"/>
    <col min="9467" max="9470" width="6.6640625" style="343" customWidth="1"/>
    <col min="9471" max="9471" width="6.77734375" style="343" customWidth="1"/>
    <col min="9472" max="9472" width="5.109375" style="343" customWidth="1"/>
    <col min="9473" max="9473" width="7.109375" style="343" customWidth="1"/>
    <col min="9474" max="9474" width="6.109375" style="343" customWidth="1"/>
    <col min="9475" max="9475" width="7.109375" style="343" customWidth="1"/>
    <col min="9476" max="9476" width="6.44140625" style="343" customWidth="1"/>
    <col min="9477" max="9480" width="7.109375" style="343" customWidth="1"/>
    <col min="9481" max="9481" width="7.44140625" style="343" customWidth="1"/>
    <col min="9482" max="9482" width="7.88671875" style="343" customWidth="1"/>
    <col min="9483" max="9484" width="6.88671875" style="343" customWidth="1"/>
    <col min="9485" max="9488" width="7.109375" style="343" customWidth="1"/>
    <col min="9489" max="9489" width="7.44140625" style="343" customWidth="1"/>
    <col min="9490" max="9490" width="7.109375" style="343" customWidth="1"/>
    <col min="9491" max="9491" width="5.21875" style="343" customWidth="1"/>
    <col min="9492" max="9500" width="10.6640625" style="343" customWidth="1"/>
    <col min="9501" max="9504" width="8.6640625" style="343" customWidth="1"/>
    <col min="9505" max="9706" width="9" style="343"/>
    <col min="9707" max="9707" width="5.44140625" style="343" customWidth="1"/>
    <col min="9708" max="9708" width="7.44140625" style="343" customWidth="1"/>
    <col min="9709" max="9709" width="8.109375" style="343" customWidth="1"/>
    <col min="9710" max="9710" width="8.33203125" style="343" customWidth="1"/>
    <col min="9711" max="9712" width="5" style="343" customWidth="1"/>
    <col min="9713" max="9713" width="5.33203125" style="343" customWidth="1"/>
    <col min="9714" max="9714" width="6" style="343" customWidth="1"/>
    <col min="9715" max="9716" width="6.6640625" style="343" customWidth="1"/>
    <col min="9717" max="9717" width="7.77734375" style="343" customWidth="1"/>
    <col min="9718" max="9718" width="7.6640625" style="343" customWidth="1"/>
    <col min="9719" max="9719" width="6.6640625" style="343" customWidth="1"/>
    <col min="9720" max="9720" width="5.109375" style="343" customWidth="1"/>
    <col min="9721" max="9721" width="5.33203125" style="343" customWidth="1"/>
    <col min="9722" max="9722" width="5.44140625" style="343" customWidth="1"/>
    <col min="9723" max="9726" width="6.6640625" style="343" customWidth="1"/>
    <col min="9727" max="9727" width="6.77734375" style="343" customWidth="1"/>
    <col min="9728" max="9728" width="5.109375" style="343" customWidth="1"/>
    <col min="9729" max="9729" width="7.109375" style="343" customWidth="1"/>
    <col min="9730" max="9730" width="6.109375" style="343" customWidth="1"/>
    <col min="9731" max="9731" width="7.109375" style="343" customWidth="1"/>
    <col min="9732" max="9732" width="6.44140625" style="343" customWidth="1"/>
    <col min="9733" max="9736" width="7.109375" style="343" customWidth="1"/>
    <col min="9737" max="9737" width="7.44140625" style="343" customWidth="1"/>
    <col min="9738" max="9738" width="7.88671875" style="343" customWidth="1"/>
    <col min="9739" max="9740" width="6.88671875" style="343" customWidth="1"/>
    <col min="9741" max="9744" width="7.109375" style="343" customWidth="1"/>
    <col min="9745" max="9745" width="7.44140625" style="343" customWidth="1"/>
    <col min="9746" max="9746" width="7.109375" style="343" customWidth="1"/>
    <col min="9747" max="9747" width="5.21875" style="343" customWidth="1"/>
    <col min="9748" max="9756" width="10.6640625" style="343" customWidth="1"/>
    <col min="9757" max="9760" width="8.6640625" style="343" customWidth="1"/>
    <col min="9761" max="9962" width="9" style="343"/>
    <col min="9963" max="9963" width="5.44140625" style="343" customWidth="1"/>
    <col min="9964" max="9964" width="7.44140625" style="343" customWidth="1"/>
    <col min="9965" max="9965" width="8.109375" style="343" customWidth="1"/>
    <col min="9966" max="9966" width="8.33203125" style="343" customWidth="1"/>
    <col min="9967" max="9968" width="5" style="343" customWidth="1"/>
    <col min="9969" max="9969" width="5.33203125" style="343" customWidth="1"/>
    <col min="9970" max="9970" width="6" style="343" customWidth="1"/>
    <col min="9971" max="9972" width="6.6640625" style="343" customWidth="1"/>
    <col min="9973" max="9973" width="7.77734375" style="343" customWidth="1"/>
    <col min="9974" max="9974" width="7.6640625" style="343" customWidth="1"/>
    <col min="9975" max="9975" width="6.6640625" style="343" customWidth="1"/>
    <col min="9976" max="9976" width="5.109375" style="343" customWidth="1"/>
    <col min="9977" max="9977" width="5.33203125" style="343" customWidth="1"/>
    <col min="9978" max="9978" width="5.44140625" style="343" customWidth="1"/>
    <col min="9979" max="9982" width="6.6640625" style="343" customWidth="1"/>
    <col min="9983" max="9983" width="6.77734375" style="343" customWidth="1"/>
    <col min="9984" max="9984" width="5.109375" style="343" customWidth="1"/>
    <col min="9985" max="9985" width="7.109375" style="343" customWidth="1"/>
    <col min="9986" max="9986" width="6.109375" style="343" customWidth="1"/>
    <col min="9987" max="9987" width="7.109375" style="343" customWidth="1"/>
    <col min="9988" max="9988" width="6.44140625" style="343" customWidth="1"/>
    <col min="9989" max="9992" width="7.109375" style="343" customWidth="1"/>
    <col min="9993" max="9993" width="7.44140625" style="343" customWidth="1"/>
    <col min="9994" max="9994" width="7.88671875" style="343" customWidth="1"/>
    <col min="9995" max="9996" width="6.88671875" style="343" customWidth="1"/>
    <col min="9997" max="10000" width="7.109375" style="343" customWidth="1"/>
    <col min="10001" max="10001" width="7.44140625" style="343" customWidth="1"/>
    <col min="10002" max="10002" width="7.109375" style="343" customWidth="1"/>
    <col min="10003" max="10003" width="5.21875" style="343" customWidth="1"/>
    <col min="10004" max="10012" width="10.6640625" style="343" customWidth="1"/>
    <col min="10013" max="10016" width="8.6640625" style="343" customWidth="1"/>
    <col min="10017" max="10218" width="9" style="343"/>
    <col min="10219" max="10219" width="5.44140625" style="343" customWidth="1"/>
    <col min="10220" max="10220" width="7.44140625" style="343" customWidth="1"/>
    <col min="10221" max="10221" width="8.109375" style="343" customWidth="1"/>
    <col min="10222" max="10222" width="8.33203125" style="343" customWidth="1"/>
    <col min="10223" max="10224" width="5" style="343" customWidth="1"/>
    <col min="10225" max="10225" width="5.33203125" style="343" customWidth="1"/>
    <col min="10226" max="10226" width="6" style="343" customWidth="1"/>
    <col min="10227" max="10228" width="6.6640625" style="343" customWidth="1"/>
    <col min="10229" max="10229" width="7.77734375" style="343" customWidth="1"/>
    <col min="10230" max="10230" width="7.6640625" style="343" customWidth="1"/>
    <col min="10231" max="10231" width="6.6640625" style="343" customWidth="1"/>
    <col min="10232" max="10232" width="5.109375" style="343" customWidth="1"/>
    <col min="10233" max="10233" width="5.33203125" style="343" customWidth="1"/>
    <col min="10234" max="10234" width="5.44140625" style="343" customWidth="1"/>
    <col min="10235" max="10238" width="6.6640625" style="343" customWidth="1"/>
    <col min="10239" max="10239" width="6.77734375" style="343" customWidth="1"/>
    <col min="10240" max="10240" width="5.109375" style="343" customWidth="1"/>
    <col min="10241" max="10241" width="7.109375" style="343" customWidth="1"/>
    <col min="10242" max="10242" width="6.109375" style="343" customWidth="1"/>
    <col min="10243" max="10243" width="7.109375" style="343" customWidth="1"/>
    <col min="10244" max="10244" width="6.44140625" style="343" customWidth="1"/>
    <col min="10245" max="10248" width="7.109375" style="343" customWidth="1"/>
    <col min="10249" max="10249" width="7.44140625" style="343" customWidth="1"/>
    <col min="10250" max="10250" width="7.88671875" style="343" customWidth="1"/>
    <col min="10251" max="10252" width="6.88671875" style="343" customWidth="1"/>
    <col min="10253" max="10256" width="7.109375" style="343" customWidth="1"/>
    <col min="10257" max="10257" width="7.44140625" style="343" customWidth="1"/>
    <col min="10258" max="10258" width="7.109375" style="343" customWidth="1"/>
    <col min="10259" max="10259" width="5.21875" style="343" customWidth="1"/>
    <col min="10260" max="10268" width="10.6640625" style="343" customWidth="1"/>
    <col min="10269" max="10272" width="8.6640625" style="343" customWidth="1"/>
    <col min="10273" max="10474" width="9" style="343"/>
    <col min="10475" max="10475" width="5.44140625" style="343" customWidth="1"/>
    <col min="10476" max="10476" width="7.44140625" style="343" customWidth="1"/>
    <col min="10477" max="10477" width="8.109375" style="343" customWidth="1"/>
    <col min="10478" max="10478" width="8.33203125" style="343" customWidth="1"/>
    <col min="10479" max="10480" width="5" style="343" customWidth="1"/>
    <col min="10481" max="10481" width="5.33203125" style="343" customWidth="1"/>
    <col min="10482" max="10482" width="6" style="343" customWidth="1"/>
    <col min="10483" max="10484" width="6.6640625" style="343" customWidth="1"/>
    <col min="10485" max="10485" width="7.77734375" style="343" customWidth="1"/>
    <col min="10486" max="10486" width="7.6640625" style="343" customWidth="1"/>
    <col min="10487" max="10487" width="6.6640625" style="343" customWidth="1"/>
    <col min="10488" max="10488" width="5.109375" style="343" customWidth="1"/>
    <col min="10489" max="10489" width="5.33203125" style="343" customWidth="1"/>
    <col min="10490" max="10490" width="5.44140625" style="343" customWidth="1"/>
    <col min="10491" max="10494" width="6.6640625" style="343" customWidth="1"/>
    <col min="10495" max="10495" width="6.77734375" style="343" customWidth="1"/>
    <col min="10496" max="10496" width="5.109375" style="343" customWidth="1"/>
    <col min="10497" max="10497" width="7.109375" style="343" customWidth="1"/>
    <col min="10498" max="10498" width="6.109375" style="343" customWidth="1"/>
    <col min="10499" max="10499" width="7.109375" style="343" customWidth="1"/>
    <col min="10500" max="10500" width="6.44140625" style="343" customWidth="1"/>
    <col min="10501" max="10504" width="7.109375" style="343" customWidth="1"/>
    <col min="10505" max="10505" width="7.44140625" style="343" customWidth="1"/>
    <col min="10506" max="10506" width="7.88671875" style="343" customWidth="1"/>
    <col min="10507" max="10508" width="6.88671875" style="343" customWidth="1"/>
    <col min="10509" max="10512" width="7.109375" style="343" customWidth="1"/>
    <col min="10513" max="10513" width="7.44140625" style="343" customWidth="1"/>
    <col min="10514" max="10514" width="7.109375" style="343" customWidth="1"/>
    <col min="10515" max="10515" width="5.21875" style="343" customWidth="1"/>
    <col min="10516" max="10524" width="10.6640625" style="343" customWidth="1"/>
    <col min="10525" max="10528" width="8.6640625" style="343" customWidth="1"/>
    <col min="10529" max="10730" width="9" style="343"/>
    <col min="10731" max="10731" width="5.44140625" style="343" customWidth="1"/>
    <col min="10732" max="10732" width="7.44140625" style="343" customWidth="1"/>
    <col min="10733" max="10733" width="8.109375" style="343" customWidth="1"/>
    <col min="10734" max="10734" width="8.33203125" style="343" customWidth="1"/>
    <col min="10735" max="10736" width="5" style="343" customWidth="1"/>
    <col min="10737" max="10737" width="5.33203125" style="343" customWidth="1"/>
    <col min="10738" max="10738" width="6" style="343" customWidth="1"/>
    <col min="10739" max="10740" width="6.6640625" style="343" customWidth="1"/>
    <col min="10741" max="10741" width="7.77734375" style="343" customWidth="1"/>
    <col min="10742" max="10742" width="7.6640625" style="343" customWidth="1"/>
    <col min="10743" max="10743" width="6.6640625" style="343" customWidth="1"/>
    <col min="10744" max="10744" width="5.109375" style="343" customWidth="1"/>
    <col min="10745" max="10745" width="5.33203125" style="343" customWidth="1"/>
    <col min="10746" max="10746" width="5.44140625" style="343" customWidth="1"/>
    <col min="10747" max="10750" width="6.6640625" style="343" customWidth="1"/>
    <col min="10751" max="10751" width="6.77734375" style="343" customWidth="1"/>
    <col min="10752" max="10752" width="5.109375" style="343" customWidth="1"/>
    <col min="10753" max="10753" width="7.109375" style="343" customWidth="1"/>
    <col min="10754" max="10754" width="6.109375" style="343" customWidth="1"/>
    <col min="10755" max="10755" width="7.109375" style="343" customWidth="1"/>
    <col min="10756" max="10756" width="6.44140625" style="343" customWidth="1"/>
    <col min="10757" max="10760" width="7.109375" style="343" customWidth="1"/>
    <col min="10761" max="10761" width="7.44140625" style="343" customWidth="1"/>
    <col min="10762" max="10762" width="7.88671875" style="343" customWidth="1"/>
    <col min="10763" max="10764" width="6.88671875" style="343" customWidth="1"/>
    <col min="10765" max="10768" width="7.109375" style="343" customWidth="1"/>
    <col min="10769" max="10769" width="7.44140625" style="343" customWidth="1"/>
    <col min="10770" max="10770" width="7.109375" style="343" customWidth="1"/>
    <col min="10771" max="10771" width="5.21875" style="343" customWidth="1"/>
    <col min="10772" max="10780" width="10.6640625" style="343" customWidth="1"/>
    <col min="10781" max="10784" width="8.6640625" style="343" customWidth="1"/>
    <col min="10785" max="10986" width="9" style="343"/>
    <col min="10987" max="10987" width="5.44140625" style="343" customWidth="1"/>
    <col min="10988" max="10988" width="7.44140625" style="343" customWidth="1"/>
    <col min="10989" max="10989" width="8.109375" style="343" customWidth="1"/>
    <col min="10990" max="10990" width="8.33203125" style="343" customWidth="1"/>
    <col min="10991" max="10992" width="5" style="343" customWidth="1"/>
    <col min="10993" max="10993" width="5.33203125" style="343" customWidth="1"/>
    <col min="10994" max="10994" width="6" style="343" customWidth="1"/>
    <col min="10995" max="10996" width="6.6640625" style="343" customWidth="1"/>
    <col min="10997" max="10997" width="7.77734375" style="343" customWidth="1"/>
    <col min="10998" max="10998" width="7.6640625" style="343" customWidth="1"/>
    <col min="10999" max="10999" width="6.6640625" style="343" customWidth="1"/>
    <col min="11000" max="11000" width="5.109375" style="343" customWidth="1"/>
    <col min="11001" max="11001" width="5.33203125" style="343" customWidth="1"/>
    <col min="11002" max="11002" width="5.44140625" style="343" customWidth="1"/>
    <col min="11003" max="11006" width="6.6640625" style="343" customWidth="1"/>
    <col min="11007" max="11007" width="6.77734375" style="343" customWidth="1"/>
    <col min="11008" max="11008" width="5.109375" style="343" customWidth="1"/>
    <col min="11009" max="11009" width="7.109375" style="343" customWidth="1"/>
    <col min="11010" max="11010" width="6.109375" style="343" customWidth="1"/>
    <col min="11011" max="11011" width="7.109375" style="343" customWidth="1"/>
    <col min="11012" max="11012" width="6.44140625" style="343" customWidth="1"/>
    <col min="11013" max="11016" width="7.109375" style="343" customWidth="1"/>
    <col min="11017" max="11017" width="7.44140625" style="343" customWidth="1"/>
    <col min="11018" max="11018" width="7.88671875" style="343" customWidth="1"/>
    <col min="11019" max="11020" width="6.88671875" style="343" customWidth="1"/>
    <col min="11021" max="11024" width="7.109375" style="343" customWidth="1"/>
    <col min="11025" max="11025" width="7.44140625" style="343" customWidth="1"/>
    <col min="11026" max="11026" width="7.109375" style="343" customWidth="1"/>
    <col min="11027" max="11027" width="5.21875" style="343" customWidth="1"/>
    <col min="11028" max="11036" width="10.6640625" style="343" customWidth="1"/>
    <col min="11037" max="11040" width="8.6640625" style="343" customWidth="1"/>
    <col min="11041" max="11242" width="9" style="343"/>
    <col min="11243" max="11243" width="5.44140625" style="343" customWidth="1"/>
    <col min="11244" max="11244" width="7.44140625" style="343" customWidth="1"/>
    <col min="11245" max="11245" width="8.109375" style="343" customWidth="1"/>
    <col min="11246" max="11246" width="8.33203125" style="343" customWidth="1"/>
    <col min="11247" max="11248" width="5" style="343" customWidth="1"/>
    <col min="11249" max="11249" width="5.33203125" style="343" customWidth="1"/>
    <col min="11250" max="11250" width="6" style="343" customWidth="1"/>
    <col min="11251" max="11252" width="6.6640625" style="343" customWidth="1"/>
    <col min="11253" max="11253" width="7.77734375" style="343" customWidth="1"/>
    <col min="11254" max="11254" width="7.6640625" style="343" customWidth="1"/>
    <col min="11255" max="11255" width="6.6640625" style="343" customWidth="1"/>
    <col min="11256" max="11256" width="5.109375" style="343" customWidth="1"/>
    <col min="11257" max="11257" width="5.33203125" style="343" customWidth="1"/>
    <col min="11258" max="11258" width="5.44140625" style="343" customWidth="1"/>
    <col min="11259" max="11262" width="6.6640625" style="343" customWidth="1"/>
    <col min="11263" max="11263" width="6.77734375" style="343" customWidth="1"/>
    <col min="11264" max="11264" width="5.109375" style="343" customWidth="1"/>
    <col min="11265" max="11265" width="7.109375" style="343" customWidth="1"/>
    <col min="11266" max="11266" width="6.109375" style="343" customWidth="1"/>
    <col min="11267" max="11267" width="7.109375" style="343" customWidth="1"/>
    <col min="11268" max="11268" width="6.44140625" style="343" customWidth="1"/>
    <col min="11269" max="11272" width="7.109375" style="343" customWidth="1"/>
    <col min="11273" max="11273" width="7.44140625" style="343" customWidth="1"/>
    <col min="11274" max="11274" width="7.88671875" style="343" customWidth="1"/>
    <col min="11275" max="11276" width="6.88671875" style="343" customWidth="1"/>
    <col min="11277" max="11280" width="7.109375" style="343" customWidth="1"/>
    <col min="11281" max="11281" width="7.44140625" style="343" customWidth="1"/>
    <col min="11282" max="11282" width="7.109375" style="343" customWidth="1"/>
    <col min="11283" max="11283" width="5.21875" style="343" customWidth="1"/>
    <col min="11284" max="11292" width="10.6640625" style="343" customWidth="1"/>
    <col min="11293" max="11296" width="8.6640625" style="343" customWidth="1"/>
    <col min="11297" max="11498" width="9" style="343"/>
    <col min="11499" max="11499" width="5.44140625" style="343" customWidth="1"/>
    <col min="11500" max="11500" width="7.44140625" style="343" customWidth="1"/>
    <col min="11501" max="11501" width="8.109375" style="343" customWidth="1"/>
    <col min="11502" max="11502" width="8.33203125" style="343" customWidth="1"/>
    <col min="11503" max="11504" width="5" style="343" customWidth="1"/>
    <col min="11505" max="11505" width="5.33203125" style="343" customWidth="1"/>
    <col min="11506" max="11506" width="6" style="343" customWidth="1"/>
    <col min="11507" max="11508" width="6.6640625" style="343" customWidth="1"/>
    <col min="11509" max="11509" width="7.77734375" style="343" customWidth="1"/>
    <col min="11510" max="11510" width="7.6640625" style="343" customWidth="1"/>
    <col min="11511" max="11511" width="6.6640625" style="343" customWidth="1"/>
    <col min="11512" max="11512" width="5.109375" style="343" customWidth="1"/>
    <col min="11513" max="11513" width="5.33203125" style="343" customWidth="1"/>
    <col min="11514" max="11514" width="5.44140625" style="343" customWidth="1"/>
    <col min="11515" max="11518" width="6.6640625" style="343" customWidth="1"/>
    <col min="11519" max="11519" width="6.77734375" style="343" customWidth="1"/>
    <col min="11520" max="11520" width="5.109375" style="343" customWidth="1"/>
    <col min="11521" max="11521" width="7.109375" style="343" customWidth="1"/>
    <col min="11522" max="11522" width="6.109375" style="343" customWidth="1"/>
    <col min="11523" max="11523" width="7.109375" style="343" customWidth="1"/>
    <col min="11524" max="11524" width="6.44140625" style="343" customWidth="1"/>
    <col min="11525" max="11528" width="7.109375" style="343" customWidth="1"/>
    <col min="11529" max="11529" width="7.44140625" style="343" customWidth="1"/>
    <col min="11530" max="11530" width="7.88671875" style="343" customWidth="1"/>
    <col min="11531" max="11532" width="6.88671875" style="343" customWidth="1"/>
    <col min="11533" max="11536" width="7.109375" style="343" customWidth="1"/>
    <col min="11537" max="11537" width="7.44140625" style="343" customWidth="1"/>
    <col min="11538" max="11538" width="7.109375" style="343" customWidth="1"/>
    <col min="11539" max="11539" width="5.21875" style="343" customWidth="1"/>
    <col min="11540" max="11548" width="10.6640625" style="343" customWidth="1"/>
    <col min="11549" max="11552" width="8.6640625" style="343" customWidth="1"/>
    <col min="11553" max="11754" width="9" style="343"/>
    <col min="11755" max="11755" width="5.44140625" style="343" customWidth="1"/>
    <col min="11756" max="11756" width="7.44140625" style="343" customWidth="1"/>
    <col min="11757" max="11757" width="8.109375" style="343" customWidth="1"/>
    <col min="11758" max="11758" width="8.33203125" style="343" customWidth="1"/>
    <col min="11759" max="11760" width="5" style="343" customWidth="1"/>
    <col min="11761" max="11761" width="5.33203125" style="343" customWidth="1"/>
    <col min="11762" max="11762" width="6" style="343" customWidth="1"/>
    <col min="11763" max="11764" width="6.6640625" style="343" customWidth="1"/>
    <col min="11765" max="11765" width="7.77734375" style="343" customWidth="1"/>
    <col min="11766" max="11766" width="7.6640625" style="343" customWidth="1"/>
    <col min="11767" max="11767" width="6.6640625" style="343" customWidth="1"/>
    <col min="11768" max="11768" width="5.109375" style="343" customWidth="1"/>
    <col min="11769" max="11769" width="5.33203125" style="343" customWidth="1"/>
    <col min="11770" max="11770" width="5.44140625" style="343" customWidth="1"/>
    <col min="11771" max="11774" width="6.6640625" style="343" customWidth="1"/>
    <col min="11775" max="11775" width="6.77734375" style="343" customWidth="1"/>
    <col min="11776" max="11776" width="5.109375" style="343" customWidth="1"/>
    <col min="11777" max="11777" width="7.109375" style="343" customWidth="1"/>
    <col min="11778" max="11778" width="6.109375" style="343" customWidth="1"/>
    <col min="11779" max="11779" width="7.109375" style="343" customWidth="1"/>
    <col min="11780" max="11780" width="6.44140625" style="343" customWidth="1"/>
    <col min="11781" max="11784" width="7.109375" style="343" customWidth="1"/>
    <col min="11785" max="11785" width="7.44140625" style="343" customWidth="1"/>
    <col min="11786" max="11786" width="7.88671875" style="343" customWidth="1"/>
    <col min="11787" max="11788" width="6.88671875" style="343" customWidth="1"/>
    <col min="11789" max="11792" width="7.109375" style="343" customWidth="1"/>
    <col min="11793" max="11793" width="7.44140625" style="343" customWidth="1"/>
    <col min="11794" max="11794" width="7.109375" style="343" customWidth="1"/>
    <col min="11795" max="11795" width="5.21875" style="343" customWidth="1"/>
    <col min="11796" max="11804" width="10.6640625" style="343" customWidth="1"/>
    <col min="11805" max="11808" width="8.6640625" style="343" customWidth="1"/>
    <col min="11809" max="12010" width="9" style="343"/>
    <col min="12011" max="12011" width="5.44140625" style="343" customWidth="1"/>
    <col min="12012" max="12012" width="7.44140625" style="343" customWidth="1"/>
    <col min="12013" max="12013" width="8.109375" style="343" customWidth="1"/>
    <col min="12014" max="12014" width="8.33203125" style="343" customWidth="1"/>
    <col min="12015" max="12016" width="5" style="343" customWidth="1"/>
    <col min="12017" max="12017" width="5.33203125" style="343" customWidth="1"/>
    <col min="12018" max="12018" width="6" style="343" customWidth="1"/>
    <col min="12019" max="12020" width="6.6640625" style="343" customWidth="1"/>
    <col min="12021" max="12021" width="7.77734375" style="343" customWidth="1"/>
    <col min="12022" max="12022" width="7.6640625" style="343" customWidth="1"/>
    <col min="12023" max="12023" width="6.6640625" style="343" customWidth="1"/>
    <col min="12024" max="12024" width="5.109375" style="343" customWidth="1"/>
    <col min="12025" max="12025" width="5.33203125" style="343" customWidth="1"/>
    <col min="12026" max="12026" width="5.44140625" style="343" customWidth="1"/>
    <col min="12027" max="12030" width="6.6640625" style="343" customWidth="1"/>
    <col min="12031" max="12031" width="6.77734375" style="343" customWidth="1"/>
    <col min="12032" max="12032" width="5.109375" style="343" customWidth="1"/>
    <col min="12033" max="12033" width="7.109375" style="343" customWidth="1"/>
    <col min="12034" max="12034" width="6.109375" style="343" customWidth="1"/>
    <col min="12035" max="12035" width="7.109375" style="343" customWidth="1"/>
    <col min="12036" max="12036" width="6.44140625" style="343" customWidth="1"/>
    <col min="12037" max="12040" width="7.109375" style="343" customWidth="1"/>
    <col min="12041" max="12041" width="7.44140625" style="343" customWidth="1"/>
    <col min="12042" max="12042" width="7.88671875" style="343" customWidth="1"/>
    <col min="12043" max="12044" width="6.88671875" style="343" customWidth="1"/>
    <col min="12045" max="12048" width="7.109375" style="343" customWidth="1"/>
    <col min="12049" max="12049" width="7.44140625" style="343" customWidth="1"/>
    <col min="12050" max="12050" width="7.109375" style="343" customWidth="1"/>
    <col min="12051" max="12051" width="5.21875" style="343" customWidth="1"/>
    <col min="12052" max="12060" width="10.6640625" style="343" customWidth="1"/>
    <col min="12061" max="12064" width="8.6640625" style="343" customWidth="1"/>
    <col min="12065" max="12266" width="9" style="343"/>
    <col min="12267" max="12267" width="5.44140625" style="343" customWidth="1"/>
    <col min="12268" max="12268" width="7.44140625" style="343" customWidth="1"/>
    <col min="12269" max="12269" width="8.109375" style="343" customWidth="1"/>
    <col min="12270" max="12270" width="8.33203125" style="343" customWidth="1"/>
    <col min="12271" max="12272" width="5" style="343" customWidth="1"/>
    <col min="12273" max="12273" width="5.33203125" style="343" customWidth="1"/>
    <col min="12274" max="12274" width="6" style="343" customWidth="1"/>
    <col min="12275" max="12276" width="6.6640625" style="343" customWidth="1"/>
    <col min="12277" max="12277" width="7.77734375" style="343" customWidth="1"/>
    <col min="12278" max="12278" width="7.6640625" style="343" customWidth="1"/>
    <col min="12279" max="12279" width="6.6640625" style="343" customWidth="1"/>
    <col min="12280" max="12280" width="5.109375" style="343" customWidth="1"/>
    <col min="12281" max="12281" width="5.33203125" style="343" customWidth="1"/>
    <col min="12282" max="12282" width="5.44140625" style="343" customWidth="1"/>
    <col min="12283" max="12286" width="6.6640625" style="343" customWidth="1"/>
    <col min="12287" max="12287" width="6.77734375" style="343" customWidth="1"/>
    <col min="12288" max="12288" width="5.109375" style="343" customWidth="1"/>
    <col min="12289" max="12289" width="7.109375" style="343" customWidth="1"/>
    <col min="12290" max="12290" width="6.109375" style="343" customWidth="1"/>
    <col min="12291" max="12291" width="7.109375" style="343" customWidth="1"/>
    <col min="12292" max="12292" width="6.44140625" style="343" customWidth="1"/>
    <col min="12293" max="12296" width="7.109375" style="343" customWidth="1"/>
    <col min="12297" max="12297" width="7.44140625" style="343" customWidth="1"/>
    <col min="12298" max="12298" width="7.88671875" style="343" customWidth="1"/>
    <col min="12299" max="12300" width="6.88671875" style="343" customWidth="1"/>
    <col min="12301" max="12304" width="7.109375" style="343" customWidth="1"/>
    <col min="12305" max="12305" width="7.44140625" style="343" customWidth="1"/>
    <col min="12306" max="12306" width="7.109375" style="343" customWidth="1"/>
    <col min="12307" max="12307" width="5.21875" style="343" customWidth="1"/>
    <col min="12308" max="12316" width="10.6640625" style="343" customWidth="1"/>
    <col min="12317" max="12320" width="8.6640625" style="343" customWidth="1"/>
    <col min="12321" max="12522" width="9" style="343"/>
    <col min="12523" max="12523" width="5.44140625" style="343" customWidth="1"/>
    <col min="12524" max="12524" width="7.44140625" style="343" customWidth="1"/>
    <col min="12525" max="12525" width="8.109375" style="343" customWidth="1"/>
    <col min="12526" max="12526" width="8.33203125" style="343" customWidth="1"/>
    <col min="12527" max="12528" width="5" style="343" customWidth="1"/>
    <col min="12529" max="12529" width="5.33203125" style="343" customWidth="1"/>
    <col min="12530" max="12530" width="6" style="343" customWidth="1"/>
    <col min="12531" max="12532" width="6.6640625" style="343" customWidth="1"/>
    <col min="12533" max="12533" width="7.77734375" style="343" customWidth="1"/>
    <col min="12534" max="12534" width="7.6640625" style="343" customWidth="1"/>
    <col min="12535" max="12535" width="6.6640625" style="343" customWidth="1"/>
    <col min="12536" max="12536" width="5.109375" style="343" customWidth="1"/>
    <col min="12537" max="12537" width="5.33203125" style="343" customWidth="1"/>
    <col min="12538" max="12538" width="5.44140625" style="343" customWidth="1"/>
    <col min="12539" max="12542" width="6.6640625" style="343" customWidth="1"/>
    <col min="12543" max="12543" width="6.77734375" style="343" customWidth="1"/>
    <col min="12544" max="12544" width="5.109375" style="343" customWidth="1"/>
    <col min="12545" max="12545" width="7.109375" style="343" customWidth="1"/>
    <col min="12546" max="12546" width="6.109375" style="343" customWidth="1"/>
    <col min="12547" max="12547" width="7.109375" style="343" customWidth="1"/>
    <col min="12548" max="12548" width="6.44140625" style="343" customWidth="1"/>
    <col min="12549" max="12552" width="7.109375" style="343" customWidth="1"/>
    <col min="12553" max="12553" width="7.44140625" style="343" customWidth="1"/>
    <col min="12554" max="12554" width="7.88671875" style="343" customWidth="1"/>
    <col min="12555" max="12556" width="6.88671875" style="343" customWidth="1"/>
    <col min="12557" max="12560" width="7.109375" style="343" customWidth="1"/>
    <col min="12561" max="12561" width="7.44140625" style="343" customWidth="1"/>
    <col min="12562" max="12562" width="7.109375" style="343" customWidth="1"/>
    <col min="12563" max="12563" width="5.21875" style="343" customWidth="1"/>
    <col min="12564" max="12572" width="10.6640625" style="343" customWidth="1"/>
    <col min="12573" max="12576" width="8.6640625" style="343" customWidth="1"/>
    <col min="12577" max="12778" width="9" style="343"/>
    <col min="12779" max="12779" width="5.44140625" style="343" customWidth="1"/>
    <col min="12780" max="12780" width="7.44140625" style="343" customWidth="1"/>
    <col min="12781" max="12781" width="8.109375" style="343" customWidth="1"/>
    <col min="12782" max="12782" width="8.33203125" style="343" customWidth="1"/>
    <col min="12783" max="12784" width="5" style="343" customWidth="1"/>
    <col min="12785" max="12785" width="5.33203125" style="343" customWidth="1"/>
    <col min="12786" max="12786" width="6" style="343" customWidth="1"/>
    <col min="12787" max="12788" width="6.6640625" style="343" customWidth="1"/>
    <col min="12789" max="12789" width="7.77734375" style="343" customWidth="1"/>
    <col min="12790" max="12790" width="7.6640625" style="343" customWidth="1"/>
    <col min="12791" max="12791" width="6.6640625" style="343" customWidth="1"/>
    <col min="12792" max="12792" width="5.109375" style="343" customWidth="1"/>
    <col min="12793" max="12793" width="5.33203125" style="343" customWidth="1"/>
    <col min="12794" max="12794" width="5.44140625" style="343" customWidth="1"/>
    <col min="12795" max="12798" width="6.6640625" style="343" customWidth="1"/>
    <col min="12799" max="12799" width="6.77734375" style="343" customWidth="1"/>
    <col min="12800" max="12800" width="5.109375" style="343" customWidth="1"/>
    <col min="12801" max="12801" width="7.109375" style="343" customWidth="1"/>
    <col min="12802" max="12802" width="6.109375" style="343" customWidth="1"/>
    <col min="12803" max="12803" width="7.109375" style="343" customWidth="1"/>
    <col min="12804" max="12804" width="6.44140625" style="343" customWidth="1"/>
    <col min="12805" max="12808" width="7.109375" style="343" customWidth="1"/>
    <col min="12809" max="12809" width="7.44140625" style="343" customWidth="1"/>
    <col min="12810" max="12810" width="7.88671875" style="343" customWidth="1"/>
    <col min="12811" max="12812" width="6.88671875" style="343" customWidth="1"/>
    <col min="12813" max="12816" width="7.109375" style="343" customWidth="1"/>
    <col min="12817" max="12817" width="7.44140625" style="343" customWidth="1"/>
    <col min="12818" max="12818" width="7.109375" style="343" customWidth="1"/>
    <col min="12819" max="12819" width="5.21875" style="343" customWidth="1"/>
    <col min="12820" max="12828" width="10.6640625" style="343" customWidth="1"/>
    <col min="12829" max="12832" width="8.6640625" style="343" customWidth="1"/>
    <col min="12833" max="13034" width="9" style="343"/>
    <col min="13035" max="13035" width="5.44140625" style="343" customWidth="1"/>
    <col min="13036" max="13036" width="7.44140625" style="343" customWidth="1"/>
    <col min="13037" max="13037" width="8.109375" style="343" customWidth="1"/>
    <col min="13038" max="13038" width="8.33203125" style="343" customWidth="1"/>
    <col min="13039" max="13040" width="5" style="343" customWidth="1"/>
    <col min="13041" max="13041" width="5.33203125" style="343" customWidth="1"/>
    <col min="13042" max="13042" width="6" style="343" customWidth="1"/>
    <col min="13043" max="13044" width="6.6640625" style="343" customWidth="1"/>
    <col min="13045" max="13045" width="7.77734375" style="343" customWidth="1"/>
    <col min="13046" max="13046" width="7.6640625" style="343" customWidth="1"/>
    <col min="13047" max="13047" width="6.6640625" style="343" customWidth="1"/>
    <col min="13048" max="13048" width="5.109375" style="343" customWidth="1"/>
    <col min="13049" max="13049" width="5.33203125" style="343" customWidth="1"/>
    <col min="13050" max="13050" width="5.44140625" style="343" customWidth="1"/>
    <col min="13051" max="13054" width="6.6640625" style="343" customWidth="1"/>
    <col min="13055" max="13055" width="6.77734375" style="343" customWidth="1"/>
    <col min="13056" max="13056" width="5.109375" style="343" customWidth="1"/>
    <col min="13057" max="13057" width="7.109375" style="343" customWidth="1"/>
    <col min="13058" max="13058" width="6.109375" style="343" customWidth="1"/>
    <col min="13059" max="13059" width="7.109375" style="343" customWidth="1"/>
    <col min="13060" max="13060" width="6.44140625" style="343" customWidth="1"/>
    <col min="13061" max="13064" width="7.109375" style="343" customWidth="1"/>
    <col min="13065" max="13065" width="7.44140625" style="343" customWidth="1"/>
    <col min="13066" max="13066" width="7.88671875" style="343" customWidth="1"/>
    <col min="13067" max="13068" width="6.88671875" style="343" customWidth="1"/>
    <col min="13069" max="13072" width="7.109375" style="343" customWidth="1"/>
    <col min="13073" max="13073" width="7.44140625" style="343" customWidth="1"/>
    <col min="13074" max="13074" width="7.109375" style="343" customWidth="1"/>
    <col min="13075" max="13075" width="5.21875" style="343" customWidth="1"/>
    <col min="13076" max="13084" width="10.6640625" style="343" customWidth="1"/>
    <col min="13085" max="13088" width="8.6640625" style="343" customWidth="1"/>
    <col min="13089" max="13290" width="9" style="343"/>
    <col min="13291" max="13291" width="5.44140625" style="343" customWidth="1"/>
    <col min="13292" max="13292" width="7.44140625" style="343" customWidth="1"/>
    <col min="13293" max="13293" width="8.109375" style="343" customWidth="1"/>
    <col min="13294" max="13294" width="8.33203125" style="343" customWidth="1"/>
    <col min="13295" max="13296" width="5" style="343" customWidth="1"/>
    <col min="13297" max="13297" width="5.33203125" style="343" customWidth="1"/>
    <col min="13298" max="13298" width="6" style="343" customWidth="1"/>
    <col min="13299" max="13300" width="6.6640625" style="343" customWidth="1"/>
    <col min="13301" max="13301" width="7.77734375" style="343" customWidth="1"/>
    <col min="13302" max="13302" width="7.6640625" style="343" customWidth="1"/>
    <col min="13303" max="13303" width="6.6640625" style="343" customWidth="1"/>
    <col min="13304" max="13304" width="5.109375" style="343" customWidth="1"/>
    <col min="13305" max="13305" width="5.33203125" style="343" customWidth="1"/>
    <col min="13306" max="13306" width="5.44140625" style="343" customWidth="1"/>
    <col min="13307" max="13310" width="6.6640625" style="343" customWidth="1"/>
    <col min="13311" max="13311" width="6.77734375" style="343" customWidth="1"/>
    <col min="13312" max="13312" width="5.109375" style="343" customWidth="1"/>
    <col min="13313" max="13313" width="7.109375" style="343" customWidth="1"/>
    <col min="13314" max="13314" width="6.109375" style="343" customWidth="1"/>
    <col min="13315" max="13315" width="7.109375" style="343" customWidth="1"/>
    <col min="13316" max="13316" width="6.44140625" style="343" customWidth="1"/>
    <col min="13317" max="13320" width="7.109375" style="343" customWidth="1"/>
    <col min="13321" max="13321" width="7.44140625" style="343" customWidth="1"/>
    <col min="13322" max="13322" width="7.88671875" style="343" customWidth="1"/>
    <col min="13323" max="13324" width="6.88671875" style="343" customWidth="1"/>
    <col min="13325" max="13328" width="7.109375" style="343" customWidth="1"/>
    <col min="13329" max="13329" width="7.44140625" style="343" customWidth="1"/>
    <col min="13330" max="13330" width="7.109375" style="343" customWidth="1"/>
    <col min="13331" max="13331" width="5.21875" style="343" customWidth="1"/>
    <col min="13332" max="13340" width="10.6640625" style="343" customWidth="1"/>
    <col min="13341" max="13344" width="8.6640625" style="343" customWidth="1"/>
    <col min="13345" max="13546" width="9" style="343"/>
    <col min="13547" max="13547" width="5.44140625" style="343" customWidth="1"/>
    <col min="13548" max="13548" width="7.44140625" style="343" customWidth="1"/>
    <col min="13549" max="13549" width="8.109375" style="343" customWidth="1"/>
    <col min="13550" max="13550" width="8.33203125" style="343" customWidth="1"/>
    <col min="13551" max="13552" width="5" style="343" customWidth="1"/>
    <col min="13553" max="13553" width="5.33203125" style="343" customWidth="1"/>
    <col min="13554" max="13554" width="6" style="343" customWidth="1"/>
    <col min="13555" max="13556" width="6.6640625" style="343" customWidth="1"/>
    <col min="13557" max="13557" width="7.77734375" style="343" customWidth="1"/>
    <col min="13558" max="13558" width="7.6640625" style="343" customWidth="1"/>
    <col min="13559" max="13559" width="6.6640625" style="343" customWidth="1"/>
    <col min="13560" max="13560" width="5.109375" style="343" customWidth="1"/>
    <col min="13561" max="13561" width="5.33203125" style="343" customWidth="1"/>
    <col min="13562" max="13562" width="5.44140625" style="343" customWidth="1"/>
    <col min="13563" max="13566" width="6.6640625" style="343" customWidth="1"/>
    <col min="13567" max="13567" width="6.77734375" style="343" customWidth="1"/>
    <col min="13568" max="13568" width="5.109375" style="343" customWidth="1"/>
    <col min="13569" max="13569" width="7.109375" style="343" customWidth="1"/>
    <col min="13570" max="13570" width="6.109375" style="343" customWidth="1"/>
    <col min="13571" max="13571" width="7.109375" style="343" customWidth="1"/>
    <col min="13572" max="13572" width="6.44140625" style="343" customWidth="1"/>
    <col min="13573" max="13576" width="7.109375" style="343" customWidth="1"/>
    <col min="13577" max="13577" width="7.44140625" style="343" customWidth="1"/>
    <col min="13578" max="13578" width="7.88671875" style="343" customWidth="1"/>
    <col min="13579" max="13580" width="6.88671875" style="343" customWidth="1"/>
    <col min="13581" max="13584" width="7.109375" style="343" customWidth="1"/>
    <col min="13585" max="13585" width="7.44140625" style="343" customWidth="1"/>
    <col min="13586" max="13586" width="7.109375" style="343" customWidth="1"/>
    <col min="13587" max="13587" width="5.21875" style="343" customWidth="1"/>
    <col min="13588" max="13596" width="10.6640625" style="343" customWidth="1"/>
    <col min="13597" max="13600" width="8.6640625" style="343" customWidth="1"/>
    <col min="13601" max="13802" width="9" style="343"/>
    <col min="13803" max="13803" width="5.44140625" style="343" customWidth="1"/>
    <col min="13804" max="13804" width="7.44140625" style="343" customWidth="1"/>
    <col min="13805" max="13805" width="8.109375" style="343" customWidth="1"/>
    <col min="13806" max="13806" width="8.33203125" style="343" customWidth="1"/>
    <col min="13807" max="13808" width="5" style="343" customWidth="1"/>
    <col min="13809" max="13809" width="5.33203125" style="343" customWidth="1"/>
    <col min="13810" max="13810" width="6" style="343" customWidth="1"/>
    <col min="13811" max="13812" width="6.6640625" style="343" customWidth="1"/>
    <col min="13813" max="13813" width="7.77734375" style="343" customWidth="1"/>
    <col min="13814" max="13814" width="7.6640625" style="343" customWidth="1"/>
    <col min="13815" max="13815" width="6.6640625" style="343" customWidth="1"/>
    <col min="13816" max="13816" width="5.109375" style="343" customWidth="1"/>
    <col min="13817" max="13817" width="5.33203125" style="343" customWidth="1"/>
    <col min="13818" max="13818" width="5.44140625" style="343" customWidth="1"/>
    <col min="13819" max="13822" width="6.6640625" style="343" customWidth="1"/>
    <col min="13823" max="13823" width="6.77734375" style="343" customWidth="1"/>
    <col min="13824" max="13824" width="5.109375" style="343" customWidth="1"/>
    <col min="13825" max="13825" width="7.109375" style="343" customWidth="1"/>
    <col min="13826" max="13826" width="6.109375" style="343" customWidth="1"/>
    <col min="13827" max="13827" width="7.109375" style="343" customWidth="1"/>
    <col min="13828" max="13828" width="6.44140625" style="343" customWidth="1"/>
    <col min="13829" max="13832" width="7.109375" style="343" customWidth="1"/>
    <col min="13833" max="13833" width="7.44140625" style="343" customWidth="1"/>
    <col min="13834" max="13834" width="7.88671875" style="343" customWidth="1"/>
    <col min="13835" max="13836" width="6.88671875" style="343" customWidth="1"/>
    <col min="13837" max="13840" width="7.109375" style="343" customWidth="1"/>
    <col min="13841" max="13841" width="7.44140625" style="343" customWidth="1"/>
    <col min="13842" max="13842" width="7.109375" style="343" customWidth="1"/>
    <col min="13843" max="13843" width="5.21875" style="343" customWidth="1"/>
    <col min="13844" max="13852" width="10.6640625" style="343" customWidth="1"/>
    <col min="13853" max="13856" width="8.6640625" style="343" customWidth="1"/>
    <col min="13857" max="14058" width="9" style="343"/>
    <col min="14059" max="14059" width="5.44140625" style="343" customWidth="1"/>
    <col min="14060" max="14060" width="7.44140625" style="343" customWidth="1"/>
    <col min="14061" max="14061" width="8.109375" style="343" customWidth="1"/>
    <col min="14062" max="14062" width="8.33203125" style="343" customWidth="1"/>
    <col min="14063" max="14064" width="5" style="343" customWidth="1"/>
    <col min="14065" max="14065" width="5.33203125" style="343" customWidth="1"/>
    <col min="14066" max="14066" width="6" style="343" customWidth="1"/>
    <col min="14067" max="14068" width="6.6640625" style="343" customWidth="1"/>
    <col min="14069" max="14069" width="7.77734375" style="343" customWidth="1"/>
    <col min="14070" max="14070" width="7.6640625" style="343" customWidth="1"/>
    <col min="14071" max="14071" width="6.6640625" style="343" customWidth="1"/>
    <col min="14072" max="14072" width="5.109375" style="343" customWidth="1"/>
    <col min="14073" max="14073" width="5.33203125" style="343" customWidth="1"/>
    <col min="14074" max="14074" width="5.44140625" style="343" customWidth="1"/>
    <col min="14075" max="14078" width="6.6640625" style="343" customWidth="1"/>
    <col min="14079" max="14079" width="6.77734375" style="343" customWidth="1"/>
    <col min="14080" max="14080" width="5.109375" style="343" customWidth="1"/>
    <col min="14081" max="14081" width="7.109375" style="343" customWidth="1"/>
    <col min="14082" max="14082" width="6.109375" style="343" customWidth="1"/>
    <col min="14083" max="14083" width="7.109375" style="343" customWidth="1"/>
    <col min="14084" max="14084" width="6.44140625" style="343" customWidth="1"/>
    <col min="14085" max="14088" width="7.109375" style="343" customWidth="1"/>
    <col min="14089" max="14089" width="7.44140625" style="343" customWidth="1"/>
    <col min="14090" max="14090" width="7.88671875" style="343" customWidth="1"/>
    <col min="14091" max="14092" width="6.88671875" style="343" customWidth="1"/>
    <col min="14093" max="14096" width="7.109375" style="343" customWidth="1"/>
    <col min="14097" max="14097" width="7.44140625" style="343" customWidth="1"/>
    <col min="14098" max="14098" width="7.109375" style="343" customWidth="1"/>
    <col min="14099" max="14099" width="5.21875" style="343" customWidth="1"/>
    <col min="14100" max="14108" width="10.6640625" style="343" customWidth="1"/>
    <col min="14109" max="14112" width="8.6640625" style="343" customWidth="1"/>
    <col min="14113" max="14314" width="9" style="343"/>
    <col min="14315" max="14315" width="5.44140625" style="343" customWidth="1"/>
    <col min="14316" max="14316" width="7.44140625" style="343" customWidth="1"/>
    <col min="14317" max="14317" width="8.109375" style="343" customWidth="1"/>
    <col min="14318" max="14318" width="8.33203125" style="343" customWidth="1"/>
    <col min="14319" max="14320" width="5" style="343" customWidth="1"/>
    <col min="14321" max="14321" width="5.33203125" style="343" customWidth="1"/>
    <col min="14322" max="14322" width="6" style="343" customWidth="1"/>
    <col min="14323" max="14324" width="6.6640625" style="343" customWidth="1"/>
    <col min="14325" max="14325" width="7.77734375" style="343" customWidth="1"/>
    <col min="14326" max="14326" width="7.6640625" style="343" customWidth="1"/>
    <col min="14327" max="14327" width="6.6640625" style="343" customWidth="1"/>
    <col min="14328" max="14328" width="5.109375" style="343" customWidth="1"/>
    <col min="14329" max="14329" width="5.33203125" style="343" customWidth="1"/>
    <col min="14330" max="14330" width="5.44140625" style="343" customWidth="1"/>
    <col min="14331" max="14334" width="6.6640625" style="343" customWidth="1"/>
    <col min="14335" max="14335" width="6.77734375" style="343" customWidth="1"/>
    <col min="14336" max="14336" width="5.109375" style="343" customWidth="1"/>
    <col min="14337" max="14337" width="7.109375" style="343" customWidth="1"/>
    <col min="14338" max="14338" width="6.109375" style="343" customWidth="1"/>
    <col min="14339" max="14339" width="7.109375" style="343" customWidth="1"/>
    <col min="14340" max="14340" width="6.44140625" style="343" customWidth="1"/>
    <col min="14341" max="14344" width="7.109375" style="343" customWidth="1"/>
    <col min="14345" max="14345" width="7.44140625" style="343" customWidth="1"/>
    <col min="14346" max="14346" width="7.88671875" style="343" customWidth="1"/>
    <col min="14347" max="14348" width="6.88671875" style="343" customWidth="1"/>
    <col min="14349" max="14352" width="7.109375" style="343" customWidth="1"/>
    <col min="14353" max="14353" width="7.44140625" style="343" customWidth="1"/>
    <col min="14354" max="14354" width="7.109375" style="343" customWidth="1"/>
    <col min="14355" max="14355" width="5.21875" style="343" customWidth="1"/>
    <col min="14356" max="14364" width="10.6640625" style="343" customWidth="1"/>
    <col min="14365" max="14368" width="8.6640625" style="343" customWidth="1"/>
    <col min="14369" max="14570" width="9" style="343"/>
    <col min="14571" max="14571" width="5.44140625" style="343" customWidth="1"/>
    <col min="14572" max="14572" width="7.44140625" style="343" customWidth="1"/>
    <col min="14573" max="14573" width="8.109375" style="343" customWidth="1"/>
    <col min="14574" max="14574" width="8.33203125" style="343" customWidth="1"/>
    <col min="14575" max="14576" width="5" style="343" customWidth="1"/>
    <col min="14577" max="14577" width="5.33203125" style="343" customWidth="1"/>
    <col min="14578" max="14578" width="6" style="343" customWidth="1"/>
    <col min="14579" max="14580" width="6.6640625" style="343" customWidth="1"/>
    <col min="14581" max="14581" width="7.77734375" style="343" customWidth="1"/>
    <col min="14582" max="14582" width="7.6640625" style="343" customWidth="1"/>
    <col min="14583" max="14583" width="6.6640625" style="343" customWidth="1"/>
    <col min="14584" max="14584" width="5.109375" style="343" customWidth="1"/>
    <col min="14585" max="14585" width="5.33203125" style="343" customWidth="1"/>
    <col min="14586" max="14586" width="5.44140625" style="343" customWidth="1"/>
    <col min="14587" max="14590" width="6.6640625" style="343" customWidth="1"/>
    <col min="14591" max="14591" width="6.77734375" style="343" customWidth="1"/>
    <col min="14592" max="14592" width="5.109375" style="343" customWidth="1"/>
    <col min="14593" max="14593" width="7.109375" style="343" customWidth="1"/>
    <col min="14594" max="14594" width="6.109375" style="343" customWidth="1"/>
    <col min="14595" max="14595" width="7.109375" style="343" customWidth="1"/>
    <col min="14596" max="14596" width="6.44140625" style="343" customWidth="1"/>
    <col min="14597" max="14600" width="7.109375" style="343" customWidth="1"/>
    <col min="14601" max="14601" width="7.44140625" style="343" customWidth="1"/>
    <col min="14602" max="14602" width="7.88671875" style="343" customWidth="1"/>
    <col min="14603" max="14604" width="6.88671875" style="343" customWidth="1"/>
    <col min="14605" max="14608" width="7.109375" style="343" customWidth="1"/>
    <col min="14609" max="14609" width="7.44140625" style="343" customWidth="1"/>
    <col min="14610" max="14610" width="7.109375" style="343" customWidth="1"/>
    <col min="14611" max="14611" width="5.21875" style="343" customWidth="1"/>
    <col min="14612" max="14620" width="10.6640625" style="343" customWidth="1"/>
    <col min="14621" max="14624" width="8.6640625" style="343" customWidth="1"/>
    <col min="14625" max="14826" width="9" style="343"/>
    <col min="14827" max="14827" width="5.44140625" style="343" customWidth="1"/>
    <col min="14828" max="14828" width="7.44140625" style="343" customWidth="1"/>
    <col min="14829" max="14829" width="8.109375" style="343" customWidth="1"/>
    <col min="14830" max="14830" width="8.33203125" style="343" customWidth="1"/>
    <col min="14831" max="14832" width="5" style="343" customWidth="1"/>
    <col min="14833" max="14833" width="5.33203125" style="343" customWidth="1"/>
    <col min="14834" max="14834" width="6" style="343" customWidth="1"/>
    <col min="14835" max="14836" width="6.6640625" style="343" customWidth="1"/>
    <col min="14837" max="14837" width="7.77734375" style="343" customWidth="1"/>
    <col min="14838" max="14838" width="7.6640625" style="343" customWidth="1"/>
    <col min="14839" max="14839" width="6.6640625" style="343" customWidth="1"/>
    <col min="14840" max="14840" width="5.109375" style="343" customWidth="1"/>
    <col min="14841" max="14841" width="5.33203125" style="343" customWidth="1"/>
    <col min="14842" max="14842" width="5.44140625" style="343" customWidth="1"/>
    <col min="14843" max="14846" width="6.6640625" style="343" customWidth="1"/>
    <col min="14847" max="14847" width="6.77734375" style="343" customWidth="1"/>
    <col min="14848" max="14848" width="5.109375" style="343" customWidth="1"/>
    <col min="14849" max="14849" width="7.109375" style="343" customWidth="1"/>
    <col min="14850" max="14850" width="6.109375" style="343" customWidth="1"/>
    <col min="14851" max="14851" width="7.109375" style="343" customWidth="1"/>
    <col min="14852" max="14852" width="6.44140625" style="343" customWidth="1"/>
    <col min="14853" max="14856" width="7.109375" style="343" customWidth="1"/>
    <col min="14857" max="14857" width="7.44140625" style="343" customWidth="1"/>
    <col min="14858" max="14858" width="7.88671875" style="343" customWidth="1"/>
    <col min="14859" max="14860" width="6.88671875" style="343" customWidth="1"/>
    <col min="14861" max="14864" width="7.109375" style="343" customWidth="1"/>
    <col min="14865" max="14865" width="7.44140625" style="343" customWidth="1"/>
    <col min="14866" max="14866" width="7.109375" style="343" customWidth="1"/>
    <col min="14867" max="14867" width="5.21875" style="343" customWidth="1"/>
    <col min="14868" max="14876" width="10.6640625" style="343" customWidth="1"/>
    <col min="14877" max="14880" width="8.6640625" style="343" customWidth="1"/>
    <col min="14881" max="15082" width="9" style="343"/>
    <col min="15083" max="15083" width="5.44140625" style="343" customWidth="1"/>
    <col min="15084" max="15084" width="7.44140625" style="343" customWidth="1"/>
    <col min="15085" max="15085" width="8.109375" style="343" customWidth="1"/>
    <col min="15086" max="15086" width="8.33203125" style="343" customWidth="1"/>
    <col min="15087" max="15088" width="5" style="343" customWidth="1"/>
    <col min="15089" max="15089" width="5.33203125" style="343" customWidth="1"/>
    <col min="15090" max="15090" width="6" style="343" customWidth="1"/>
    <col min="15091" max="15092" width="6.6640625" style="343" customWidth="1"/>
    <col min="15093" max="15093" width="7.77734375" style="343" customWidth="1"/>
    <col min="15094" max="15094" width="7.6640625" style="343" customWidth="1"/>
    <col min="15095" max="15095" width="6.6640625" style="343" customWidth="1"/>
    <col min="15096" max="15096" width="5.109375" style="343" customWidth="1"/>
    <col min="15097" max="15097" width="5.33203125" style="343" customWidth="1"/>
    <col min="15098" max="15098" width="5.44140625" style="343" customWidth="1"/>
    <col min="15099" max="15102" width="6.6640625" style="343" customWidth="1"/>
    <col min="15103" max="15103" width="6.77734375" style="343" customWidth="1"/>
    <col min="15104" max="15104" width="5.109375" style="343" customWidth="1"/>
    <col min="15105" max="15105" width="7.109375" style="343" customWidth="1"/>
    <col min="15106" max="15106" width="6.109375" style="343" customWidth="1"/>
    <col min="15107" max="15107" width="7.109375" style="343" customWidth="1"/>
    <col min="15108" max="15108" width="6.44140625" style="343" customWidth="1"/>
    <col min="15109" max="15112" width="7.109375" style="343" customWidth="1"/>
    <col min="15113" max="15113" width="7.44140625" style="343" customWidth="1"/>
    <col min="15114" max="15114" width="7.88671875" style="343" customWidth="1"/>
    <col min="15115" max="15116" width="6.88671875" style="343" customWidth="1"/>
    <col min="15117" max="15120" width="7.109375" style="343" customWidth="1"/>
    <col min="15121" max="15121" width="7.44140625" style="343" customWidth="1"/>
    <col min="15122" max="15122" width="7.109375" style="343" customWidth="1"/>
    <col min="15123" max="15123" width="5.21875" style="343" customWidth="1"/>
    <col min="15124" max="15132" width="10.6640625" style="343" customWidth="1"/>
    <col min="15133" max="15136" width="8.6640625" style="343" customWidth="1"/>
    <col min="15137" max="15338" width="9" style="343"/>
    <col min="15339" max="15339" width="5.44140625" style="343" customWidth="1"/>
    <col min="15340" max="15340" width="7.44140625" style="343" customWidth="1"/>
    <col min="15341" max="15341" width="8.109375" style="343" customWidth="1"/>
    <col min="15342" max="15342" width="8.33203125" style="343" customWidth="1"/>
    <col min="15343" max="15344" width="5" style="343" customWidth="1"/>
    <col min="15345" max="15345" width="5.33203125" style="343" customWidth="1"/>
    <col min="15346" max="15346" width="6" style="343" customWidth="1"/>
    <col min="15347" max="15348" width="6.6640625" style="343" customWidth="1"/>
    <col min="15349" max="15349" width="7.77734375" style="343" customWidth="1"/>
    <col min="15350" max="15350" width="7.6640625" style="343" customWidth="1"/>
    <col min="15351" max="15351" width="6.6640625" style="343" customWidth="1"/>
    <col min="15352" max="15352" width="5.109375" style="343" customWidth="1"/>
    <col min="15353" max="15353" width="5.33203125" style="343" customWidth="1"/>
    <col min="15354" max="15354" width="5.44140625" style="343" customWidth="1"/>
    <col min="15355" max="15358" width="6.6640625" style="343" customWidth="1"/>
    <col min="15359" max="15359" width="6.77734375" style="343" customWidth="1"/>
    <col min="15360" max="15360" width="5.109375" style="343" customWidth="1"/>
    <col min="15361" max="15361" width="7.109375" style="343" customWidth="1"/>
    <col min="15362" max="15362" width="6.109375" style="343" customWidth="1"/>
    <col min="15363" max="15363" width="7.109375" style="343" customWidth="1"/>
    <col min="15364" max="15364" width="6.44140625" style="343" customWidth="1"/>
    <col min="15365" max="15368" width="7.109375" style="343" customWidth="1"/>
    <col min="15369" max="15369" width="7.44140625" style="343" customWidth="1"/>
    <col min="15370" max="15370" width="7.88671875" style="343" customWidth="1"/>
    <col min="15371" max="15372" width="6.88671875" style="343" customWidth="1"/>
    <col min="15373" max="15376" width="7.109375" style="343" customWidth="1"/>
    <col min="15377" max="15377" width="7.44140625" style="343" customWidth="1"/>
    <col min="15378" max="15378" width="7.109375" style="343" customWidth="1"/>
    <col min="15379" max="15379" width="5.21875" style="343" customWidth="1"/>
    <col min="15380" max="15388" width="10.6640625" style="343" customWidth="1"/>
    <col min="15389" max="15392" width="8.6640625" style="343" customWidth="1"/>
    <col min="15393" max="15594" width="9" style="343"/>
    <col min="15595" max="15595" width="5.44140625" style="343" customWidth="1"/>
    <col min="15596" max="15596" width="7.44140625" style="343" customWidth="1"/>
    <col min="15597" max="15597" width="8.109375" style="343" customWidth="1"/>
    <col min="15598" max="15598" width="8.33203125" style="343" customWidth="1"/>
    <col min="15599" max="15600" width="5" style="343" customWidth="1"/>
    <col min="15601" max="15601" width="5.33203125" style="343" customWidth="1"/>
    <col min="15602" max="15602" width="6" style="343" customWidth="1"/>
    <col min="15603" max="15604" width="6.6640625" style="343" customWidth="1"/>
    <col min="15605" max="15605" width="7.77734375" style="343" customWidth="1"/>
    <col min="15606" max="15606" width="7.6640625" style="343" customWidth="1"/>
    <col min="15607" max="15607" width="6.6640625" style="343" customWidth="1"/>
    <col min="15608" max="15608" width="5.109375" style="343" customWidth="1"/>
    <col min="15609" max="15609" width="5.33203125" style="343" customWidth="1"/>
    <col min="15610" max="15610" width="5.44140625" style="343" customWidth="1"/>
    <col min="15611" max="15614" width="6.6640625" style="343" customWidth="1"/>
    <col min="15615" max="15615" width="6.77734375" style="343" customWidth="1"/>
    <col min="15616" max="15616" width="5.109375" style="343" customWidth="1"/>
    <col min="15617" max="15617" width="7.109375" style="343" customWidth="1"/>
    <col min="15618" max="15618" width="6.109375" style="343" customWidth="1"/>
    <col min="15619" max="15619" width="7.109375" style="343" customWidth="1"/>
    <col min="15620" max="15620" width="6.44140625" style="343" customWidth="1"/>
    <col min="15621" max="15624" width="7.109375" style="343" customWidth="1"/>
    <col min="15625" max="15625" width="7.44140625" style="343" customWidth="1"/>
    <col min="15626" max="15626" width="7.88671875" style="343" customWidth="1"/>
    <col min="15627" max="15628" width="6.88671875" style="343" customWidth="1"/>
    <col min="15629" max="15632" width="7.109375" style="343" customWidth="1"/>
    <col min="15633" max="15633" width="7.44140625" style="343" customWidth="1"/>
    <col min="15634" max="15634" width="7.109375" style="343" customWidth="1"/>
    <col min="15635" max="15635" width="5.21875" style="343" customWidth="1"/>
    <col min="15636" max="15644" width="10.6640625" style="343" customWidth="1"/>
    <col min="15645" max="15648" width="8.6640625" style="343" customWidth="1"/>
    <col min="15649" max="15850" width="9" style="343"/>
    <col min="15851" max="15851" width="5.44140625" style="343" customWidth="1"/>
    <col min="15852" max="15852" width="7.44140625" style="343" customWidth="1"/>
    <col min="15853" max="15853" width="8.109375" style="343" customWidth="1"/>
    <col min="15854" max="15854" width="8.33203125" style="343" customWidth="1"/>
    <col min="15855" max="15856" width="5" style="343" customWidth="1"/>
    <col min="15857" max="15857" width="5.33203125" style="343" customWidth="1"/>
    <col min="15858" max="15858" width="6" style="343" customWidth="1"/>
    <col min="15859" max="15860" width="6.6640625" style="343" customWidth="1"/>
    <col min="15861" max="15861" width="7.77734375" style="343" customWidth="1"/>
    <col min="15862" max="15862" width="7.6640625" style="343" customWidth="1"/>
    <col min="15863" max="15863" width="6.6640625" style="343" customWidth="1"/>
    <col min="15864" max="15864" width="5.109375" style="343" customWidth="1"/>
    <col min="15865" max="15865" width="5.33203125" style="343" customWidth="1"/>
    <col min="15866" max="15866" width="5.44140625" style="343" customWidth="1"/>
    <col min="15867" max="15870" width="6.6640625" style="343" customWidth="1"/>
    <col min="15871" max="15871" width="6.77734375" style="343" customWidth="1"/>
    <col min="15872" max="15872" width="5.109375" style="343" customWidth="1"/>
    <col min="15873" max="15873" width="7.109375" style="343" customWidth="1"/>
    <col min="15874" max="15874" width="6.109375" style="343" customWidth="1"/>
    <col min="15875" max="15875" width="7.109375" style="343" customWidth="1"/>
    <col min="15876" max="15876" width="6.44140625" style="343" customWidth="1"/>
    <col min="15877" max="15880" width="7.109375" style="343" customWidth="1"/>
    <col min="15881" max="15881" width="7.44140625" style="343" customWidth="1"/>
    <col min="15882" max="15882" width="7.88671875" style="343" customWidth="1"/>
    <col min="15883" max="15884" width="6.88671875" style="343" customWidth="1"/>
    <col min="15885" max="15888" width="7.109375" style="343" customWidth="1"/>
    <col min="15889" max="15889" width="7.44140625" style="343" customWidth="1"/>
    <col min="15890" max="15890" width="7.109375" style="343" customWidth="1"/>
    <col min="15891" max="15891" width="5.21875" style="343" customWidth="1"/>
    <col min="15892" max="15900" width="10.6640625" style="343" customWidth="1"/>
    <col min="15901" max="15904" width="8.6640625" style="343" customWidth="1"/>
    <col min="15905" max="16106" width="9" style="343"/>
    <col min="16107" max="16107" width="5.44140625" style="343" customWidth="1"/>
    <col min="16108" max="16108" width="7.44140625" style="343" customWidth="1"/>
    <col min="16109" max="16109" width="8.109375" style="343" customWidth="1"/>
    <col min="16110" max="16110" width="8.33203125" style="343" customWidth="1"/>
    <col min="16111" max="16112" width="5" style="343" customWidth="1"/>
    <col min="16113" max="16113" width="5.33203125" style="343" customWidth="1"/>
    <col min="16114" max="16114" width="6" style="343" customWidth="1"/>
    <col min="16115" max="16116" width="6.6640625" style="343" customWidth="1"/>
    <col min="16117" max="16117" width="7.77734375" style="343" customWidth="1"/>
    <col min="16118" max="16118" width="7.6640625" style="343" customWidth="1"/>
    <col min="16119" max="16119" width="6.6640625" style="343" customWidth="1"/>
    <col min="16120" max="16120" width="5.109375" style="343" customWidth="1"/>
    <col min="16121" max="16121" width="5.33203125" style="343" customWidth="1"/>
    <col min="16122" max="16122" width="5.44140625" style="343" customWidth="1"/>
    <col min="16123" max="16126" width="6.6640625" style="343" customWidth="1"/>
    <col min="16127" max="16127" width="6.77734375" style="343" customWidth="1"/>
    <col min="16128" max="16128" width="5.109375" style="343" customWidth="1"/>
    <col min="16129" max="16129" width="7.109375" style="343" customWidth="1"/>
    <col min="16130" max="16130" width="6.109375" style="343" customWidth="1"/>
    <col min="16131" max="16131" width="7.109375" style="343" customWidth="1"/>
    <col min="16132" max="16132" width="6.44140625" style="343" customWidth="1"/>
    <col min="16133" max="16136" width="7.109375" style="343" customWidth="1"/>
    <col min="16137" max="16137" width="7.44140625" style="343" customWidth="1"/>
    <col min="16138" max="16138" width="7.88671875" style="343" customWidth="1"/>
    <col min="16139" max="16140" width="6.88671875" style="343" customWidth="1"/>
    <col min="16141" max="16144" width="7.109375" style="343" customWidth="1"/>
    <col min="16145" max="16145" width="7.44140625" style="343" customWidth="1"/>
    <col min="16146" max="16146" width="7.109375" style="343" customWidth="1"/>
    <col min="16147" max="16147" width="5.21875" style="343" customWidth="1"/>
    <col min="16148" max="16156" width="10.6640625" style="343" customWidth="1"/>
    <col min="16157" max="16160" width="8.6640625" style="343" customWidth="1"/>
    <col min="16161" max="16384" width="9" style="343"/>
  </cols>
  <sheetData>
    <row r="1" spans="1:111" ht="50.1" customHeight="1">
      <c r="A1" s="753" t="s">
        <v>269</v>
      </c>
      <c r="B1" s="753"/>
      <c r="C1" s="753"/>
      <c r="D1" s="753"/>
      <c r="E1" s="753"/>
      <c r="F1" s="753"/>
      <c r="G1" s="753"/>
      <c r="H1" s="753"/>
      <c r="I1" s="753"/>
      <c r="J1" s="753"/>
      <c r="K1" s="753"/>
      <c r="L1" s="753"/>
      <c r="M1" s="753"/>
      <c r="N1" s="753"/>
      <c r="O1" s="753"/>
      <c r="P1" s="753"/>
      <c r="Q1" s="754">
        <f>基础数据!A2</f>
        <v>45836</v>
      </c>
      <c r="R1" s="754"/>
      <c r="S1" s="753" t="s">
        <v>270</v>
      </c>
      <c r="T1" s="753"/>
      <c r="U1" s="753"/>
      <c r="V1" s="753"/>
      <c r="W1" s="753"/>
      <c r="X1" s="753"/>
      <c r="Y1" s="753"/>
      <c r="Z1" s="753"/>
      <c r="AA1" s="753"/>
      <c r="AB1" s="753"/>
      <c r="AC1" s="753"/>
      <c r="AD1" s="753"/>
      <c r="AE1" s="753"/>
      <c r="AF1" s="753"/>
      <c r="AG1" s="753"/>
      <c r="AH1" s="753"/>
      <c r="AI1" s="754">
        <f>Q1</f>
        <v>45836</v>
      </c>
      <c r="AJ1" s="754"/>
    </row>
    <row r="2" spans="1:111" ht="20.100000000000001" customHeight="1">
      <c r="A2" s="759" t="s">
        <v>129</v>
      </c>
      <c r="B2" s="760" t="s">
        <v>130</v>
      </c>
      <c r="C2" s="755" t="s">
        <v>131</v>
      </c>
      <c r="D2" s="756"/>
      <c r="E2" s="756"/>
      <c r="F2" s="756"/>
      <c r="G2" s="756"/>
      <c r="H2" s="756"/>
      <c r="I2" s="756"/>
      <c r="J2" s="757"/>
      <c r="K2" s="759"/>
      <c r="L2" s="756" t="s">
        <v>132</v>
      </c>
      <c r="M2" s="756"/>
      <c r="N2" s="756"/>
      <c r="O2" s="756"/>
      <c r="P2" s="756"/>
      <c r="Q2" s="756"/>
      <c r="R2" s="757"/>
      <c r="S2" s="755" t="s">
        <v>133</v>
      </c>
      <c r="T2" s="756"/>
      <c r="U2" s="756"/>
      <c r="V2" s="756"/>
      <c r="W2" s="756"/>
      <c r="X2" s="756"/>
      <c r="Y2" s="758"/>
      <c r="Z2" s="759"/>
      <c r="AA2" s="756" t="s">
        <v>134</v>
      </c>
      <c r="AB2" s="756"/>
      <c r="AC2" s="756"/>
      <c r="AD2" s="756"/>
      <c r="AE2" s="756"/>
      <c r="AF2" s="756"/>
      <c r="AG2" s="757"/>
      <c r="AH2" s="765"/>
      <c r="AI2" s="765"/>
      <c r="AJ2" s="766"/>
      <c r="CV2" s="343" t="s">
        <v>271</v>
      </c>
      <c r="CW2" s="343" t="s">
        <v>272</v>
      </c>
    </row>
    <row r="3" spans="1:111" ht="20.100000000000001" customHeight="1">
      <c r="A3" s="725"/>
      <c r="B3" s="735"/>
      <c r="C3" s="738" t="s">
        <v>135</v>
      </c>
      <c r="D3" s="728"/>
      <c r="E3" s="727"/>
      <c r="F3" s="727"/>
      <c r="G3" s="728"/>
      <c r="H3" s="727"/>
      <c r="I3" s="727"/>
      <c r="J3" s="728"/>
      <c r="K3" s="725"/>
      <c r="L3" s="397"/>
      <c r="M3" s="727"/>
      <c r="N3" s="727"/>
      <c r="O3" s="728"/>
      <c r="P3" s="727"/>
      <c r="Q3" s="727"/>
      <c r="R3" s="728"/>
      <c r="S3" s="722" t="s">
        <v>137</v>
      </c>
      <c r="T3" s="727"/>
      <c r="U3" s="727"/>
      <c r="V3" s="728"/>
      <c r="W3" s="727"/>
      <c r="X3" s="727"/>
      <c r="Y3" s="737"/>
      <c r="Z3" s="725"/>
      <c r="AA3" s="397"/>
      <c r="AB3" s="727"/>
      <c r="AC3" s="727"/>
      <c r="AD3" s="728"/>
      <c r="AE3" s="727"/>
      <c r="AF3" s="727"/>
      <c r="AG3" s="728"/>
      <c r="AH3" s="763"/>
      <c r="AI3" s="763"/>
      <c r="AJ3" s="764"/>
      <c r="CS3" s="343" t="s">
        <v>273</v>
      </c>
      <c r="CV3" s="454">
        <f>AH8</f>
        <v>97.348539988275135</v>
      </c>
      <c r="CW3" s="454">
        <f>AH16</f>
        <v>97.312632147323768</v>
      </c>
    </row>
    <row r="4" spans="1:111" ht="29.25" customHeight="1">
      <c r="A4" s="726"/>
      <c r="B4" s="736"/>
      <c r="C4" s="398" t="s">
        <v>138</v>
      </c>
      <c r="D4" s="398" t="s">
        <v>136</v>
      </c>
      <c r="E4" s="398" t="s">
        <v>139</v>
      </c>
      <c r="F4" s="398" t="s">
        <v>140</v>
      </c>
      <c r="G4" s="398" t="s">
        <v>145</v>
      </c>
      <c r="H4" s="398" t="s">
        <v>142</v>
      </c>
      <c r="I4" s="398" t="s">
        <v>143</v>
      </c>
      <c r="J4" s="398" t="s">
        <v>144</v>
      </c>
      <c r="K4" s="726"/>
      <c r="L4" s="398" t="s">
        <v>136</v>
      </c>
      <c r="M4" s="398" t="s">
        <v>139</v>
      </c>
      <c r="N4" s="398" t="s">
        <v>140</v>
      </c>
      <c r="O4" s="398" t="s">
        <v>145</v>
      </c>
      <c r="P4" s="398" t="s">
        <v>142</v>
      </c>
      <c r="Q4" s="398" t="s">
        <v>143</v>
      </c>
      <c r="R4" s="398" t="s">
        <v>144</v>
      </c>
      <c r="S4" s="723"/>
      <c r="T4" s="398" t="s">
        <v>139</v>
      </c>
      <c r="U4" s="398" t="s">
        <v>140</v>
      </c>
      <c r="V4" s="398" t="s">
        <v>145</v>
      </c>
      <c r="W4" s="398" t="s">
        <v>142</v>
      </c>
      <c r="X4" s="398" t="s">
        <v>143</v>
      </c>
      <c r="Y4" s="446" t="s">
        <v>144</v>
      </c>
      <c r="Z4" s="726"/>
      <c r="AA4" s="398" t="s">
        <v>136</v>
      </c>
      <c r="AB4" s="398" t="s">
        <v>139</v>
      </c>
      <c r="AC4" s="398" t="s">
        <v>140</v>
      </c>
      <c r="AD4" s="398" t="s">
        <v>145</v>
      </c>
      <c r="AE4" s="398" t="s">
        <v>142</v>
      </c>
      <c r="AF4" s="398" t="s">
        <v>143</v>
      </c>
      <c r="AG4" s="398" t="s">
        <v>144</v>
      </c>
      <c r="AH4" s="398" t="s">
        <v>139</v>
      </c>
      <c r="AI4" s="398" t="s">
        <v>140</v>
      </c>
      <c r="AJ4" s="446" t="s">
        <v>145</v>
      </c>
      <c r="CS4" s="343" t="s">
        <v>274</v>
      </c>
      <c r="CV4" s="454">
        <f>M8</f>
        <v>65.670862584895232</v>
      </c>
      <c r="CW4" s="454">
        <f>M16</f>
        <v>61.080469418054619</v>
      </c>
    </row>
    <row r="5" spans="1:111" ht="24" customHeight="1">
      <c r="A5" s="399" t="s">
        <v>146</v>
      </c>
      <c r="B5" s="400">
        <f>'1车间表1'!E10</f>
        <v>16</v>
      </c>
      <c r="C5" s="400">
        <f>'1车间表1'!F10</f>
        <v>256</v>
      </c>
      <c r="D5" s="400">
        <f>'1车间表1'!H10</f>
        <v>248.32</v>
      </c>
      <c r="E5" s="400">
        <f>'1车间表1'!I10</f>
        <v>3.91</v>
      </c>
      <c r="F5" s="400">
        <f>'1车间表1'!J10</f>
        <v>0</v>
      </c>
      <c r="G5" s="401">
        <f>'1车间表1'!K10</f>
        <v>195.5</v>
      </c>
      <c r="H5" s="402">
        <f>'1车间表1'!M10</f>
        <v>9.7093120000000006</v>
      </c>
      <c r="I5" s="402">
        <f>'1车间表1'!N10</f>
        <v>0</v>
      </c>
      <c r="J5" s="431">
        <f>'1车间表1'!O10</f>
        <v>48.546559999999999</v>
      </c>
      <c r="K5" s="399" t="s">
        <v>146</v>
      </c>
      <c r="L5" s="400">
        <f>'1车间表1'!D17</f>
        <v>14.392796291791658</v>
      </c>
      <c r="M5" s="400">
        <f>'1车间表1'!F17</f>
        <v>65.670862584895232</v>
      </c>
      <c r="N5" s="400">
        <f>'1车间表1'!G17</f>
        <v>0</v>
      </c>
      <c r="O5" s="400">
        <f>'1车间表1'!H17</f>
        <v>3366.5768212689172</v>
      </c>
      <c r="P5" s="402">
        <f>'1车间表1'!I17</f>
        <v>9.451873474906396</v>
      </c>
      <c r="Q5" s="402">
        <f>'1车间表1'!J17</f>
        <v>0</v>
      </c>
      <c r="R5" s="432">
        <f>'1车间表1'!K17</f>
        <v>48.454454389191021</v>
      </c>
      <c r="S5" s="400">
        <f>'1车间表1'!D22</f>
        <v>0</v>
      </c>
      <c r="T5" s="400">
        <f>'1车间表1'!F22</f>
        <v>0</v>
      </c>
      <c r="U5" s="400">
        <f>'1车间表1'!G22</f>
        <v>0</v>
      </c>
      <c r="V5" s="400">
        <f>'1车间表1'!H22</f>
        <v>0</v>
      </c>
      <c r="W5" s="402">
        <f>'1车间表1'!I22</f>
        <v>0</v>
      </c>
      <c r="X5" s="402">
        <f>'1车间表1'!J22</f>
        <v>0</v>
      </c>
      <c r="Y5" s="447">
        <f>'1车间表1'!K22</f>
        <v>0</v>
      </c>
      <c r="Z5" s="399" t="s">
        <v>146</v>
      </c>
      <c r="AA5" s="411">
        <f>'1车间表1'!D27</f>
        <v>233.92720370820834</v>
      </c>
      <c r="AB5" s="411">
        <f>'1车间表1'!F27</f>
        <v>0.11005069996678257</v>
      </c>
      <c r="AC5" s="411">
        <f>'1车间表1'!G27</f>
        <v>0</v>
      </c>
      <c r="AD5" s="411">
        <f>'1车间表1'!H27</f>
        <v>0.39373621087637162</v>
      </c>
      <c r="AE5" s="402">
        <f>'1车间表1'!I27</f>
        <v>0.25743852509360465</v>
      </c>
      <c r="AF5" s="402">
        <f>'1车间表1'!J27</f>
        <v>0</v>
      </c>
      <c r="AG5" s="431">
        <f>'1车间表1'!K27</f>
        <v>9.2105610808975058E-2</v>
      </c>
      <c r="AH5" s="411">
        <f>'1车间表1'!L17</f>
        <v>97.348539988275135</v>
      </c>
      <c r="AI5" s="411">
        <f>'1车间表1'!L22</f>
        <v>0</v>
      </c>
      <c r="AJ5" s="450">
        <f>'1车间表1'!M27</f>
        <v>0</v>
      </c>
      <c r="CS5" s="343" t="s">
        <v>275</v>
      </c>
      <c r="CV5" s="454" t="str">
        <f>AI8</f>
        <v>0.00</v>
      </c>
      <c r="CW5" s="454" t="str">
        <f>AI16</f>
        <v>0.00</v>
      </c>
    </row>
    <row r="6" spans="1:111" ht="24" customHeight="1">
      <c r="A6" s="399" t="s">
        <v>147</v>
      </c>
      <c r="B6" s="400">
        <f>'2车间表1'!E10</f>
        <v>0</v>
      </c>
      <c r="C6" s="400">
        <f>'2车间表1'!F10</f>
        <v>0</v>
      </c>
      <c r="D6" s="400">
        <f>'2车间表1'!H10</f>
        <v>0</v>
      </c>
      <c r="E6" s="400" t="str">
        <f>'2车间表1'!I10</f>
        <v>0.00</v>
      </c>
      <c r="F6" s="400">
        <f>'2车间表1'!J10</f>
        <v>0</v>
      </c>
      <c r="G6" s="401" t="str">
        <f>'2车间表1'!K10</f>
        <v>0</v>
      </c>
      <c r="H6" s="402">
        <f>'2车间表1'!M10</f>
        <v>0</v>
      </c>
      <c r="I6" s="402">
        <f>'2车间表1'!N10</f>
        <v>0</v>
      </c>
      <c r="J6" s="431">
        <f>'2车间表1'!O10</f>
        <v>0</v>
      </c>
      <c r="K6" s="399" t="s">
        <v>147</v>
      </c>
      <c r="L6" s="400">
        <f>'2车间表1'!D17</f>
        <v>0</v>
      </c>
      <c r="M6" s="400" t="str">
        <f>'2车间表1'!F17</f>
        <v>0.00</v>
      </c>
      <c r="N6" s="400">
        <f>'2车间表1'!G17</f>
        <v>0</v>
      </c>
      <c r="O6" s="400" t="str">
        <f>'2车间表1'!H17</f>
        <v>0</v>
      </c>
      <c r="P6" s="402">
        <f>'2车间表1'!I17</f>
        <v>0</v>
      </c>
      <c r="Q6" s="402">
        <f>'2车间表1'!J17</f>
        <v>0</v>
      </c>
      <c r="R6" s="432">
        <f>'2车间表1'!K17</f>
        <v>0</v>
      </c>
      <c r="S6" s="400">
        <f>'2车间表1'!D22</f>
        <v>0</v>
      </c>
      <c r="T6" s="400">
        <f>'2车间表1'!F22</f>
        <v>0</v>
      </c>
      <c r="U6" s="400">
        <f>'2车间表1'!G22</f>
        <v>0</v>
      </c>
      <c r="V6" s="400">
        <f>'2车间表1'!H22</f>
        <v>0</v>
      </c>
      <c r="W6" s="402">
        <f>'2车间表1'!I22</f>
        <v>0</v>
      </c>
      <c r="X6" s="402">
        <f>'2车间表1'!J22</f>
        <v>0</v>
      </c>
      <c r="Y6" s="447">
        <f>'2车间表1'!K22</f>
        <v>0</v>
      </c>
      <c r="Z6" s="399" t="s">
        <v>147</v>
      </c>
      <c r="AA6" s="411">
        <f>'2车间表1'!D27</f>
        <v>0</v>
      </c>
      <c r="AB6" s="411" t="str">
        <f>'2车间表1'!F27</f>
        <v>0.00</v>
      </c>
      <c r="AC6" s="411">
        <f>'2车间表1'!G27</f>
        <v>0</v>
      </c>
      <c r="AD6" s="411" t="str">
        <f>'2车间表1'!H27</f>
        <v>0</v>
      </c>
      <c r="AE6" s="402">
        <f>'2车间表1'!I27</f>
        <v>0</v>
      </c>
      <c r="AF6" s="402">
        <f>'2车间表1'!J27</f>
        <v>0</v>
      </c>
      <c r="AG6" s="431">
        <f>'2车间表1'!K27</f>
        <v>0</v>
      </c>
      <c r="AH6" s="411" t="str">
        <f>'2车间表1'!L17</f>
        <v>0.00</v>
      </c>
      <c r="AI6" s="411">
        <f>'2车间表1'!L22</f>
        <v>0</v>
      </c>
      <c r="AJ6" s="450">
        <f>'2车间表1'!M27</f>
        <v>0</v>
      </c>
      <c r="CS6" s="343" t="s">
        <v>276</v>
      </c>
      <c r="CV6" s="454" t="str">
        <f>U8</f>
        <v>0.00</v>
      </c>
      <c r="CW6" s="454" t="str">
        <f>U16</f>
        <v>0.00</v>
      </c>
    </row>
    <row r="7" spans="1:111" ht="24" customHeight="1">
      <c r="A7" s="403"/>
      <c r="B7" s="400"/>
      <c r="C7" s="400"/>
      <c r="D7" s="400"/>
      <c r="E7" s="400"/>
      <c r="F7" s="400"/>
      <c r="G7" s="401"/>
      <c r="H7" s="402"/>
      <c r="I7" s="402"/>
      <c r="J7" s="431"/>
      <c r="K7" s="403"/>
      <c r="L7" s="400"/>
      <c r="M7" s="400"/>
      <c r="N7" s="400"/>
      <c r="O7" s="400"/>
      <c r="P7" s="402"/>
      <c r="Q7" s="402"/>
      <c r="R7" s="432"/>
      <c r="S7" s="400"/>
      <c r="T7" s="400"/>
      <c r="U7" s="400"/>
      <c r="V7" s="400"/>
      <c r="W7" s="402"/>
      <c r="X7" s="402"/>
      <c r="Y7" s="447"/>
      <c r="Z7" s="403"/>
      <c r="AA7" s="411"/>
      <c r="AB7" s="411"/>
      <c r="AC7" s="411"/>
      <c r="AD7" s="411"/>
      <c r="AE7" s="402"/>
      <c r="AF7" s="402"/>
      <c r="AG7" s="431"/>
      <c r="AH7" s="411"/>
      <c r="AI7" s="411"/>
      <c r="AJ7" s="450"/>
      <c r="CS7" s="343" t="s">
        <v>277</v>
      </c>
      <c r="CV7" s="454">
        <f>AB8</f>
        <v>0.11005069996678257</v>
      </c>
      <c r="CW7" s="454">
        <f>AB16</f>
        <v>0.2774069954118597</v>
      </c>
    </row>
    <row r="8" spans="1:111" ht="24" customHeight="1">
      <c r="A8" s="403" t="s">
        <v>148</v>
      </c>
      <c r="B8" s="400">
        <f>B6+B5+B7</f>
        <v>16</v>
      </c>
      <c r="C8" s="400">
        <f t="shared" ref="C8:J8" si="0">C6+C5+C7</f>
        <v>256</v>
      </c>
      <c r="D8" s="400">
        <f t="shared" si="0"/>
        <v>248.32</v>
      </c>
      <c r="E8" s="22">
        <f>IF(ISERROR(H8/D8*100),"0.00",H8/D8*100)</f>
        <v>3.91</v>
      </c>
      <c r="F8" s="22">
        <f>IF(ISERROR(I8/D8*100),"0.00",I8/D8*100)</f>
        <v>0</v>
      </c>
      <c r="G8" s="404">
        <f>IF(ISERROR(J8/D8*1000),"0",J8/D8*1000)</f>
        <v>195.5</v>
      </c>
      <c r="H8" s="402">
        <f t="shared" si="0"/>
        <v>9.7093120000000006</v>
      </c>
      <c r="I8" s="402">
        <f t="shared" si="0"/>
        <v>0</v>
      </c>
      <c r="J8" s="431">
        <f t="shared" si="0"/>
        <v>48.546559999999999</v>
      </c>
      <c r="K8" s="403" t="s">
        <v>148</v>
      </c>
      <c r="L8" s="400">
        <f t="shared" ref="L8:S8" si="1">L6+L5+L7</f>
        <v>14.392796291791658</v>
      </c>
      <c r="M8" s="23">
        <f>IF(ISERROR(P8/L8*100),"0.00",P8/L8*100)</f>
        <v>65.670862584895232</v>
      </c>
      <c r="N8" s="23">
        <f>IF(ISERROR(Q8/L8*100),"0.00",Q8/L8*100)</f>
        <v>0</v>
      </c>
      <c r="O8" s="27">
        <f>IF(ISERROR(R8/L8*1000),"0",R8/L8*1000)</f>
        <v>3366.5768212689172</v>
      </c>
      <c r="P8" s="432">
        <f t="shared" si="1"/>
        <v>9.451873474906396</v>
      </c>
      <c r="Q8" s="432">
        <f t="shared" si="1"/>
        <v>0</v>
      </c>
      <c r="R8" s="432">
        <f t="shared" si="1"/>
        <v>48.454454389191021</v>
      </c>
      <c r="S8" s="400">
        <f t="shared" si="1"/>
        <v>0</v>
      </c>
      <c r="T8" s="23" t="str">
        <f>IF(ISERROR(W8/S8*100),"0.00",W8/S8*100)</f>
        <v>0.00</v>
      </c>
      <c r="U8" s="23" t="str">
        <f>IF(ISERROR(X8/S8*100),"0.00",X8/S8*100)</f>
        <v>0.00</v>
      </c>
      <c r="V8" s="27" t="str">
        <f>IF(ISERROR(Y8/S8*1000),"0",Y8/S8*1000)</f>
        <v>0</v>
      </c>
      <c r="W8" s="432">
        <f t="shared" ref="W8:Y8" si="2">W6+W5+W7</f>
        <v>0</v>
      </c>
      <c r="X8" s="432">
        <f t="shared" si="2"/>
        <v>0</v>
      </c>
      <c r="Y8" s="447">
        <f t="shared" si="2"/>
        <v>0</v>
      </c>
      <c r="Z8" s="403" t="s">
        <v>148</v>
      </c>
      <c r="AA8" s="411">
        <f t="shared" ref="AA8:AG8" si="3">AA6+AA5+AA7</f>
        <v>233.92720370820834</v>
      </c>
      <c r="AB8" s="23">
        <f>IF(ISERROR(AE8/AA8*100),"0.00",AE8/AA8*100)</f>
        <v>0.11005069996678257</v>
      </c>
      <c r="AC8" s="23">
        <f>IF(ISERROR(AF8/AA8*100),"0.00",AF8/AA8*100)</f>
        <v>0</v>
      </c>
      <c r="AD8" s="27">
        <f>IF(ISERROR(AG8/AA8*1000),"0",AG8/AA8*1000)</f>
        <v>0.39373621087637162</v>
      </c>
      <c r="AE8" s="402">
        <f t="shared" si="3"/>
        <v>0.25743852509360465</v>
      </c>
      <c r="AF8" s="402">
        <f t="shared" si="3"/>
        <v>0</v>
      </c>
      <c r="AG8" s="431">
        <f t="shared" si="3"/>
        <v>9.2105610808975058E-2</v>
      </c>
      <c r="AH8" s="411">
        <f>IF(ISERROR(P8/H8*100),"0.00",P8/H8*100)</f>
        <v>97.348539988275135</v>
      </c>
      <c r="AI8" s="411" t="str">
        <f>IF(ISERROR(X8/I8*100),"0.00",X8/I8*100)</f>
        <v>0.00</v>
      </c>
      <c r="AJ8" s="450">
        <f>IF(ISERROR((R8)/J8*100),"0.00",(R8)/J8*100)</f>
        <v>99.810273661390255</v>
      </c>
      <c r="CS8" s="343" t="s">
        <v>278</v>
      </c>
      <c r="CV8" s="454">
        <f>AC8</f>
        <v>0</v>
      </c>
      <c r="CW8" s="454">
        <f>AC16</f>
        <v>0</v>
      </c>
    </row>
    <row r="9" spans="1:111" ht="20.100000000000001" customHeight="1">
      <c r="A9" s="724"/>
      <c r="B9" s="734" t="s">
        <v>130</v>
      </c>
      <c r="C9" s="714" t="s">
        <v>131</v>
      </c>
      <c r="D9" s="712"/>
      <c r="E9" s="712"/>
      <c r="F9" s="712"/>
      <c r="G9" s="712"/>
      <c r="H9" s="712"/>
      <c r="I9" s="712"/>
      <c r="J9" s="713"/>
      <c r="K9" s="724"/>
      <c r="L9" s="712" t="s">
        <v>132</v>
      </c>
      <c r="M9" s="712"/>
      <c r="N9" s="712"/>
      <c r="O9" s="712"/>
      <c r="P9" s="712"/>
      <c r="Q9" s="712"/>
      <c r="R9" s="713"/>
      <c r="S9" s="714" t="s">
        <v>149</v>
      </c>
      <c r="T9" s="712"/>
      <c r="U9" s="712"/>
      <c r="V9" s="712"/>
      <c r="W9" s="712"/>
      <c r="X9" s="712"/>
      <c r="Y9" s="715"/>
      <c r="Z9" s="724"/>
      <c r="AA9" s="712" t="s">
        <v>134</v>
      </c>
      <c r="AB9" s="712"/>
      <c r="AC9" s="712"/>
      <c r="AD9" s="712"/>
      <c r="AE9" s="712"/>
      <c r="AF9" s="712"/>
      <c r="AG9" s="713"/>
      <c r="AH9" s="761"/>
      <c r="AI9" s="761"/>
      <c r="AJ9" s="762"/>
      <c r="CS9" s="343" t="s">
        <v>279</v>
      </c>
      <c r="CV9" s="454">
        <f>AJ8</f>
        <v>99.810273661390255</v>
      </c>
      <c r="CW9" s="454">
        <f>AJ16</f>
        <v>97.867281648406944</v>
      </c>
    </row>
    <row r="10" spans="1:111" ht="20.100000000000001" customHeight="1">
      <c r="A10" s="725"/>
      <c r="B10" s="735"/>
      <c r="C10" s="738" t="s">
        <v>135</v>
      </c>
      <c r="D10" s="728"/>
      <c r="E10" s="727"/>
      <c r="F10" s="727"/>
      <c r="G10" s="728"/>
      <c r="H10" s="727"/>
      <c r="I10" s="727"/>
      <c r="J10" s="728"/>
      <c r="K10" s="725"/>
      <c r="L10" s="397"/>
      <c r="M10" s="727"/>
      <c r="N10" s="727"/>
      <c r="O10" s="728"/>
      <c r="P10" s="727"/>
      <c r="Q10" s="727"/>
      <c r="R10" s="728"/>
      <c r="S10" s="722" t="s">
        <v>137</v>
      </c>
      <c r="T10" s="727"/>
      <c r="U10" s="727"/>
      <c r="V10" s="728"/>
      <c r="W10" s="727"/>
      <c r="X10" s="727"/>
      <c r="Y10" s="737"/>
      <c r="Z10" s="725"/>
      <c r="AA10" s="397"/>
      <c r="AB10" s="727"/>
      <c r="AC10" s="727"/>
      <c r="AD10" s="728"/>
      <c r="AE10" s="727"/>
      <c r="AF10" s="727"/>
      <c r="AG10" s="728"/>
      <c r="AH10" s="763"/>
      <c r="AI10" s="763"/>
      <c r="AJ10" s="764"/>
      <c r="CV10" s="394"/>
      <c r="CW10" s="394"/>
    </row>
    <row r="11" spans="1:111" ht="28.5" customHeight="1">
      <c r="A11" s="726"/>
      <c r="B11" s="736"/>
      <c r="C11" s="398" t="s">
        <v>138</v>
      </c>
      <c r="D11" s="398" t="s">
        <v>136</v>
      </c>
      <c r="E11" s="398" t="s">
        <v>139</v>
      </c>
      <c r="F11" s="398" t="s">
        <v>140</v>
      </c>
      <c r="G11" s="398" t="s">
        <v>145</v>
      </c>
      <c r="H11" s="398" t="s">
        <v>142</v>
      </c>
      <c r="I11" s="398" t="s">
        <v>143</v>
      </c>
      <c r="J11" s="398" t="s">
        <v>144</v>
      </c>
      <c r="K11" s="726"/>
      <c r="L11" s="398" t="s">
        <v>136</v>
      </c>
      <c r="M11" s="398" t="s">
        <v>139</v>
      </c>
      <c r="N11" s="398" t="s">
        <v>140</v>
      </c>
      <c r="O11" s="398" t="s">
        <v>145</v>
      </c>
      <c r="P11" s="398" t="s">
        <v>142</v>
      </c>
      <c r="Q11" s="398" t="s">
        <v>143</v>
      </c>
      <c r="R11" s="398" t="s">
        <v>144</v>
      </c>
      <c r="S11" s="723"/>
      <c r="T11" s="398" t="s">
        <v>139</v>
      </c>
      <c r="U11" s="398" t="s">
        <v>140</v>
      </c>
      <c r="V11" s="398" t="s">
        <v>145</v>
      </c>
      <c r="W11" s="398" t="s">
        <v>142</v>
      </c>
      <c r="X11" s="398" t="s">
        <v>143</v>
      </c>
      <c r="Y11" s="446" t="s">
        <v>144</v>
      </c>
      <c r="Z11" s="726"/>
      <c r="AA11" s="398" t="s">
        <v>136</v>
      </c>
      <c r="AB11" s="398" t="s">
        <v>139</v>
      </c>
      <c r="AC11" s="398" t="s">
        <v>140</v>
      </c>
      <c r="AD11" s="398" t="s">
        <v>145</v>
      </c>
      <c r="AE11" s="398" t="s">
        <v>142</v>
      </c>
      <c r="AF11" s="398" t="s">
        <v>143</v>
      </c>
      <c r="AG11" s="398" t="s">
        <v>144</v>
      </c>
      <c r="AH11" s="398" t="s">
        <v>139</v>
      </c>
      <c r="AI11" s="398" t="s">
        <v>140</v>
      </c>
      <c r="AJ11" s="446" t="s">
        <v>145</v>
      </c>
      <c r="CU11"/>
      <c r="CV11" s="1"/>
      <c r="CW11" s="1"/>
      <c r="CX11"/>
      <c r="CY11"/>
      <c r="CZ11"/>
      <c r="DA11"/>
      <c r="DB11"/>
      <c r="DC11"/>
      <c r="DD11"/>
    </row>
    <row r="12" spans="1:111" ht="24" customHeight="1">
      <c r="A12" s="399"/>
      <c r="B12" s="405"/>
      <c r="C12" s="406"/>
      <c r="D12" s="406"/>
      <c r="E12" s="406"/>
      <c r="F12" s="406"/>
      <c r="G12" s="407"/>
      <c r="H12" s="408"/>
      <c r="I12" s="408"/>
      <c r="J12" s="433"/>
      <c r="K12" s="399"/>
      <c r="L12" s="400"/>
      <c r="M12" s="400"/>
      <c r="N12" s="400"/>
      <c r="O12" s="400"/>
      <c r="P12" s="432"/>
      <c r="Q12" s="432"/>
      <c r="R12" s="432"/>
      <c r="S12" s="400"/>
      <c r="T12" s="400"/>
      <c r="U12" s="400"/>
      <c r="V12" s="400"/>
      <c r="W12" s="432"/>
      <c r="X12" s="432"/>
      <c r="Y12" s="447"/>
      <c r="Z12" s="399"/>
      <c r="AA12" s="406"/>
      <c r="AB12" s="406"/>
      <c r="AC12" s="406"/>
      <c r="AD12" s="406"/>
      <c r="AE12" s="408"/>
      <c r="AF12" s="408"/>
      <c r="AG12" s="433"/>
      <c r="AH12" s="406"/>
      <c r="AI12" s="406"/>
      <c r="AJ12" s="451"/>
      <c r="CU12" s="394"/>
      <c r="CV12" s="455"/>
      <c r="CW12" s="455"/>
      <c r="CX12" s="456"/>
      <c r="CY12" s="456"/>
      <c r="CZ12" s="394"/>
      <c r="DA12" s="394"/>
      <c r="DB12" s="394"/>
      <c r="DC12" s="456"/>
      <c r="DD12" s="456"/>
      <c r="DF12" s="456"/>
      <c r="DG12" s="455"/>
    </row>
    <row r="13" spans="1:111" ht="24" customHeight="1">
      <c r="A13" s="409"/>
      <c r="B13" s="405"/>
      <c r="C13" s="406"/>
      <c r="D13" s="406"/>
      <c r="E13" s="406"/>
      <c r="F13" s="406"/>
      <c r="G13" s="407"/>
      <c r="H13" s="408"/>
      <c r="I13" s="408"/>
      <c r="J13" s="433"/>
      <c r="K13" s="409"/>
      <c r="L13" s="400"/>
      <c r="M13" s="400"/>
      <c r="N13" s="400"/>
      <c r="O13" s="400"/>
      <c r="P13" s="432"/>
      <c r="Q13" s="432"/>
      <c r="R13" s="432"/>
      <c r="S13" s="400"/>
      <c r="T13" s="400"/>
      <c r="U13" s="400"/>
      <c r="V13" s="400"/>
      <c r="W13" s="432"/>
      <c r="X13" s="432"/>
      <c r="Y13" s="447"/>
      <c r="Z13" s="409"/>
      <c r="AA13" s="406"/>
      <c r="AB13" s="406"/>
      <c r="AC13" s="406"/>
      <c r="AD13" s="406"/>
      <c r="AE13" s="408"/>
      <c r="AF13" s="408"/>
      <c r="AG13" s="433"/>
      <c r="AH13" s="406"/>
      <c r="AI13" s="406"/>
      <c r="AJ13" s="451"/>
      <c r="CU13" s="394"/>
      <c r="CV13" s="394"/>
      <c r="CW13" s="394"/>
      <c r="CX13" s="394"/>
      <c r="CY13" s="394"/>
      <c r="CZ13" s="394"/>
      <c r="DA13" s="394"/>
      <c r="DB13" s="394"/>
      <c r="DC13" s="394"/>
      <c r="DD13" s="394"/>
    </row>
    <row r="14" spans="1:111" ht="24" customHeight="1">
      <c r="A14" s="403"/>
      <c r="B14" s="405"/>
      <c r="C14" s="406"/>
      <c r="D14" s="406"/>
      <c r="E14" s="406"/>
      <c r="F14" s="406"/>
      <c r="G14" s="407"/>
      <c r="H14" s="408"/>
      <c r="I14" s="408"/>
      <c r="J14" s="433"/>
      <c r="K14" s="403"/>
      <c r="L14" s="400"/>
      <c r="M14" s="400"/>
      <c r="N14" s="400"/>
      <c r="O14" s="400"/>
      <c r="P14" s="402"/>
      <c r="Q14" s="402"/>
      <c r="R14" s="432"/>
      <c r="S14" s="400"/>
      <c r="T14" s="400"/>
      <c r="U14" s="400"/>
      <c r="V14" s="400"/>
      <c r="W14" s="402"/>
      <c r="X14" s="402"/>
      <c r="Y14" s="447"/>
      <c r="Z14" s="403"/>
      <c r="AA14" s="406"/>
      <c r="AB14" s="406"/>
      <c r="AC14" s="406"/>
      <c r="AD14" s="406"/>
      <c r="AE14" s="408"/>
      <c r="AF14" s="408"/>
      <c r="AG14" s="433"/>
      <c r="AH14" s="406"/>
      <c r="AI14" s="406"/>
      <c r="AJ14" s="451"/>
    </row>
    <row r="15" spans="1:111" ht="24" customHeight="1">
      <c r="A15" s="410"/>
      <c r="B15" s="411"/>
      <c r="C15" s="411"/>
      <c r="D15" s="411"/>
      <c r="E15" s="23"/>
      <c r="F15" s="23"/>
      <c r="G15" s="412"/>
      <c r="H15" s="413"/>
      <c r="I15" s="432"/>
      <c r="J15" s="434"/>
      <c r="K15" s="410"/>
      <c r="L15" s="411"/>
      <c r="M15" s="23"/>
      <c r="N15" s="23"/>
      <c r="O15" s="27"/>
      <c r="P15" s="435"/>
      <c r="Q15" s="402"/>
      <c r="R15" s="413"/>
      <c r="S15" s="411"/>
      <c r="T15" s="23"/>
      <c r="U15" s="23"/>
      <c r="V15" s="27"/>
      <c r="W15" s="402"/>
      <c r="X15" s="402"/>
      <c r="Y15" s="448"/>
      <c r="Z15" s="410"/>
      <c r="AA15" s="411"/>
      <c r="AB15" s="23"/>
      <c r="AC15" s="23"/>
      <c r="AD15" s="27"/>
      <c r="AE15" s="402"/>
      <c r="AF15" s="402"/>
      <c r="AG15" s="431"/>
      <c r="AH15" s="411"/>
      <c r="AI15" s="411"/>
      <c r="AJ15" s="450"/>
    </row>
    <row r="16" spans="1:111" ht="24" customHeight="1">
      <c r="A16" s="414" t="s">
        <v>99</v>
      </c>
      <c r="B16" s="415">
        <f>B24+B8</f>
        <v>25</v>
      </c>
      <c r="C16" s="415">
        <f>C24+C8</f>
        <v>1030.23</v>
      </c>
      <c r="D16" s="415">
        <f>D8+D24</f>
        <v>1000.7167139999999</v>
      </c>
      <c r="E16" s="416">
        <f>IF(ISERROR(H16/D16*100),"0.00",H16/D16*100)</f>
        <v>8.8647432114339608</v>
      </c>
      <c r="F16" s="416">
        <f>IF(ISERROR(I16/D16*100),"0.00",I16/D16*100)</f>
        <v>0</v>
      </c>
      <c r="G16" s="417">
        <f>IF(ISERROR(J16/D16*1000),"0",J16/D16*1000)</f>
        <v>477.07076368467654</v>
      </c>
      <c r="H16" s="418">
        <f t="shared" ref="H16:J16" si="4">H24+H8</f>
        <v>88.710966970000001</v>
      </c>
      <c r="I16" s="418">
        <f t="shared" si="4"/>
        <v>0</v>
      </c>
      <c r="J16" s="436">
        <f t="shared" si="4"/>
        <v>477.41268697999999</v>
      </c>
      <c r="K16" s="414" t="s">
        <v>89</v>
      </c>
      <c r="L16" s="437">
        <f t="shared" ref="L16:S16" si="5">L24+L8</f>
        <v>141.33319174579367</v>
      </c>
      <c r="M16" s="416">
        <f>IF(ISERROR(P16/L16*100),"0.00",P16/L16*100)</f>
        <v>61.080469418054619</v>
      </c>
      <c r="N16" s="416">
        <f>IF(ISERROR(Q16/L16*100),"0.00",Q16/L16*100)</f>
        <v>0</v>
      </c>
      <c r="O16" s="438">
        <f>IF(ISERROR(R16/L16*1000),"0",R16/L16*1000)</f>
        <v>3305.88174809156</v>
      </c>
      <c r="P16" s="439">
        <f t="shared" si="5"/>
        <v>86.326976961849994</v>
      </c>
      <c r="Q16" s="444">
        <f t="shared" si="5"/>
        <v>0</v>
      </c>
      <c r="R16" s="418">
        <f t="shared" si="5"/>
        <v>467.23081899194403</v>
      </c>
      <c r="S16" s="415">
        <f t="shared" si="5"/>
        <v>0</v>
      </c>
      <c r="T16" s="416" t="str">
        <f>IF(ISERROR(W16/S16*100),"0.00",W16/S16*100)</f>
        <v>0.00</v>
      </c>
      <c r="U16" s="416" t="str">
        <f>IF(ISERROR(X16/S16*100),"0.00",X16/S16*100)</f>
        <v>0.00</v>
      </c>
      <c r="V16" s="438" t="str">
        <f>IF(ISERROR(Y16/S16*1000),"0",Y16/S16*1000)</f>
        <v>0</v>
      </c>
      <c r="W16" s="444">
        <f t="shared" ref="W16:Y16" si="6">W24+W8</f>
        <v>0</v>
      </c>
      <c r="X16" s="439">
        <f t="shared" si="6"/>
        <v>0</v>
      </c>
      <c r="Y16" s="449">
        <f t="shared" si="6"/>
        <v>0</v>
      </c>
      <c r="Z16" s="414" t="s">
        <v>89</v>
      </c>
      <c r="AA16" s="415">
        <f t="shared" ref="AA16:AG16" si="7">AA24+AA8</f>
        <v>859.38352225420635</v>
      </c>
      <c r="AB16" s="416">
        <f>IF(ISERROR(AE16/AA16*100),"0.00",AE16/AA16*100)</f>
        <v>0.2774069954118597</v>
      </c>
      <c r="AC16" s="416">
        <f>IF(ISERROR(AF16/AA16*100),"0.00",AF16/AA16*100)</f>
        <v>0</v>
      </c>
      <c r="AD16" s="438">
        <f>IF(ISERROR(AG16/AA16*1000),"0",AG16/AA16*1000)</f>
        <v>11.847874347589096</v>
      </c>
      <c r="AE16" s="444">
        <f t="shared" si="7"/>
        <v>2.3839900081500045</v>
      </c>
      <c r="AF16" s="444">
        <f t="shared" si="7"/>
        <v>0</v>
      </c>
      <c r="AG16" s="452">
        <f t="shared" si="7"/>
        <v>10.181867988056375</v>
      </c>
      <c r="AH16" s="415">
        <f>IF(ISERROR(P16/H16*100),"0.00",P16/H16*100)</f>
        <v>97.312632147323768</v>
      </c>
      <c r="AI16" s="415" t="str">
        <f>IF(ISERROR(X16/I16*100),"0.00",X16/I16*100)</f>
        <v>0.00</v>
      </c>
      <c r="AJ16" s="453">
        <f>IF(ISERROR((R16)/J16*100),"0.00",(R16)/J16*100)</f>
        <v>97.867281648406944</v>
      </c>
    </row>
    <row r="17" spans="1:36" ht="11.25" customHeight="1">
      <c r="A17" s="419"/>
      <c r="B17" s="419"/>
      <c r="C17" s="419"/>
      <c r="D17" s="419"/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19"/>
      <c r="V17" s="419"/>
      <c r="W17" s="419"/>
      <c r="X17" s="445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</row>
    <row r="18" spans="1:36" hidden="1">
      <c r="A18" s="419"/>
      <c r="B18" s="419"/>
      <c r="C18" s="419"/>
      <c r="D18" s="419"/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19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</row>
    <row r="19" spans="1:36" hidden="1">
      <c r="A19" s="419"/>
      <c r="B19" s="419"/>
      <c r="C19" s="419"/>
      <c r="D19" s="419"/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19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</row>
    <row r="20" spans="1:36">
      <c r="C20" s="420"/>
      <c r="D20" s="420"/>
      <c r="E20" s="25"/>
      <c r="F20" s="25"/>
      <c r="G20" s="421"/>
    </row>
    <row r="21" spans="1:36" ht="25.5" customHeight="1">
      <c r="A21" s="724"/>
      <c r="B21" s="734" t="s">
        <v>130</v>
      </c>
      <c r="C21" s="708" t="s">
        <v>131</v>
      </c>
      <c r="D21" s="708"/>
      <c r="E21" s="708"/>
      <c r="F21" s="708"/>
      <c r="G21" s="708"/>
      <c r="H21" s="708"/>
      <c r="I21" s="708"/>
      <c r="J21" s="708"/>
      <c r="K21" s="719"/>
      <c r="L21" s="712" t="s">
        <v>132</v>
      </c>
      <c r="M21" s="712"/>
      <c r="N21" s="712"/>
      <c r="O21" s="712"/>
      <c r="P21" s="712"/>
      <c r="Q21" s="712"/>
      <c r="R21" s="713"/>
      <c r="S21" s="708" t="s">
        <v>133</v>
      </c>
      <c r="T21" s="708"/>
      <c r="U21" s="708"/>
      <c r="V21" s="708"/>
      <c r="W21" s="708"/>
      <c r="X21" s="708"/>
      <c r="Y21" s="708"/>
      <c r="Z21" s="719"/>
      <c r="AA21" s="712" t="s">
        <v>134</v>
      </c>
      <c r="AB21" s="712"/>
      <c r="AC21" s="712"/>
      <c r="AD21" s="712"/>
      <c r="AE21" s="712"/>
      <c r="AF21" s="712"/>
      <c r="AG21" s="713"/>
      <c r="AH21" s="707"/>
      <c r="AI21" s="707"/>
      <c r="AJ21" s="707"/>
    </row>
    <row r="22" spans="1:36" ht="24" customHeight="1">
      <c r="A22" s="725"/>
      <c r="B22" s="735"/>
      <c r="C22" s="707" t="s">
        <v>135</v>
      </c>
      <c r="D22" s="707"/>
      <c r="E22" s="707"/>
      <c r="F22" s="707"/>
      <c r="G22" s="707"/>
      <c r="H22" s="707"/>
      <c r="I22" s="707"/>
      <c r="J22" s="707"/>
      <c r="K22" s="720"/>
      <c r="L22" s="397"/>
      <c r="M22" s="727"/>
      <c r="N22" s="727"/>
      <c r="O22" s="728"/>
      <c r="P22" s="727"/>
      <c r="Q22" s="727"/>
      <c r="R22" s="728"/>
      <c r="S22" s="707" t="s">
        <v>137</v>
      </c>
      <c r="T22" s="707"/>
      <c r="U22" s="707"/>
      <c r="V22" s="707"/>
      <c r="W22" s="707"/>
      <c r="X22" s="707"/>
      <c r="Y22" s="707"/>
      <c r="Z22" s="720"/>
      <c r="AA22" s="397"/>
      <c r="AB22" s="727"/>
      <c r="AC22" s="727"/>
      <c r="AD22" s="728"/>
      <c r="AE22" s="727"/>
      <c r="AF22" s="727"/>
      <c r="AG22" s="728"/>
      <c r="AH22" s="707"/>
      <c r="AI22" s="707"/>
      <c r="AJ22" s="707"/>
    </row>
    <row r="23" spans="1:36" ht="24">
      <c r="A23" s="726"/>
      <c r="B23" s="736"/>
      <c r="C23" s="398" t="s">
        <v>138</v>
      </c>
      <c r="D23" s="398" t="s">
        <v>136</v>
      </c>
      <c r="E23" s="398" t="s">
        <v>139</v>
      </c>
      <c r="F23" s="398" t="s">
        <v>140</v>
      </c>
      <c r="G23" s="398" t="s">
        <v>145</v>
      </c>
      <c r="H23" s="398" t="s">
        <v>142</v>
      </c>
      <c r="I23" s="398" t="s">
        <v>143</v>
      </c>
      <c r="J23" s="398" t="s">
        <v>144</v>
      </c>
      <c r="K23" s="721"/>
      <c r="L23" s="398" t="s">
        <v>136</v>
      </c>
      <c r="M23" s="398" t="s">
        <v>139</v>
      </c>
      <c r="N23" s="398" t="s">
        <v>140</v>
      </c>
      <c r="O23" s="398" t="s">
        <v>145</v>
      </c>
      <c r="P23" s="398" t="s">
        <v>142</v>
      </c>
      <c r="Q23" s="398" t="s">
        <v>143</v>
      </c>
      <c r="R23" s="398" t="s">
        <v>144</v>
      </c>
      <c r="S23" s="707"/>
      <c r="T23" s="398" t="s">
        <v>139</v>
      </c>
      <c r="U23" s="398" t="s">
        <v>140</v>
      </c>
      <c r="V23" s="398" t="s">
        <v>145</v>
      </c>
      <c r="W23" s="398" t="s">
        <v>142</v>
      </c>
      <c r="X23" s="398" t="s">
        <v>143</v>
      </c>
      <c r="Y23" s="398" t="s">
        <v>144</v>
      </c>
      <c r="Z23" s="721"/>
      <c r="AA23" s="398" t="s">
        <v>136</v>
      </c>
      <c r="AB23" s="398" t="s">
        <v>139</v>
      </c>
      <c r="AC23" s="398" t="s">
        <v>140</v>
      </c>
      <c r="AD23" s="398" t="s">
        <v>145</v>
      </c>
      <c r="AE23" s="398" t="s">
        <v>142</v>
      </c>
      <c r="AF23" s="398" t="s">
        <v>143</v>
      </c>
      <c r="AG23" s="398" t="s">
        <v>144</v>
      </c>
      <c r="AH23" s="398" t="s">
        <v>139</v>
      </c>
      <c r="AI23" s="398" t="s">
        <v>140</v>
      </c>
      <c r="AJ23" s="398" t="s">
        <v>145</v>
      </c>
    </row>
    <row r="24" spans="1:36" ht="23.25" customHeight="1">
      <c r="A24" s="422" t="s">
        <v>280</v>
      </c>
      <c r="B24" s="406">
        <v>9</v>
      </c>
      <c r="C24" s="406">
        <v>774.23</v>
      </c>
      <c r="D24" s="406">
        <v>752.39671399999997</v>
      </c>
      <c r="E24" s="423"/>
      <c r="F24" s="423"/>
      <c r="G24" s="423"/>
      <c r="H24" s="408">
        <v>79.001654970000004</v>
      </c>
      <c r="I24" s="408">
        <v>0</v>
      </c>
      <c r="J24" s="440">
        <v>428.86612697999999</v>
      </c>
      <c r="K24" s="426" t="s">
        <v>89</v>
      </c>
      <c r="L24" s="441">
        <v>126.940395454002</v>
      </c>
      <c r="M24" s="423"/>
      <c r="N24" s="423"/>
      <c r="O24" s="423"/>
      <c r="P24" s="402">
        <v>76.875103486943601</v>
      </c>
      <c r="Q24" s="402">
        <v>0</v>
      </c>
      <c r="R24" s="443">
        <v>418.77636460275301</v>
      </c>
      <c r="S24" s="411">
        <v>0</v>
      </c>
      <c r="T24" s="423"/>
      <c r="U24" s="423"/>
      <c r="V24" s="423"/>
      <c r="W24" s="435">
        <v>0</v>
      </c>
      <c r="X24" s="435">
        <v>0</v>
      </c>
      <c r="Y24" s="440">
        <v>0</v>
      </c>
      <c r="Z24" s="426" t="s">
        <v>89</v>
      </c>
      <c r="AA24" s="406">
        <v>625.45631854599799</v>
      </c>
      <c r="AB24" s="423"/>
      <c r="AC24" s="423"/>
      <c r="AD24" s="423"/>
      <c r="AE24" s="408">
        <v>2.1265514830563998</v>
      </c>
      <c r="AF24" s="408">
        <v>0</v>
      </c>
      <c r="AG24" s="433">
        <v>10.0897623772474</v>
      </c>
      <c r="AH24" s="423"/>
      <c r="AI24" s="423"/>
      <c r="AJ24" s="423"/>
    </row>
    <row r="25" spans="1:36" s="395" customFormat="1" ht="21" customHeight="1">
      <c r="B25" s="424"/>
      <c r="C25" s="424"/>
      <c r="D25" s="424"/>
      <c r="E25" s="424"/>
      <c r="F25" s="424"/>
      <c r="G25" s="424"/>
      <c r="H25" s="425"/>
      <c r="I25" s="425"/>
      <c r="J25" s="425"/>
      <c r="K25" s="424"/>
      <c r="L25" s="442"/>
      <c r="M25" s="424"/>
      <c r="N25" s="424"/>
      <c r="O25" s="424"/>
      <c r="P25" s="424"/>
      <c r="Q25" s="424"/>
      <c r="R25" s="424"/>
      <c r="S25" s="424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</row>
    <row r="26" spans="1:36" s="396" customFormat="1" ht="23.25" customHeight="1"/>
    <row r="27" spans="1:36" ht="27" customHeight="1">
      <c r="A27" s="426" t="s">
        <v>99</v>
      </c>
      <c r="B27" s="411">
        <f>B16</f>
        <v>25</v>
      </c>
      <c r="C27" s="411">
        <f t="shared" ref="C27:L27" si="8">C16</f>
        <v>1030.23</v>
      </c>
      <c r="D27" s="411">
        <f t="shared" si="8"/>
        <v>1000.7167139999999</v>
      </c>
      <c r="E27" s="427"/>
      <c r="F27" s="427"/>
      <c r="G27" s="427"/>
      <c r="H27" s="402">
        <f t="shared" si="8"/>
        <v>88.710966970000001</v>
      </c>
      <c r="I27" s="402">
        <f t="shared" si="8"/>
        <v>0</v>
      </c>
      <c r="J27" s="443">
        <f t="shared" si="8"/>
        <v>477.41268697999999</v>
      </c>
      <c r="K27" s="426" t="str">
        <f t="shared" si="8"/>
        <v>年累</v>
      </c>
      <c r="L27" s="441">
        <f t="shared" si="8"/>
        <v>141.33319174579367</v>
      </c>
      <c r="M27" s="427"/>
      <c r="N27" s="427"/>
      <c r="O27" s="427"/>
      <c r="P27" s="402">
        <f t="shared" ref="P27:S27" si="9">P16</f>
        <v>86.326976961849994</v>
      </c>
      <c r="Q27" s="402">
        <f t="shared" si="9"/>
        <v>0</v>
      </c>
      <c r="R27" s="443">
        <f t="shared" si="9"/>
        <v>467.23081899194403</v>
      </c>
      <c r="S27" s="411">
        <f t="shared" si="9"/>
        <v>0</v>
      </c>
      <c r="T27" s="427"/>
      <c r="U27" s="427"/>
      <c r="V27" s="427"/>
      <c r="W27" s="435">
        <f t="shared" ref="W27:AA27" si="10">W16</f>
        <v>0</v>
      </c>
      <c r="X27" s="435">
        <f t="shared" si="10"/>
        <v>0</v>
      </c>
      <c r="Y27" s="443">
        <f t="shared" si="10"/>
        <v>0</v>
      </c>
      <c r="Z27" s="426" t="str">
        <f t="shared" si="10"/>
        <v>年累</v>
      </c>
      <c r="AA27" s="411">
        <f t="shared" si="10"/>
        <v>859.38352225420635</v>
      </c>
      <c r="AB27" s="427"/>
      <c r="AC27" s="427"/>
      <c r="AD27" s="427"/>
      <c r="AE27" s="402">
        <f t="shared" ref="AE27:AG27" si="11">AE16</f>
        <v>2.3839900081500045</v>
      </c>
      <c r="AF27" s="402">
        <f t="shared" si="11"/>
        <v>0</v>
      </c>
      <c r="AG27" s="431">
        <f t="shared" si="11"/>
        <v>10.181867988056375</v>
      </c>
    </row>
    <row r="30" spans="1:36">
      <c r="C30" s="394"/>
      <c r="D30" s="428"/>
      <c r="E30" s="394"/>
      <c r="F30" s="394"/>
      <c r="G30" s="429"/>
      <c r="H30" s="394"/>
      <c r="I30" s="394"/>
      <c r="J30" s="394"/>
    </row>
    <row r="31" spans="1:36">
      <c r="C31" s="394"/>
      <c r="D31" s="394"/>
      <c r="E31" s="394"/>
      <c r="F31" s="394"/>
      <c r="G31" s="394"/>
      <c r="H31" s="394"/>
      <c r="I31" s="394"/>
      <c r="J31" s="394"/>
    </row>
    <row r="32" spans="1:36">
      <c r="C32" s="394"/>
      <c r="D32" s="430"/>
      <c r="E32" s="394"/>
      <c r="F32" s="394"/>
      <c r="G32" s="429"/>
      <c r="H32" s="394"/>
      <c r="I32" s="394"/>
      <c r="J32" s="394"/>
    </row>
    <row r="33" spans="3:10">
      <c r="C33" s="394"/>
      <c r="D33" s="394"/>
      <c r="E33" s="394"/>
      <c r="F33" s="394"/>
      <c r="G33" s="394"/>
      <c r="H33" s="394"/>
      <c r="I33" s="394"/>
      <c r="J33" s="394"/>
    </row>
  </sheetData>
  <mergeCells count="61">
    <mergeCell ref="AH9:AJ10"/>
    <mergeCell ref="AH21:AJ22"/>
    <mergeCell ref="AH2:AJ3"/>
    <mergeCell ref="T22:V22"/>
    <mergeCell ref="W22:Y22"/>
    <mergeCell ref="AB22:AD22"/>
    <mergeCell ref="AE22:AG22"/>
    <mergeCell ref="T10:V10"/>
    <mergeCell ref="W10:Y10"/>
    <mergeCell ref="AB10:AD10"/>
    <mergeCell ref="AE10:AG10"/>
    <mergeCell ref="T3:V3"/>
    <mergeCell ref="W3:Y3"/>
    <mergeCell ref="AB3:AD3"/>
    <mergeCell ref="AE3:AG3"/>
    <mergeCell ref="Z2:Z4"/>
    <mergeCell ref="S3:S4"/>
    <mergeCell ref="S10:S11"/>
    <mergeCell ref="S22:S23"/>
    <mergeCell ref="A2:A4"/>
    <mergeCell ref="A9:A11"/>
    <mergeCell ref="A21:A23"/>
    <mergeCell ref="B2:B4"/>
    <mergeCell ref="B9:B11"/>
    <mergeCell ref="B21:B23"/>
    <mergeCell ref="E22:G22"/>
    <mergeCell ref="H22:J22"/>
    <mergeCell ref="M22:O22"/>
    <mergeCell ref="P22:R22"/>
    <mergeCell ref="K2:K4"/>
    <mergeCell ref="K9:K11"/>
    <mergeCell ref="K21:K23"/>
    <mergeCell ref="C21:J21"/>
    <mergeCell ref="L21:R21"/>
    <mergeCell ref="S21:Y21"/>
    <mergeCell ref="AA21:AG21"/>
    <mergeCell ref="Z9:Z11"/>
    <mergeCell ref="Z21:Z23"/>
    <mergeCell ref="C10:D10"/>
    <mergeCell ref="E10:G10"/>
    <mergeCell ref="H10:J10"/>
    <mergeCell ref="M10:O10"/>
    <mergeCell ref="P10:R10"/>
    <mergeCell ref="C9:J9"/>
    <mergeCell ref="L9:R9"/>
    <mergeCell ref="S9:Y9"/>
    <mergeCell ref="AA9:AG9"/>
    <mergeCell ref="C22:D22"/>
    <mergeCell ref="C3:D3"/>
    <mergeCell ref="E3:G3"/>
    <mergeCell ref="H3:J3"/>
    <mergeCell ref="M3:O3"/>
    <mergeCell ref="P3:R3"/>
    <mergeCell ref="A1:P1"/>
    <mergeCell ref="Q1:R1"/>
    <mergeCell ref="S1:AH1"/>
    <mergeCell ref="AI1:AJ1"/>
    <mergeCell ref="C2:J2"/>
    <mergeCell ref="L2:R2"/>
    <mergeCell ref="S2:Y2"/>
    <mergeCell ref="AA2:AG2"/>
  </mergeCells>
  <phoneticPr fontId="54" type="noConversion"/>
  <printOptions horizontalCentered="1" verticalCentered="1"/>
  <pageMargins left="0.196527777777778" right="0.196527777777778" top="0.98402777777777795" bottom="0.196527777777778" header="0.59027777777777801" footer="0.59027777777777801"/>
  <pageSetup paperSize="9" pageOrder="overThenDown" orientation="landscape" verticalDpi="300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1">
    <tabColor rgb="FF00B0F0"/>
  </sheetPr>
  <dimension ref="A1:R51"/>
  <sheetViews>
    <sheetView zoomScale="85" zoomScaleNormal="85" zoomScalePageLayoutView="90" workbookViewId="0">
      <selection activeCell="E12" sqref="E12"/>
    </sheetView>
  </sheetViews>
  <sheetFormatPr defaultColWidth="9" defaultRowHeight="15.6"/>
  <cols>
    <col min="1" max="1" width="5.6640625" style="344" customWidth="1"/>
    <col min="2" max="2" width="25.5546875" style="343" customWidth="1"/>
    <col min="3" max="3" width="5.6640625" style="343" customWidth="1"/>
    <col min="4" max="4" width="20" style="343" hidden="1" customWidth="1"/>
    <col min="5" max="6" width="21.33203125" style="343" customWidth="1"/>
    <col min="7" max="8" width="17.77734375" style="343" hidden="1" customWidth="1"/>
    <col min="9" max="9" width="23.44140625" style="343" customWidth="1"/>
    <col min="10" max="10" width="16" style="343"/>
    <col min="11" max="11" width="11" style="343" customWidth="1"/>
    <col min="12" max="12" width="14.88671875" style="343"/>
    <col min="13" max="14" width="10.88671875" style="343"/>
    <col min="15" max="15" width="14.88671875" style="343"/>
    <col min="16" max="18" width="10.88671875" style="343"/>
    <col min="19" max="238" width="9" style="343"/>
    <col min="239" max="239" width="5.6640625" style="343" customWidth="1"/>
    <col min="240" max="240" width="21.88671875" style="343" customWidth="1"/>
    <col min="241" max="241" width="5.6640625" style="343" customWidth="1"/>
    <col min="242" max="243" width="15.6640625" style="343" customWidth="1"/>
    <col min="244" max="244" width="16.6640625" style="343" customWidth="1"/>
    <col min="245" max="245" width="18.6640625" style="343" customWidth="1"/>
    <col min="246" max="247" width="15.6640625" style="343" customWidth="1"/>
    <col min="248" max="248" width="18.6640625" style="343" customWidth="1"/>
    <col min="249" max="249" width="18.21875" style="343" customWidth="1"/>
    <col min="250" max="494" width="9" style="343"/>
    <col min="495" max="495" width="5.6640625" style="343" customWidth="1"/>
    <col min="496" max="496" width="21.88671875" style="343" customWidth="1"/>
    <col min="497" max="497" width="5.6640625" style="343" customWidth="1"/>
    <col min="498" max="499" width="15.6640625" style="343" customWidth="1"/>
    <col min="500" max="500" width="16.6640625" style="343" customWidth="1"/>
    <col min="501" max="501" width="18.6640625" style="343" customWidth="1"/>
    <col min="502" max="503" width="15.6640625" style="343" customWidth="1"/>
    <col min="504" max="504" width="18.6640625" style="343" customWidth="1"/>
    <col min="505" max="505" width="18.21875" style="343" customWidth="1"/>
    <col min="506" max="750" width="9" style="343"/>
    <col min="751" max="751" width="5.6640625" style="343" customWidth="1"/>
    <col min="752" max="752" width="21.88671875" style="343" customWidth="1"/>
    <col min="753" max="753" width="5.6640625" style="343" customWidth="1"/>
    <col min="754" max="755" width="15.6640625" style="343" customWidth="1"/>
    <col min="756" max="756" width="16.6640625" style="343" customWidth="1"/>
    <col min="757" max="757" width="18.6640625" style="343" customWidth="1"/>
    <col min="758" max="759" width="15.6640625" style="343" customWidth="1"/>
    <col min="760" max="760" width="18.6640625" style="343" customWidth="1"/>
    <col min="761" max="761" width="18.21875" style="343" customWidth="1"/>
    <col min="762" max="1006" width="9" style="343"/>
    <col min="1007" max="1007" width="5.6640625" style="343" customWidth="1"/>
    <col min="1008" max="1008" width="21.88671875" style="343" customWidth="1"/>
    <col min="1009" max="1009" width="5.6640625" style="343" customWidth="1"/>
    <col min="1010" max="1011" width="15.6640625" style="343" customWidth="1"/>
    <col min="1012" max="1012" width="16.6640625" style="343" customWidth="1"/>
    <col min="1013" max="1013" width="18.6640625" style="343" customWidth="1"/>
    <col min="1014" max="1015" width="15.6640625" style="343" customWidth="1"/>
    <col min="1016" max="1016" width="18.6640625" style="343" customWidth="1"/>
    <col min="1017" max="1017" width="18.21875" style="343" customWidth="1"/>
    <col min="1018" max="1262" width="9" style="343"/>
    <col min="1263" max="1263" width="5.6640625" style="343" customWidth="1"/>
    <col min="1264" max="1264" width="21.88671875" style="343" customWidth="1"/>
    <col min="1265" max="1265" width="5.6640625" style="343" customWidth="1"/>
    <col min="1266" max="1267" width="15.6640625" style="343" customWidth="1"/>
    <col min="1268" max="1268" width="16.6640625" style="343" customWidth="1"/>
    <col min="1269" max="1269" width="18.6640625" style="343" customWidth="1"/>
    <col min="1270" max="1271" width="15.6640625" style="343" customWidth="1"/>
    <col min="1272" max="1272" width="18.6640625" style="343" customWidth="1"/>
    <col min="1273" max="1273" width="18.21875" style="343" customWidth="1"/>
    <col min="1274" max="1518" width="9" style="343"/>
    <col min="1519" max="1519" width="5.6640625" style="343" customWidth="1"/>
    <col min="1520" max="1520" width="21.88671875" style="343" customWidth="1"/>
    <col min="1521" max="1521" width="5.6640625" style="343" customWidth="1"/>
    <col min="1522" max="1523" width="15.6640625" style="343" customWidth="1"/>
    <col min="1524" max="1524" width="16.6640625" style="343" customWidth="1"/>
    <col min="1525" max="1525" width="18.6640625" style="343" customWidth="1"/>
    <col min="1526" max="1527" width="15.6640625" style="343" customWidth="1"/>
    <col min="1528" max="1528" width="18.6640625" style="343" customWidth="1"/>
    <col min="1529" max="1529" width="18.21875" style="343" customWidth="1"/>
    <col min="1530" max="1774" width="9" style="343"/>
    <col min="1775" max="1775" width="5.6640625" style="343" customWidth="1"/>
    <col min="1776" max="1776" width="21.88671875" style="343" customWidth="1"/>
    <col min="1777" max="1777" width="5.6640625" style="343" customWidth="1"/>
    <col min="1778" max="1779" width="15.6640625" style="343" customWidth="1"/>
    <col min="1780" max="1780" width="16.6640625" style="343" customWidth="1"/>
    <col min="1781" max="1781" width="18.6640625" style="343" customWidth="1"/>
    <col min="1782" max="1783" width="15.6640625" style="343" customWidth="1"/>
    <col min="1784" max="1784" width="18.6640625" style="343" customWidth="1"/>
    <col min="1785" max="1785" width="18.21875" style="343" customWidth="1"/>
    <col min="1786" max="2030" width="9" style="343"/>
    <col min="2031" max="2031" width="5.6640625" style="343" customWidth="1"/>
    <col min="2032" max="2032" width="21.88671875" style="343" customWidth="1"/>
    <col min="2033" max="2033" width="5.6640625" style="343" customWidth="1"/>
    <col min="2034" max="2035" width="15.6640625" style="343" customWidth="1"/>
    <col min="2036" max="2036" width="16.6640625" style="343" customWidth="1"/>
    <col min="2037" max="2037" width="18.6640625" style="343" customWidth="1"/>
    <col min="2038" max="2039" width="15.6640625" style="343" customWidth="1"/>
    <col min="2040" max="2040" width="18.6640625" style="343" customWidth="1"/>
    <col min="2041" max="2041" width="18.21875" style="343" customWidth="1"/>
    <col min="2042" max="2286" width="9" style="343"/>
    <col min="2287" max="2287" width="5.6640625" style="343" customWidth="1"/>
    <col min="2288" max="2288" width="21.88671875" style="343" customWidth="1"/>
    <col min="2289" max="2289" width="5.6640625" style="343" customWidth="1"/>
    <col min="2290" max="2291" width="15.6640625" style="343" customWidth="1"/>
    <col min="2292" max="2292" width="16.6640625" style="343" customWidth="1"/>
    <col min="2293" max="2293" width="18.6640625" style="343" customWidth="1"/>
    <col min="2294" max="2295" width="15.6640625" style="343" customWidth="1"/>
    <col min="2296" max="2296" width="18.6640625" style="343" customWidth="1"/>
    <col min="2297" max="2297" width="18.21875" style="343" customWidth="1"/>
    <col min="2298" max="2542" width="9" style="343"/>
    <col min="2543" max="2543" width="5.6640625" style="343" customWidth="1"/>
    <col min="2544" max="2544" width="21.88671875" style="343" customWidth="1"/>
    <col min="2545" max="2545" width="5.6640625" style="343" customWidth="1"/>
    <col min="2546" max="2547" width="15.6640625" style="343" customWidth="1"/>
    <col min="2548" max="2548" width="16.6640625" style="343" customWidth="1"/>
    <col min="2549" max="2549" width="18.6640625" style="343" customWidth="1"/>
    <col min="2550" max="2551" width="15.6640625" style="343" customWidth="1"/>
    <col min="2552" max="2552" width="18.6640625" style="343" customWidth="1"/>
    <col min="2553" max="2553" width="18.21875" style="343" customWidth="1"/>
    <col min="2554" max="2798" width="9" style="343"/>
    <col min="2799" max="2799" width="5.6640625" style="343" customWidth="1"/>
    <col min="2800" max="2800" width="21.88671875" style="343" customWidth="1"/>
    <col min="2801" max="2801" width="5.6640625" style="343" customWidth="1"/>
    <col min="2802" max="2803" width="15.6640625" style="343" customWidth="1"/>
    <col min="2804" max="2804" width="16.6640625" style="343" customWidth="1"/>
    <col min="2805" max="2805" width="18.6640625" style="343" customWidth="1"/>
    <col min="2806" max="2807" width="15.6640625" style="343" customWidth="1"/>
    <col min="2808" max="2808" width="18.6640625" style="343" customWidth="1"/>
    <col min="2809" max="2809" width="18.21875" style="343" customWidth="1"/>
    <col min="2810" max="3054" width="9" style="343"/>
    <col min="3055" max="3055" width="5.6640625" style="343" customWidth="1"/>
    <col min="3056" max="3056" width="21.88671875" style="343" customWidth="1"/>
    <col min="3057" max="3057" width="5.6640625" style="343" customWidth="1"/>
    <col min="3058" max="3059" width="15.6640625" style="343" customWidth="1"/>
    <col min="3060" max="3060" width="16.6640625" style="343" customWidth="1"/>
    <col min="3061" max="3061" width="18.6640625" style="343" customWidth="1"/>
    <col min="3062" max="3063" width="15.6640625" style="343" customWidth="1"/>
    <col min="3064" max="3064" width="18.6640625" style="343" customWidth="1"/>
    <col min="3065" max="3065" width="18.21875" style="343" customWidth="1"/>
    <col min="3066" max="3310" width="9" style="343"/>
    <col min="3311" max="3311" width="5.6640625" style="343" customWidth="1"/>
    <col min="3312" max="3312" width="21.88671875" style="343" customWidth="1"/>
    <col min="3313" max="3313" width="5.6640625" style="343" customWidth="1"/>
    <col min="3314" max="3315" width="15.6640625" style="343" customWidth="1"/>
    <col min="3316" max="3316" width="16.6640625" style="343" customWidth="1"/>
    <col min="3317" max="3317" width="18.6640625" style="343" customWidth="1"/>
    <col min="3318" max="3319" width="15.6640625" style="343" customWidth="1"/>
    <col min="3320" max="3320" width="18.6640625" style="343" customWidth="1"/>
    <col min="3321" max="3321" width="18.21875" style="343" customWidth="1"/>
    <col min="3322" max="3566" width="9" style="343"/>
    <col min="3567" max="3567" width="5.6640625" style="343" customWidth="1"/>
    <col min="3568" max="3568" width="21.88671875" style="343" customWidth="1"/>
    <col min="3569" max="3569" width="5.6640625" style="343" customWidth="1"/>
    <col min="3570" max="3571" width="15.6640625" style="343" customWidth="1"/>
    <col min="3572" max="3572" width="16.6640625" style="343" customWidth="1"/>
    <col min="3573" max="3573" width="18.6640625" style="343" customWidth="1"/>
    <col min="3574" max="3575" width="15.6640625" style="343" customWidth="1"/>
    <col min="3576" max="3576" width="18.6640625" style="343" customWidth="1"/>
    <col min="3577" max="3577" width="18.21875" style="343" customWidth="1"/>
    <col min="3578" max="3822" width="9" style="343"/>
    <col min="3823" max="3823" width="5.6640625" style="343" customWidth="1"/>
    <col min="3824" max="3824" width="21.88671875" style="343" customWidth="1"/>
    <col min="3825" max="3825" width="5.6640625" style="343" customWidth="1"/>
    <col min="3826" max="3827" width="15.6640625" style="343" customWidth="1"/>
    <col min="3828" max="3828" width="16.6640625" style="343" customWidth="1"/>
    <col min="3829" max="3829" width="18.6640625" style="343" customWidth="1"/>
    <col min="3830" max="3831" width="15.6640625" style="343" customWidth="1"/>
    <col min="3832" max="3832" width="18.6640625" style="343" customWidth="1"/>
    <col min="3833" max="3833" width="18.21875" style="343" customWidth="1"/>
    <col min="3834" max="4078" width="9" style="343"/>
    <col min="4079" max="4079" width="5.6640625" style="343" customWidth="1"/>
    <col min="4080" max="4080" width="21.88671875" style="343" customWidth="1"/>
    <col min="4081" max="4081" width="5.6640625" style="343" customWidth="1"/>
    <col min="4082" max="4083" width="15.6640625" style="343" customWidth="1"/>
    <col min="4084" max="4084" width="16.6640625" style="343" customWidth="1"/>
    <col min="4085" max="4085" width="18.6640625" style="343" customWidth="1"/>
    <col min="4086" max="4087" width="15.6640625" style="343" customWidth="1"/>
    <col min="4088" max="4088" width="18.6640625" style="343" customWidth="1"/>
    <col min="4089" max="4089" width="18.21875" style="343" customWidth="1"/>
    <col min="4090" max="4334" width="9" style="343"/>
    <col min="4335" max="4335" width="5.6640625" style="343" customWidth="1"/>
    <col min="4336" max="4336" width="21.88671875" style="343" customWidth="1"/>
    <col min="4337" max="4337" width="5.6640625" style="343" customWidth="1"/>
    <col min="4338" max="4339" width="15.6640625" style="343" customWidth="1"/>
    <col min="4340" max="4340" width="16.6640625" style="343" customWidth="1"/>
    <col min="4341" max="4341" width="18.6640625" style="343" customWidth="1"/>
    <col min="4342" max="4343" width="15.6640625" style="343" customWidth="1"/>
    <col min="4344" max="4344" width="18.6640625" style="343" customWidth="1"/>
    <col min="4345" max="4345" width="18.21875" style="343" customWidth="1"/>
    <col min="4346" max="4590" width="9" style="343"/>
    <col min="4591" max="4591" width="5.6640625" style="343" customWidth="1"/>
    <col min="4592" max="4592" width="21.88671875" style="343" customWidth="1"/>
    <col min="4593" max="4593" width="5.6640625" style="343" customWidth="1"/>
    <col min="4594" max="4595" width="15.6640625" style="343" customWidth="1"/>
    <col min="4596" max="4596" width="16.6640625" style="343" customWidth="1"/>
    <col min="4597" max="4597" width="18.6640625" style="343" customWidth="1"/>
    <col min="4598" max="4599" width="15.6640625" style="343" customWidth="1"/>
    <col min="4600" max="4600" width="18.6640625" style="343" customWidth="1"/>
    <col min="4601" max="4601" width="18.21875" style="343" customWidth="1"/>
    <col min="4602" max="4846" width="9" style="343"/>
    <col min="4847" max="4847" width="5.6640625" style="343" customWidth="1"/>
    <col min="4848" max="4848" width="21.88671875" style="343" customWidth="1"/>
    <col min="4849" max="4849" width="5.6640625" style="343" customWidth="1"/>
    <col min="4850" max="4851" width="15.6640625" style="343" customWidth="1"/>
    <col min="4852" max="4852" width="16.6640625" style="343" customWidth="1"/>
    <col min="4853" max="4853" width="18.6640625" style="343" customWidth="1"/>
    <col min="4854" max="4855" width="15.6640625" style="343" customWidth="1"/>
    <col min="4856" max="4856" width="18.6640625" style="343" customWidth="1"/>
    <col min="4857" max="4857" width="18.21875" style="343" customWidth="1"/>
    <col min="4858" max="5102" width="9" style="343"/>
    <col min="5103" max="5103" width="5.6640625" style="343" customWidth="1"/>
    <col min="5104" max="5104" width="21.88671875" style="343" customWidth="1"/>
    <col min="5105" max="5105" width="5.6640625" style="343" customWidth="1"/>
    <col min="5106" max="5107" width="15.6640625" style="343" customWidth="1"/>
    <col min="5108" max="5108" width="16.6640625" style="343" customWidth="1"/>
    <col min="5109" max="5109" width="18.6640625" style="343" customWidth="1"/>
    <col min="5110" max="5111" width="15.6640625" style="343" customWidth="1"/>
    <col min="5112" max="5112" width="18.6640625" style="343" customWidth="1"/>
    <col min="5113" max="5113" width="18.21875" style="343" customWidth="1"/>
    <col min="5114" max="5358" width="9" style="343"/>
    <col min="5359" max="5359" width="5.6640625" style="343" customWidth="1"/>
    <col min="5360" max="5360" width="21.88671875" style="343" customWidth="1"/>
    <col min="5361" max="5361" width="5.6640625" style="343" customWidth="1"/>
    <col min="5362" max="5363" width="15.6640625" style="343" customWidth="1"/>
    <col min="5364" max="5364" width="16.6640625" style="343" customWidth="1"/>
    <col min="5365" max="5365" width="18.6640625" style="343" customWidth="1"/>
    <col min="5366" max="5367" width="15.6640625" style="343" customWidth="1"/>
    <col min="5368" max="5368" width="18.6640625" style="343" customWidth="1"/>
    <col min="5369" max="5369" width="18.21875" style="343" customWidth="1"/>
    <col min="5370" max="5614" width="9" style="343"/>
    <col min="5615" max="5615" width="5.6640625" style="343" customWidth="1"/>
    <col min="5616" max="5616" width="21.88671875" style="343" customWidth="1"/>
    <col min="5617" max="5617" width="5.6640625" style="343" customWidth="1"/>
    <col min="5618" max="5619" width="15.6640625" style="343" customWidth="1"/>
    <col min="5620" max="5620" width="16.6640625" style="343" customWidth="1"/>
    <col min="5621" max="5621" width="18.6640625" style="343" customWidth="1"/>
    <col min="5622" max="5623" width="15.6640625" style="343" customWidth="1"/>
    <col min="5624" max="5624" width="18.6640625" style="343" customWidth="1"/>
    <col min="5625" max="5625" width="18.21875" style="343" customWidth="1"/>
    <col min="5626" max="5870" width="9" style="343"/>
    <col min="5871" max="5871" width="5.6640625" style="343" customWidth="1"/>
    <col min="5872" max="5872" width="21.88671875" style="343" customWidth="1"/>
    <col min="5873" max="5873" width="5.6640625" style="343" customWidth="1"/>
    <col min="5874" max="5875" width="15.6640625" style="343" customWidth="1"/>
    <col min="5876" max="5876" width="16.6640625" style="343" customWidth="1"/>
    <col min="5877" max="5877" width="18.6640625" style="343" customWidth="1"/>
    <col min="5878" max="5879" width="15.6640625" style="343" customWidth="1"/>
    <col min="5880" max="5880" width="18.6640625" style="343" customWidth="1"/>
    <col min="5881" max="5881" width="18.21875" style="343" customWidth="1"/>
    <col min="5882" max="6126" width="9" style="343"/>
    <col min="6127" max="6127" width="5.6640625" style="343" customWidth="1"/>
    <col min="6128" max="6128" width="21.88671875" style="343" customWidth="1"/>
    <col min="6129" max="6129" width="5.6640625" style="343" customWidth="1"/>
    <col min="6130" max="6131" width="15.6640625" style="343" customWidth="1"/>
    <col min="6132" max="6132" width="16.6640625" style="343" customWidth="1"/>
    <col min="6133" max="6133" width="18.6640625" style="343" customWidth="1"/>
    <col min="6134" max="6135" width="15.6640625" style="343" customWidth="1"/>
    <col min="6136" max="6136" width="18.6640625" style="343" customWidth="1"/>
    <col min="6137" max="6137" width="18.21875" style="343" customWidth="1"/>
    <col min="6138" max="6382" width="9" style="343"/>
    <col min="6383" max="6383" width="5.6640625" style="343" customWidth="1"/>
    <col min="6384" max="6384" width="21.88671875" style="343" customWidth="1"/>
    <col min="6385" max="6385" width="5.6640625" style="343" customWidth="1"/>
    <col min="6386" max="6387" width="15.6640625" style="343" customWidth="1"/>
    <col min="6388" max="6388" width="16.6640625" style="343" customWidth="1"/>
    <col min="6389" max="6389" width="18.6640625" style="343" customWidth="1"/>
    <col min="6390" max="6391" width="15.6640625" style="343" customWidth="1"/>
    <col min="6392" max="6392" width="18.6640625" style="343" customWidth="1"/>
    <col min="6393" max="6393" width="18.21875" style="343" customWidth="1"/>
    <col min="6394" max="6638" width="9" style="343"/>
    <col min="6639" max="6639" width="5.6640625" style="343" customWidth="1"/>
    <col min="6640" max="6640" width="21.88671875" style="343" customWidth="1"/>
    <col min="6641" max="6641" width="5.6640625" style="343" customWidth="1"/>
    <col min="6642" max="6643" width="15.6640625" style="343" customWidth="1"/>
    <col min="6644" max="6644" width="16.6640625" style="343" customWidth="1"/>
    <col min="6645" max="6645" width="18.6640625" style="343" customWidth="1"/>
    <col min="6646" max="6647" width="15.6640625" style="343" customWidth="1"/>
    <col min="6648" max="6648" width="18.6640625" style="343" customWidth="1"/>
    <col min="6649" max="6649" width="18.21875" style="343" customWidth="1"/>
    <col min="6650" max="6894" width="9" style="343"/>
    <col min="6895" max="6895" width="5.6640625" style="343" customWidth="1"/>
    <col min="6896" max="6896" width="21.88671875" style="343" customWidth="1"/>
    <col min="6897" max="6897" width="5.6640625" style="343" customWidth="1"/>
    <col min="6898" max="6899" width="15.6640625" style="343" customWidth="1"/>
    <col min="6900" max="6900" width="16.6640625" style="343" customWidth="1"/>
    <col min="6901" max="6901" width="18.6640625" style="343" customWidth="1"/>
    <col min="6902" max="6903" width="15.6640625" style="343" customWidth="1"/>
    <col min="6904" max="6904" width="18.6640625" style="343" customWidth="1"/>
    <col min="6905" max="6905" width="18.21875" style="343" customWidth="1"/>
    <col min="6906" max="7150" width="9" style="343"/>
    <col min="7151" max="7151" width="5.6640625" style="343" customWidth="1"/>
    <col min="7152" max="7152" width="21.88671875" style="343" customWidth="1"/>
    <col min="7153" max="7153" width="5.6640625" style="343" customWidth="1"/>
    <col min="7154" max="7155" width="15.6640625" style="343" customWidth="1"/>
    <col min="7156" max="7156" width="16.6640625" style="343" customWidth="1"/>
    <col min="7157" max="7157" width="18.6640625" style="343" customWidth="1"/>
    <col min="7158" max="7159" width="15.6640625" style="343" customWidth="1"/>
    <col min="7160" max="7160" width="18.6640625" style="343" customWidth="1"/>
    <col min="7161" max="7161" width="18.21875" style="343" customWidth="1"/>
    <col min="7162" max="7406" width="9" style="343"/>
    <col min="7407" max="7407" width="5.6640625" style="343" customWidth="1"/>
    <col min="7408" max="7408" width="21.88671875" style="343" customWidth="1"/>
    <col min="7409" max="7409" width="5.6640625" style="343" customWidth="1"/>
    <col min="7410" max="7411" width="15.6640625" style="343" customWidth="1"/>
    <col min="7412" max="7412" width="16.6640625" style="343" customWidth="1"/>
    <col min="7413" max="7413" width="18.6640625" style="343" customWidth="1"/>
    <col min="7414" max="7415" width="15.6640625" style="343" customWidth="1"/>
    <col min="7416" max="7416" width="18.6640625" style="343" customWidth="1"/>
    <col min="7417" max="7417" width="18.21875" style="343" customWidth="1"/>
    <col min="7418" max="7662" width="9" style="343"/>
    <col min="7663" max="7663" width="5.6640625" style="343" customWidth="1"/>
    <col min="7664" max="7664" width="21.88671875" style="343" customWidth="1"/>
    <col min="7665" max="7665" width="5.6640625" style="343" customWidth="1"/>
    <col min="7666" max="7667" width="15.6640625" style="343" customWidth="1"/>
    <col min="7668" max="7668" width="16.6640625" style="343" customWidth="1"/>
    <col min="7669" max="7669" width="18.6640625" style="343" customWidth="1"/>
    <col min="7670" max="7671" width="15.6640625" style="343" customWidth="1"/>
    <col min="7672" max="7672" width="18.6640625" style="343" customWidth="1"/>
    <col min="7673" max="7673" width="18.21875" style="343" customWidth="1"/>
    <col min="7674" max="7918" width="9" style="343"/>
    <col min="7919" max="7919" width="5.6640625" style="343" customWidth="1"/>
    <col min="7920" max="7920" width="21.88671875" style="343" customWidth="1"/>
    <col min="7921" max="7921" width="5.6640625" style="343" customWidth="1"/>
    <col min="7922" max="7923" width="15.6640625" style="343" customWidth="1"/>
    <col min="7924" max="7924" width="16.6640625" style="343" customWidth="1"/>
    <col min="7925" max="7925" width="18.6640625" style="343" customWidth="1"/>
    <col min="7926" max="7927" width="15.6640625" style="343" customWidth="1"/>
    <col min="7928" max="7928" width="18.6640625" style="343" customWidth="1"/>
    <col min="7929" max="7929" width="18.21875" style="343" customWidth="1"/>
    <col min="7930" max="8174" width="9" style="343"/>
    <col min="8175" max="8175" width="5.6640625" style="343" customWidth="1"/>
    <col min="8176" max="8176" width="21.88671875" style="343" customWidth="1"/>
    <col min="8177" max="8177" width="5.6640625" style="343" customWidth="1"/>
    <col min="8178" max="8179" width="15.6640625" style="343" customWidth="1"/>
    <col min="8180" max="8180" width="16.6640625" style="343" customWidth="1"/>
    <col min="8181" max="8181" width="18.6640625" style="343" customWidth="1"/>
    <col min="8182" max="8183" width="15.6640625" style="343" customWidth="1"/>
    <col min="8184" max="8184" width="18.6640625" style="343" customWidth="1"/>
    <col min="8185" max="8185" width="18.21875" style="343" customWidth="1"/>
    <col min="8186" max="8430" width="9" style="343"/>
    <col min="8431" max="8431" width="5.6640625" style="343" customWidth="1"/>
    <col min="8432" max="8432" width="21.88671875" style="343" customWidth="1"/>
    <col min="8433" max="8433" width="5.6640625" style="343" customWidth="1"/>
    <col min="8434" max="8435" width="15.6640625" style="343" customWidth="1"/>
    <col min="8436" max="8436" width="16.6640625" style="343" customWidth="1"/>
    <col min="8437" max="8437" width="18.6640625" style="343" customWidth="1"/>
    <col min="8438" max="8439" width="15.6640625" style="343" customWidth="1"/>
    <col min="8440" max="8440" width="18.6640625" style="343" customWidth="1"/>
    <col min="8441" max="8441" width="18.21875" style="343" customWidth="1"/>
    <col min="8442" max="8686" width="9" style="343"/>
    <col min="8687" max="8687" width="5.6640625" style="343" customWidth="1"/>
    <col min="8688" max="8688" width="21.88671875" style="343" customWidth="1"/>
    <col min="8689" max="8689" width="5.6640625" style="343" customWidth="1"/>
    <col min="8690" max="8691" width="15.6640625" style="343" customWidth="1"/>
    <col min="8692" max="8692" width="16.6640625" style="343" customWidth="1"/>
    <col min="8693" max="8693" width="18.6640625" style="343" customWidth="1"/>
    <col min="8694" max="8695" width="15.6640625" style="343" customWidth="1"/>
    <col min="8696" max="8696" width="18.6640625" style="343" customWidth="1"/>
    <col min="8697" max="8697" width="18.21875" style="343" customWidth="1"/>
    <col min="8698" max="8942" width="9" style="343"/>
    <col min="8943" max="8943" width="5.6640625" style="343" customWidth="1"/>
    <col min="8944" max="8944" width="21.88671875" style="343" customWidth="1"/>
    <col min="8945" max="8945" width="5.6640625" style="343" customWidth="1"/>
    <col min="8946" max="8947" width="15.6640625" style="343" customWidth="1"/>
    <col min="8948" max="8948" width="16.6640625" style="343" customWidth="1"/>
    <col min="8949" max="8949" width="18.6640625" style="343" customWidth="1"/>
    <col min="8950" max="8951" width="15.6640625" style="343" customWidth="1"/>
    <col min="8952" max="8952" width="18.6640625" style="343" customWidth="1"/>
    <col min="8953" max="8953" width="18.21875" style="343" customWidth="1"/>
    <col min="8954" max="9198" width="9" style="343"/>
    <col min="9199" max="9199" width="5.6640625" style="343" customWidth="1"/>
    <col min="9200" max="9200" width="21.88671875" style="343" customWidth="1"/>
    <col min="9201" max="9201" width="5.6640625" style="343" customWidth="1"/>
    <col min="9202" max="9203" width="15.6640625" style="343" customWidth="1"/>
    <col min="9204" max="9204" width="16.6640625" style="343" customWidth="1"/>
    <col min="9205" max="9205" width="18.6640625" style="343" customWidth="1"/>
    <col min="9206" max="9207" width="15.6640625" style="343" customWidth="1"/>
    <col min="9208" max="9208" width="18.6640625" style="343" customWidth="1"/>
    <col min="9209" max="9209" width="18.21875" style="343" customWidth="1"/>
    <col min="9210" max="9454" width="9" style="343"/>
    <col min="9455" max="9455" width="5.6640625" style="343" customWidth="1"/>
    <col min="9456" max="9456" width="21.88671875" style="343" customWidth="1"/>
    <col min="9457" max="9457" width="5.6640625" style="343" customWidth="1"/>
    <col min="9458" max="9459" width="15.6640625" style="343" customWidth="1"/>
    <col min="9460" max="9460" width="16.6640625" style="343" customWidth="1"/>
    <col min="9461" max="9461" width="18.6640625" style="343" customWidth="1"/>
    <col min="9462" max="9463" width="15.6640625" style="343" customWidth="1"/>
    <col min="9464" max="9464" width="18.6640625" style="343" customWidth="1"/>
    <col min="9465" max="9465" width="18.21875" style="343" customWidth="1"/>
    <col min="9466" max="9710" width="9" style="343"/>
    <col min="9711" max="9711" width="5.6640625" style="343" customWidth="1"/>
    <col min="9712" max="9712" width="21.88671875" style="343" customWidth="1"/>
    <col min="9713" max="9713" width="5.6640625" style="343" customWidth="1"/>
    <col min="9714" max="9715" width="15.6640625" style="343" customWidth="1"/>
    <col min="9716" max="9716" width="16.6640625" style="343" customWidth="1"/>
    <col min="9717" max="9717" width="18.6640625" style="343" customWidth="1"/>
    <col min="9718" max="9719" width="15.6640625" style="343" customWidth="1"/>
    <col min="9720" max="9720" width="18.6640625" style="343" customWidth="1"/>
    <col min="9721" max="9721" width="18.21875" style="343" customWidth="1"/>
    <col min="9722" max="9966" width="9" style="343"/>
    <col min="9967" max="9967" width="5.6640625" style="343" customWidth="1"/>
    <col min="9968" max="9968" width="21.88671875" style="343" customWidth="1"/>
    <col min="9969" max="9969" width="5.6640625" style="343" customWidth="1"/>
    <col min="9970" max="9971" width="15.6640625" style="343" customWidth="1"/>
    <col min="9972" max="9972" width="16.6640625" style="343" customWidth="1"/>
    <col min="9973" max="9973" width="18.6640625" style="343" customWidth="1"/>
    <col min="9974" max="9975" width="15.6640625" style="343" customWidth="1"/>
    <col min="9976" max="9976" width="18.6640625" style="343" customWidth="1"/>
    <col min="9977" max="9977" width="18.21875" style="343" customWidth="1"/>
    <col min="9978" max="10222" width="9" style="343"/>
    <col min="10223" max="10223" width="5.6640625" style="343" customWidth="1"/>
    <col min="10224" max="10224" width="21.88671875" style="343" customWidth="1"/>
    <col min="10225" max="10225" width="5.6640625" style="343" customWidth="1"/>
    <col min="10226" max="10227" width="15.6640625" style="343" customWidth="1"/>
    <col min="10228" max="10228" width="16.6640625" style="343" customWidth="1"/>
    <col min="10229" max="10229" width="18.6640625" style="343" customWidth="1"/>
    <col min="10230" max="10231" width="15.6640625" style="343" customWidth="1"/>
    <col min="10232" max="10232" width="18.6640625" style="343" customWidth="1"/>
    <col min="10233" max="10233" width="18.21875" style="343" customWidth="1"/>
    <col min="10234" max="10478" width="9" style="343"/>
    <col min="10479" max="10479" width="5.6640625" style="343" customWidth="1"/>
    <col min="10480" max="10480" width="21.88671875" style="343" customWidth="1"/>
    <col min="10481" max="10481" width="5.6640625" style="343" customWidth="1"/>
    <col min="10482" max="10483" width="15.6640625" style="343" customWidth="1"/>
    <col min="10484" max="10484" width="16.6640625" style="343" customWidth="1"/>
    <col min="10485" max="10485" width="18.6640625" style="343" customWidth="1"/>
    <col min="10486" max="10487" width="15.6640625" style="343" customWidth="1"/>
    <col min="10488" max="10488" width="18.6640625" style="343" customWidth="1"/>
    <col min="10489" max="10489" width="18.21875" style="343" customWidth="1"/>
    <col min="10490" max="10734" width="9" style="343"/>
    <col min="10735" max="10735" width="5.6640625" style="343" customWidth="1"/>
    <col min="10736" max="10736" width="21.88671875" style="343" customWidth="1"/>
    <col min="10737" max="10737" width="5.6640625" style="343" customWidth="1"/>
    <col min="10738" max="10739" width="15.6640625" style="343" customWidth="1"/>
    <col min="10740" max="10740" width="16.6640625" style="343" customWidth="1"/>
    <col min="10741" max="10741" width="18.6640625" style="343" customWidth="1"/>
    <col min="10742" max="10743" width="15.6640625" style="343" customWidth="1"/>
    <col min="10744" max="10744" width="18.6640625" style="343" customWidth="1"/>
    <col min="10745" max="10745" width="18.21875" style="343" customWidth="1"/>
    <col min="10746" max="10990" width="9" style="343"/>
    <col min="10991" max="10991" width="5.6640625" style="343" customWidth="1"/>
    <col min="10992" max="10992" width="21.88671875" style="343" customWidth="1"/>
    <col min="10993" max="10993" width="5.6640625" style="343" customWidth="1"/>
    <col min="10994" max="10995" width="15.6640625" style="343" customWidth="1"/>
    <col min="10996" max="10996" width="16.6640625" style="343" customWidth="1"/>
    <col min="10997" max="10997" width="18.6640625" style="343" customWidth="1"/>
    <col min="10998" max="10999" width="15.6640625" style="343" customWidth="1"/>
    <col min="11000" max="11000" width="18.6640625" style="343" customWidth="1"/>
    <col min="11001" max="11001" width="18.21875" style="343" customWidth="1"/>
    <col min="11002" max="11246" width="9" style="343"/>
    <col min="11247" max="11247" width="5.6640625" style="343" customWidth="1"/>
    <col min="11248" max="11248" width="21.88671875" style="343" customWidth="1"/>
    <col min="11249" max="11249" width="5.6640625" style="343" customWidth="1"/>
    <col min="11250" max="11251" width="15.6640625" style="343" customWidth="1"/>
    <col min="11252" max="11252" width="16.6640625" style="343" customWidth="1"/>
    <col min="11253" max="11253" width="18.6640625" style="343" customWidth="1"/>
    <col min="11254" max="11255" width="15.6640625" style="343" customWidth="1"/>
    <col min="11256" max="11256" width="18.6640625" style="343" customWidth="1"/>
    <col min="11257" max="11257" width="18.21875" style="343" customWidth="1"/>
    <col min="11258" max="11502" width="9" style="343"/>
    <col min="11503" max="11503" width="5.6640625" style="343" customWidth="1"/>
    <col min="11504" max="11504" width="21.88671875" style="343" customWidth="1"/>
    <col min="11505" max="11505" width="5.6640625" style="343" customWidth="1"/>
    <col min="11506" max="11507" width="15.6640625" style="343" customWidth="1"/>
    <col min="11508" max="11508" width="16.6640625" style="343" customWidth="1"/>
    <col min="11509" max="11509" width="18.6640625" style="343" customWidth="1"/>
    <col min="11510" max="11511" width="15.6640625" style="343" customWidth="1"/>
    <col min="11512" max="11512" width="18.6640625" style="343" customWidth="1"/>
    <col min="11513" max="11513" width="18.21875" style="343" customWidth="1"/>
    <col min="11514" max="11758" width="9" style="343"/>
    <col min="11759" max="11759" width="5.6640625" style="343" customWidth="1"/>
    <col min="11760" max="11760" width="21.88671875" style="343" customWidth="1"/>
    <col min="11761" max="11761" width="5.6640625" style="343" customWidth="1"/>
    <col min="11762" max="11763" width="15.6640625" style="343" customWidth="1"/>
    <col min="11764" max="11764" width="16.6640625" style="343" customWidth="1"/>
    <col min="11765" max="11765" width="18.6640625" style="343" customWidth="1"/>
    <col min="11766" max="11767" width="15.6640625" style="343" customWidth="1"/>
    <col min="11768" max="11768" width="18.6640625" style="343" customWidth="1"/>
    <col min="11769" max="11769" width="18.21875" style="343" customWidth="1"/>
    <col min="11770" max="12014" width="9" style="343"/>
    <col min="12015" max="12015" width="5.6640625" style="343" customWidth="1"/>
    <col min="12016" max="12016" width="21.88671875" style="343" customWidth="1"/>
    <col min="12017" max="12017" width="5.6640625" style="343" customWidth="1"/>
    <col min="12018" max="12019" width="15.6640625" style="343" customWidth="1"/>
    <col min="12020" max="12020" width="16.6640625" style="343" customWidth="1"/>
    <col min="12021" max="12021" width="18.6640625" style="343" customWidth="1"/>
    <col min="12022" max="12023" width="15.6640625" style="343" customWidth="1"/>
    <col min="12024" max="12024" width="18.6640625" style="343" customWidth="1"/>
    <col min="12025" max="12025" width="18.21875" style="343" customWidth="1"/>
    <col min="12026" max="12270" width="9" style="343"/>
    <col min="12271" max="12271" width="5.6640625" style="343" customWidth="1"/>
    <col min="12272" max="12272" width="21.88671875" style="343" customWidth="1"/>
    <col min="12273" max="12273" width="5.6640625" style="343" customWidth="1"/>
    <col min="12274" max="12275" width="15.6640625" style="343" customWidth="1"/>
    <col min="12276" max="12276" width="16.6640625" style="343" customWidth="1"/>
    <col min="12277" max="12277" width="18.6640625" style="343" customWidth="1"/>
    <col min="12278" max="12279" width="15.6640625" style="343" customWidth="1"/>
    <col min="12280" max="12280" width="18.6640625" style="343" customWidth="1"/>
    <col min="12281" max="12281" width="18.21875" style="343" customWidth="1"/>
    <col min="12282" max="12526" width="9" style="343"/>
    <col min="12527" max="12527" width="5.6640625" style="343" customWidth="1"/>
    <col min="12528" max="12528" width="21.88671875" style="343" customWidth="1"/>
    <col min="12529" max="12529" width="5.6640625" style="343" customWidth="1"/>
    <col min="12530" max="12531" width="15.6640625" style="343" customWidth="1"/>
    <col min="12532" max="12532" width="16.6640625" style="343" customWidth="1"/>
    <col min="12533" max="12533" width="18.6640625" style="343" customWidth="1"/>
    <col min="12534" max="12535" width="15.6640625" style="343" customWidth="1"/>
    <col min="12536" max="12536" width="18.6640625" style="343" customWidth="1"/>
    <col min="12537" max="12537" width="18.21875" style="343" customWidth="1"/>
    <col min="12538" max="12782" width="9" style="343"/>
    <col min="12783" max="12783" width="5.6640625" style="343" customWidth="1"/>
    <col min="12784" max="12784" width="21.88671875" style="343" customWidth="1"/>
    <col min="12785" max="12785" width="5.6640625" style="343" customWidth="1"/>
    <col min="12786" max="12787" width="15.6640625" style="343" customWidth="1"/>
    <col min="12788" max="12788" width="16.6640625" style="343" customWidth="1"/>
    <col min="12789" max="12789" width="18.6640625" style="343" customWidth="1"/>
    <col min="12790" max="12791" width="15.6640625" style="343" customWidth="1"/>
    <col min="12792" max="12792" width="18.6640625" style="343" customWidth="1"/>
    <col min="12793" max="12793" width="18.21875" style="343" customWidth="1"/>
    <col min="12794" max="13038" width="9" style="343"/>
    <col min="13039" max="13039" width="5.6640625" style="343" customWidth="1"/>
    <col min="13040" max="13040" width="21.88671875" style="343" customWidth="1"/>
    <col min="13041" max="13041" width="5.6640625" style="343" customWidth="1"/>
    <col min="13042" max="13043" width="15.6640625" style="343" customWidth="1"/>
    <col min="13044" max="13044" width="16.6640625" style="343" customWidth="1"/>
    <col min="13045" max="13045" width="18.6640625" style="343" customWidth="1"/>
    <col min="13046" max="13047" width="15.6640625" style="343" customWidth="1"/>
    <col min="13048" max="13048" width="18.6640625" style="343" customWidth="1"/>
    <col min="13049" max="13049" width="18.21875" style="343" customWidth="1"/>
    <col min="13050" max="13294" width="9" style="343"/>
    <col min="13295" max="13295" width="5.6640625" style="343" customWidth="1"/>
    <col min="13296" max="13296" width="21.88671875" style="343" customWidth="1"/>
    <col min="13297" max="13297" width="5.6640625" style="343" customWidth="1"/>
    <col min="13298" max="13299" width="15.6640625" style="343" customWidth="1"/>
    <col min="13300" max="13300" width="16.6640625" style="343" customWidth="1"/>
    <col min="13301" max="13301" width="18.6640625" style="343" customWidth="1"/>
    <col min="13302" max="13303" width="15.6640625" style="343" customWidth="1"/>
    <col min="13304" max="13304" width="18.6640625" style="343" customWidth="1"/>
    <col min="13305" max="13305" width="18.21875" style="343" customWidth="1"/>
    <col min="13306" max="13550" width="9" style="343"/>
    <col min="13551" max="13551" width="5.6640625" style="343" customWidth="1"/>
    <col min="13552" max="13552" width="21.88671875" style="343" customWidth="1"/>
    <col min="13553" max="13553" width="5.6640625" style="343" customWidth="1"/>
    <col min="13554" max="13555" width="15.6640625" style="343" customWidth="1"/>
    <col min="13556" max="13556" width="16.6640625" style="343" customWidth="1"/>
    <col min="13557" max="13557" width="18.6640625" style="343" customWidth="1"/>
    <col min="13558" max="13559" width="15.6640625" style="343" customWidth="1"/>
    <col min="13560" max="13560" width="18.6640625" style="343" customWidth="1"/>
    <col min="13561" max="13561" width="18.21875" style="343" customWidth="1"/>
    <col min="13562" max="13806" width="9" style="343"/>
    <col min="13807" max="13807" width="5.6640625" style="343" customWidth="1"/>
    <col min="13808" max="13808" width="21.88671875" style="343" customWidth="1"/>
    <col min="13809" max="13809" width="5.6640625" style="343" customWidth="1"/>
    <col min="13810" max="13811" width="15.6640625" style="343" customWidth="1"/>
    <col min="13812" max="13812" width="16.6640625" style="343" customWidth="1"/>
    <col min="13813" max="13813" width="18.6640625" style="343" customWidth="1"/>
    <col min="13814" max="13815" width="15.6640625" style="343" customWidth="1"/>
    <col min="13816" max="13816" width="18.6640625" style="343" customWidth="1"/>
    <col min="13817" max="13817" width="18.21875" style="343" customWidth="1"/>
    <col min="13818" max="14062" width="9" style="343"/>
    <col min="14063" max="14063" width="5.6640625" style="343" customWidth="1"/>
    <col min="14064" max="14064" width="21.88671875" style="343" customWidth="1"/>
    <col min="14065" max="14065" width="5.6640625" style="343" customWidth="1"/>
    <col min="14066" max="14067" width="15.6640625" style="343" customWidth="1"/>
    <col min="14068" max="14068" width="16.6640625" style="343" customWidth="1"/>
    <col min="14069" max="14069" width="18.6640625" style="343" customWidth="1"/>
    <col min="14070" max="14071" width="15.6640625" style="343" customWidth="1"/>
    <col min="14072" max="14072" width="18.6640625" style="343" customWidth="1"/>
    <col min="14073" max="14073" width="18.21875" style="343" customWidth="1"/>
    <col min="14074" max="14318" width="9" style="343"/>
    <col min="14319" max="14319" width="5.6640625" style="343" customWidth="1"/>
    <col min="14320" max="14320" width="21.88671875" style="343" customWidth="1"/>
    <col min="14321" max="14321" width="5.6640625" style="343" customWidth="1"/>
    <col min="14322" max="14323" width="15.6640625" style="343" customWidth="1"/>
    <col min="14324" max="14324" width="16.6640625" style="343" customWidth="1"/>
    <col min="14325" max="14325" width="18.6640625" style="343" customWidth="1"/>
    <col min="14326" max="14327" width="15.6640625" style="343" customWidth="1"/>
    <col min="14328" max="14328" width="18.6640625" style="343" customWidth="1"/>
    <col min="14329" max="14329" width="18.21875" style="343" customWidth="1"/>
    <col min="14330" max="14574" width="9" style="343"/>
    <col min="14575" max="14575" width="5.6640625" style="343" customWidth="1"/>
    <col min="14576" max="14576" width="21.88671875" style="343" customWidth="1"/>
    <col min="14577" max="14577" width="5.6640625" style="343" customWidth="1"/>
    <col min="14578" max="14579" width="15.6640625" style="343" customWidth="1"/>
    <col min="14580" max="14580" width="16.6640625" style="343" customWidth="1"/>
    <col min="14581" max="14581" width="18.6640625" style="343" customWidth="1"/>
    <col min="14582" max="14583" width="15.6640625" style="343" customWidth="1"/>
    <col min="14584" max="14584" width="18.6640625" style="343" customWidth="1"/>
    <col min="14585" max="14585" width="18.21875" style="343" customWidth="1"/>
    <col min="14586" max="14830" width="9" style="343"/>
    <col min="14831" max="14831" width="5.6640625" style="343" customWidth="1"/>
    <col min="14832" max="14832" width="21.88671875" style="343" customWidth="1"/>
    <col min="14833" max="14833" width="5.6640625" style="343" customWidth="1"/>
    <col min="14834" max="14835" width="15.6640625" style="343" customWidth="1"/>
    <col min="14836" max="14836" width="16.6640625" style="343" customWidth="1"/>
    <col min="14837" max="14837" width="18.6640625" style="343" customWidth="1"/>
    <col min="14838" max="14839" width="15.6640625" style="343" customWidth="1"/>
    <col min="14840" max="14840" width="18.6640625" style="343" customWidth="1"/>
    <col min="14841" max="14841" width="18.21875" style="343" customWidth="1"/>
    <col min="14842" max="15086" width="9" style="343"/>
    <col min="15087" max="15087" width="5.6640625" style="343" customWidth="1"/>
    <col min="15088" max="15088" width="21.88671875" style="343" customWidth="1"/>
    <col min="15089" max="15089" width="5.6640625" style="343" customWidth="1"/>
    <col min="15090" max="15091" width="15.6640625" style="343" customWidth="1"/>
    <col min="15092" max="15092" width="16.6640625" style="343" customWidth="1"/>
    <col min="15093" max="15093" width="18.6640625" style="343" customWidth="1"/>
    <col min="15094" max="15095" width="15.6640625" style="343" customWidth="1"/>
    <col min="15096" max="15096" width="18.6640625" style="343" customWidth="1"/>
    <col min="15097" max="15097" width="18.21875" style="343" customWidth="1"/>
    <col min="15098" max="15342" width="9" style="343"/>
    <col min="15343" max="15343" width="5.6640625" style="343" customWidth="1"/>
    <col min="15344" max="15344" width="21.88671875" style="343" customWidth="1"/>
    <col min="15345" max="15345" width="5.6640625" style="343" customWidth="1"/>
    <col min="15346" max="15347" width="15.6640625" style="343" customWidth="1"/>
    <col min="15348" max="15348" width="16.6640625" style="343" customWidth="1"/>
    <col min="15349" max="15349" width="18.6640625" style="343" customWidth="1"/>
    <col min="15350" max="15351" width="15.6640625" style="343" customWidth="1"/>
    <col min="15352" max="15352" width="18.6640625" style="343" customWidth="1"/>
    <col min="15353" max="15353" width="18.21875" style="343" customWidth="1"/>
    <col min="15354" max="15598" width="9" style="343"/>
    <col min="15599" max="15599" width="5.6640625" style="343" customWidth="1"/>
    <col min="15600" max="15600" width="21.88671875" style="343" customWidth="1"/>
    <col min="15601" max="15601" width="5.6640625" style="343" customWidth="1"/>
    <col min="15602" max="15603" width="15.6640625" style="343" customWidth="1"/>
    <col min="15604" max="15604" width="16.6640625" style="343" customWidth="1"/>
    <col min="15605" max="15605" width="18.6640625" style="343" customWidth="1"/>
    <col min="15606" max="15607" width="15.6640625" style="343" customWidth="1"/>
    <col min="15608" max="15608" width="18.6640625" style="343" customWidth="1"/>
    <col min="15609" max="15609" width="18.21875" style="343" customWidth="1"/>
    <col min="15610" max="15854" width="9" style="343"/>
    <col min="15855" max="15855" width="5.6640625" style="343" customWidth="1"/>
    <col min="15856" max="15856" width="21.88671875" style="343" customWidth="1"/>
    <col min="15857" max="15857" width="5.6640625" style="343" customWidth="1"/>
    <col min="15858" max="15859" width="15.6640625" style="343" customWidth="1"/>
    <col min="15860" max="15860" width="16.6640625" style="343" customWidth="1"/>
    <col min="15861" max="15861" width="18.6640625" style="343" customWidth="1"/>
    <col min="15862" max="15863" width="15.6640625" style="343" customWidth="1"/>
    <col min="15864" max="15864" width="18.6640625" style="343" customWidth="1"/>
    <col min="15865" max="15865" width="18.21875" style="343" customWidth="1"/>
    <col min="15866" max="16110" width="9" style="343"/>
    <col min="16111" max="16111" width="5.6640625" style="343" customWidth="1"/>
    <col min="16112" max="16112" width="21.88671875" style="343" customWidth="1"/>
    <col min="16113" max="16113" width="5.6640625" style="343" customWidth="1"/>
    <col min="16114" max="16115" width="15.6640625" style="343" customWidth="1"/>
    <col min="16116" max="16116" width="16.6640625" style="343" customWidth="1"/>
    <col min="16117" max="16117" width="18.6640625" style="343" customWidth="1"/>
    <col min="16118" max="16119" width="15.6640625" style="343" customWidth="1"/>
    <col min="16120" max="16120" width="18.6640625" style="343" customWidth="1"/>
    <col min="16121" max="16121" width="18.21875" style="343" customWidth="1"/>
    <col min="16122" max="16384" width="9" style="343"/>
  </cols>
  <sheetData>
    <row r="1" spans="1:18" s="340" customFormat="1" ht="35.1" customHeight="1">
      <c r="A1" s="744" t="s">
        <v>767</v>
      </c>
      <c r="B1" s="744"/>
      <c r="C1" s="744"/>
      <c r="D1" s="744"/>
      <c r="E1" s="744"/>
      <c r="F1" s="744"/>
      <c r="G1" s="744"/>
      <c r="H1" s="744"/>
      <c r="I1" s="744"/>
    </row>
    <row r="2" spans="1:18" s="340" customFormat="1" ht="24.9" customHeight="1">
      <c r="A2" s="745">
        <f>基础数据!A2</f>
        <v>45836</v>
      </c>
      <c r="B2" s="745"/>
      <c r="C2" s="745"/>
      <c r="D2" s="745"/>
      <c r="E2" s="745"/>
      <c r="F2" s="745"/>
      <c r="G2" s="745"/>
      <c r="H2" s="745"/>
      <c r="I2" s="745"/>
    </row>
    <row r="3" spans="1:18" s="340" customFormat="1" ht="19.5" customHeight="1">
      <c r="A3" s="746" t="s">
        <v>281</v>
      </c>
      <c r="B3" s="746"/>
      <c r="C3" s="746"/>
      <c r="D3" s="746"/>
      <c r="E3" s="746"/>
      <c r="F3" s="340" t="s">
        <v>174</v>
      </c>
      <c r="G3" s="345" t="e">
        <f>#REF!+1</f>
        <v>#REF!</v>
      </c>
      <c r="H3" s="346"/>
      <c r="I3" s="658">
        <f>A2+1</f>
        <v>45837</v>
      </c>
    </row>
    <row r="4" spans="1:18" s="340" customFormat="1" ht="20.100000000000001" customHeight="1">
      <c r="A4" s="233" t="s">
        <v>282</v>
      </c>
      <c r="B4" s="347"/>
      <c r="C4" s="348"/>
      <c r="D4" s="349"/>
      <c r="E4" s="235" t="s">
        <v>283</v>
      </c>
      <c r="F4" s="350"/>
      <c r="G4" s="350"/>
      <c r="H4" s="350"/>
      <c r="I4" s="350"/>
    </row>
    <row r="5" spans="1:18" s="341" customFormat="1" ht="20.100000000000001" customHeight="1">
      <c r="A5" s="351" t="s">
        <v>177</v>
      </c>
      <c r="B5" s="351" t="s">
        <v>178</v>
      </c>
      <c r="C5" s="351" t="s">
        <v>179</v>
      </c>
      <c r="D5" s="351" t="s">
        <v>180</v>
      </c>
      <c r="E5" s="351" t="s">
        <v>181</v>
      </c>
      <c r="F5" s="351" t="s">
        <v>182</v>
      </c>
      <c r="G5" s="351" t="s">
        <v>183</v>
      </c>
      <c r="H5" s="351" t="s">
        <v>184</v>
      </c>
      <c r="I5" s="351" t="s">
        <v>185</v>
      </c>
    </row>
    <row r="6" spans="1:18" s="342" customFormat="1" ht="20.100000000000001" customHeight="1">
      <c r="A6" s="352"/>
      <c r="B6" s="353" t="s">
        <v>188</v>
      </c>
      <c r="C6" s="354"/>
      <c r="D6" s="355"/>
      <c r="E6" s="356"/>
      <c r="F6" s="356"/>
      <c r="G6" s="354"/>
      <c r="H6" s="356"/>
      <c r="I6" s="388"/>
    </row>
    <row r="7" spans="1:18" s="341" customFormat="1" ht="20.100000000000001" customHeight="1">
      <c r="A7" s="357">
        <v>1</v>
      </c>
      <c r="B7" s="358" t="s">
        <v>189</v>
      </c>
      <c r="C7" s="359"/>
      <c r="D7" s="360"/>
      <c r="E7" s="361"/>
      <c r="F7" s="361"/>
      <c r="G7" s="361"/>
      <c r="H7" s="362"/>
      <c r="I7" s="389"/>
    </row>
    <row r="8" spans="1:18" s="341" customFormat="1" ht="20.100000000000001" customHeight="1">
      <c r="A8" s="357">
        <v>1.1000000000000001</v>
      </c>
      <c r="B8" s="363" t="s">
        <v>284</v>
      </c>
      <c r="C8" s="359" t="s">
        <v>191</v>
      </c>
      <c r="D8" s="364"/>
      <c r="E8" s="361">
        <v>0</v>
      </c>
      <c r="F8" s="361">
        <v>0</v>
      </c>
      <c r="G8" s="361"/>
      <c r="H8" s="364"/>
      <c r="I8" s="390"/>
      <c r="K8" s="391"/>
    </row>
    <row r="9" spans="1:18" s="341" customFormat="1" ht="20.100000000000001" customHeight="1">
      <c r="A9" s="357">
        <v>2</v>
      </c>
      <c r="B9" s="358" t="s">
        <v>192</v>
      </c>
      <c r="C9" s="359" t="s">
        <v>191</v>
      </c>
      <c r="D9" s="360"/>
      <c r="E9" s="365"/>
      <c r="F9" s="361"/>
      <c r="G9" s="361"/>
      <c r="H9" s="364"/>
      <c r="I9" s="659">
        <f>I8-I11</f>
        <v>-256</v>
      </c>
      <c r="K9" s="391"/>
    </row>
    <row r="10" spans="1:18" s="341" customFormat="1" ht="20.100000000000001" customHeight="1">
      <c r="A10" s="357">
        <v>3</v>
      </c>
      <c r="B10" s="358" t="s">
        <v>193</v>
      </c>
      <c r="C10" s="360"/>
      <c r="D10" s="366"/>
      <c r="E10" s="329"/>
      <c r="F10" s="329"/>
      <c r="G10" s="329"/>
      <c r="H10" s="362"/>
      <c r="I10" s="392"/>
      <c r="K10" s="391"/>
    </row>
    <row r="11" spans="1:18" s="341" customFormat="1" ht="20.100000000000001" customHeight="1">
      <c r="A11" s="357">
        <v>3.1</v>
      </c>
      <c r="B11" s="363" t="s">
        <v>194</v>
      </c>
      <c r="C11" s="359" t="s">
        <v>191</v>
      </c>
      <c r="D11" s="366"/>
      <c r="E11" s="329">
        <f>E12/(100-E13)*100</f>
        <v>256</v>
      </c>
      <c r="F11" s="329">
        <f>F12/(100-F13)*100</f>
        <v>256</v>
      </c>
      <c r="G11" s="329" t="e">
        <f t="shared" ref="G11:G17" si="0">F11/D11*100</f>
        <v>#DIV/0!</v>
      </c>
      <c r="H11" s="367"/>
      <c r="I11" s="329">
        <f>I12/(100-I13)*100</f>
        <v>256</v>
      </c>
      <c r="L11" s="391"/>
      <c r="M11" s="391"/>
      <c r="N11" s="391"/>
      <c r="O11" s="391"/>
      <c r="P11" s="391"/>
      <c r="Q11" s="391"/>
      <c r="R11" s="391"/>
    </row>
    <row r="12" spans="1:18" s="341" customFormat="1" ht="20.100000000000001" customHeight="1">
      <c r="A12" s="357"/>
      <c r="B12" s="363" t="s">
        <v>195</v>
      </c>
      <c r="C12" s="359" t="s">
        <v>191</v>
      </c>
      <c r="D12" s="366"/>
      <c r="E12" s="329">
        <f>'班组统计台账（3%）日累'!D8</f>
        <v>248.32</v>
      </c>
      <c r="F12" s="329">
        <f>'班组统计台账（3%）日累'!D15</f>
        <v>248.32</v>
      </c>
      <c r="G12" s="329" t="e">
        <f t="shared" si="0"/>
        <v>#DIV/0!</v>
      </c>
      <c r="H12" s="367"/>
      <c r="I12" s="329">
        <f>'班组统计台账（3%）日累'!D16</f>
        <v>248.32</v>
      </c>
    </row>
    <row r="13" spans="1:18" s="341" customFormat="1" ht="20.100000000000001" customHeight="1">
      <c r="A13" s="357"/>
      <c r="B13" s="363" t="s">
        <v>154</v>
      </c>
      <c r="C13" s="359" t="s">
        <v>196</v>
      </c>
      <c r="D13" s="367"/>
      <c r="E13" s="329">
        <f>'班组统计台账（3%）日累'!B52</f>
        <v>3.0000000000000027</v>
      </c>
      <c r="F13" s="329">
        <f>'班组统计台账（3%）日累'!B53</f>
        <v>3.0000000000000027</v>
      </c>
      <c r="G13" s="329" t="e">
        <f t="shared" si="0"/>
        <v>#DIV/0!</v>
      </c>
      <c r="H13" s="367"/>
      <c r="I13" s="329">
        <f>'班组统计台账（3%）日累'!B54</f>
        <v>3.0000000000000027</v>
      </c>
    </row>
    <row r="14" spans="1:18" s="341" customFormat="1" ht="20.100000000000001" customHeight="1">
      <c r="A14" s="357">
        <v>3.2</v>
      </c>
      <c r="B14" s="363" t="s">
        <v>197</v>
      </c>
      <c r="C14" s="359" t="s">
        <v>196</v>
      </c>
      <c r="D14" s="366"/>
      <c r="E14" s="329">
        <f>'班组统计台账（3%）日累'!E8</f>
        <v>3.91</v>
      </c>
      <c r="F14" s="329">
        <f>'班组统计台账（3%）日累'!E15</f>
        <v>3.91</v>
      </c>
      <c r="G14" s="329" t="e">
        <f t="shared" si="0"/>
        <v>#DIV/0!</v>
      </c>
      <c r="H14" s="366"/>
      <c r="I14" s="329">
        <f>'班组统计台账（3%）日累'!E16</f>
        <v>3.91</v>
      </c>
      <c r="O14" s="391"/>
    </row>
    <row r="15" spans="1:18" s="341" customFormat="1" ht="20.100000000000001" customHeight="1">
      <c r="A15" s="357"/>
      <c r="B15" s="363" t="s">
        <v>198</v>
      </c>
      <c r="C15" s="359" t="s">
        <v>191</v>
      </c>
      <c r="D15" s="368"/>
      <c r="E15" s="369">
        <f>'班组统计台账（3%）日累'!H8</f>
        <v>9.7093120000000006</v>
      </c>
      <c r="F15" s="369">
        <f>'班组统计台账（3%）日累'!H15</f>
        <v>9.7093120000000006</v>
      </c>
      <c r="G15" s="329" t="e">
        <f t="shared" si="0"/>
        <v>#DIV/0!</v>
      </c>
      <c r="H15" s="368"/>
      <c r="I15" s="369">
        <f>'班组统计台账（3%）日累'!H16</f>
        <v>9.7093120000000006</v>
      </c>
      <c r="O15" s="391"/>
    </row>
    <row r="16" spans="1:18" s="341" customFormat="1" ht="20.100000000000001" customHeight="1">
      <c r="A16" s="357">
        <v>3.5</v>
      </c>
      <c r="B16" s="363" t="s">
        <v>203</v>
      </c>
      <c r="C16" s="359" t="s">
        <v>204</v>
      </c>
      <c r="D16" s="366"/>
      <c r="E16" s="329">
        <f>'班组统计台账（3%）日累'!G8</f>
        <v>195.5</v>
      </c>
      <c r="F16" s="329">
        <f>'班组统计台账（3%）日累'!G15</f>
        <v>195.5</v>
      </c>
      <c r="G16" s="329" t="e">
        <f t="shared" si="0"/>
        <v>#DIV/0!</v>
      </c>
      <c r="H16" s="366"/>
      <c r="I16" s="329">
        <f>'班组统计台账（3%）日累'!G16</f>
        <v>195.5</v>
      </c>
      <c r="O16" s="391"/>
    </row>
    <row r="17" spans="1:15" s="341" customFormat="1" ht="20.100000000000001" customHeight="1">
      <c r="A17" s="357"/>
      <c r="B17" s="363" t="s">
        <v>205</v>
      </c>
      <c r="C17" s="359" t="s">
        <v>206</v>
      </c>
      <c r="D17" s="370"/>
      <c r="E17" s="371">
        <f>'班组统计台账（3%）日累'!J8</f>
        <v>48.546559999999999</v>
      </c>
      <c r="F17" s="371">
        <f>'班组统计台账（3%）日累'!J15</f>
        <v>48.546559999999999</v>
      </c>
      <c r="G17" s="329" t="e">
        <f t="shared" si="0"/>
        <v>#DIV/0!</v>
      </c>
      <c r="H17" s="370"/>
      <c r="I17" s="371">
        <f>'班组统计台账（3%）日累'!J16</f>
        <v>48.546559999999999</v>
      </c>
      <c r="O17" s="391"/>
    </row>
    <row r="18" spans="1:15" s="341" customFormat="1" ht="20.100000000000001" customHeight="1">
      <c r="A18" s="357"/>
      <c r="B18" s="363"/>
      <c r="C18" s="359"/>
      <c r="D18" s="366"/>
      <c r="E18" s="329"/>
      <c r="F18" s="329"/>
      <c r="G18" s="329"/>
      <c r="H18" s="366"/>
      <c r="I18" s="329"/>
      <c r="O18" s="391"/>
    </row>
    <row r="19" spans="1:15" s="341" customFormat="1" ht="20.100000000000001" customHeight="1">
      <c r="A19" s="357">
        <v>4</v>
      </c>
      <c r="B19" s="358" t="s">
        <v>207</v>
      </c>
      <c r="C19" s="360"/>
      <c r="D19" s="366"/>
      <c r="E19" s="329"/>
      <c r="F19" s="329"/>
      <c r="G19" s="329"/>
      <c r="H19" s="366"/>
      <c r="I19" s="329"/>
      <c r="O19" s="391"/>
    </row>
    <row r="20" spans="1:15" ht="20.100000000000001" customHeight="1">
      <c r="A20" s="357">
        <v>4.0999999999999996</v>
      </c>
      <c r="B20" s="358" t="s">
        <v>64</v>
      </c>
      <c r="C20" s="359"/>
      <c r="D20" s="366"/>
      <c r="E20" s="372"/>
      <c r="F20" s="372"/>
      <c r="G20" s="329"/>
      <c r="H20" s="366"/>
      <c r="I20" s="378"/>
      <c r="N20" s="341"/>
      <c r="O20" s="391"/>
    </row>
    <row r="21" spans="1:15" ht="20.100000000000001" customHeight="1">
      <c r="A21" s="357"/>
      <c r="B21" s="363" t="s">
        <v>194</v>
      </c>
      <c r="C21" s="359" t="s">
        <v>191</v>
      </c>
      <c r="D21" s="373"/>
      <c r="E21" s="374">
        <f>E22/(100-E23)*100</f>
        <v>15.644343795425716</v>
      </c>
      <c r="F21" s="374">
        <f>F22/(100-F23)*100</f>
        <v>15.644343795425716</v>
      </c>
      <c r="G21" s="329" t="e">
        <f t="shared" ref="G21:G27" si="1">F21/D21*100</f>
        <v>#DIV/0!</v>
      </c>
      <c r="H21" s="373"/>
      <c r="I21" s="374" t="e">
        <f>I22/(100-I23)*100</f>
        <v>#DIV/0!</v>
      </c>
      <c r="N21" s="341"/>
      <c r="O21" s="391"/>
    </row>
    <row r="22" spans="1:15" ht="20.100000000000001" customHeight="1">
      <c r="A22" s="357"/>
      <c r="B22" s="375" t="s">
        <v>195</v>
      </c>
      <c r="C22" s="359" t="s">
        <v>191</v>
      </c>
      <c r="D22" s="376"/>
      <c r="E22" s="374">
        <f>'班组统计台账（3%）日累'!L8</f>
        <v>14.392796291791658</v>
      </c>
      <c r="F22" s="329">
        <f>'班组统计台账（3%）日累'!L15</f>
        <v>14.392796291791658</v>
      </c>
      <c r="G22" s="329" t="e">
        <f t="shared" si="1"/>
        <v>#DIV/0!</v>
      </c>
      <c r="H22" s="376"/>
      <c r="I22" s="378">
        <f>'班组统计台账（3%）日累'!L16</f>
        <v>14.392796291791658</v>
      </c>
      <c r="N22" s="341"/>
      <c r="O22" s="391"/>
    </row>
    <row r="23" spans="1:15" ht="20.100000000000001" customHeight="1">
      <c r="A23" s="357"/>
      <c r="B23" s="377" t="s">
        <v>20</v>
      </c>
      <c r="C23" s="359" t="s">
        <v>196</v>
      </c>
      <c r="D23" s="378"/>
      <c r="E23" s="379">
        <f>F23</f>
        <v>8</v>
      </c>
      <c r="F23" s="380">
        <v>8</v>
      </c>
      <c r="G23" s="329" t="e">
        <f t="shared" si="1"/>
        <v>#DIV/0!</v>
      </c>
      <c r="H23" s="378"/>
      <c r="I23" s="378" t="e">
        <f>'精矿盘点表（全年）'!D6</f>
        <v>#DIV/0!</v>
      </c>
      <c r="O23" s="394"/>
    </row>
    <row r="24" spans="1:15" s="341" customFormat="1" ht="20.100000000000001" customHeight="1">
      <c r="A24" s="357"/>
      <c r="B24" s="381" t="s">
        <v>197</v>
      </c>
      <c r="C24" s="359" t="s">
        <v>196</v>
      </c>
      <c r="D24" s="374"/>
      <c r="E24" s="329">
        <f>'班组统计台账（3%）日累'!M8</f>
        <v>65.670862584895232</v>
      </c>
      <c r="F24" s="329">
        <f>'班组统计台账（3%）日累'!M15</f>
        <v>65.670862584895232</v>
      </c>
      <c r="G24" s="329" t="e">
        <f t="shared" si="1"/>
        <v>#DIV/0!</v>
      </c>
      <c r="H24" s="374"/>
      <c r="I24" s="329">
        <f>'班组统计台账（3%）日累'!M16</f>
        <v>65.670862584895232</v>
      </c>
      <c r="O24" s="391"/>
    </row>
    <row r="25" spans="1:15" s="341" customFormat="1" ht="20.100000000000001" customHeight="1">
      <c r="A25" s="357"/>
      <c r="B25" s="363" t="s">
        <v>198</v>
      </c>
      <c r="C25" s="359" t="s">
        <v>191</v>
      </c>
      <c r="D25" s="368"/>
      <c r="E25" s="369">
        <f>'班组统计台账（3%）日累'!P8</f>
        <v>9.451873474906396</v>
      </c>
      <c r="F25" s="369">
        <f>'班组统计台账（3%）日累'!P15</f>
        <v>9.451873474906396</v>
      </c>
      <c r="G25" s="329" t="e">
        <f t="shared" si="1"/>
        <v>#DIV/0!</v>
      </c>
      <c r="H25" s="368"/>
      <c r="I25" s="369">
        <f>'班组统计台账（3%）日累'!P16</f>
        <v>9.451873474906396</v>
      </c>
      <c r="K25" s="391"/>
      <c r="O25" s="391">
        <f>I25*17000</f>
        <v>160681.84907340872</v>
      </c>
    </row>
    <row r="26" spans="1:15" s="341" customFormat="1" ht="20.100000000000001" customHeight="1">
      <c r="A26" s="357"/>
      <c r="B26" s="363" t="s">
        <v>203</v>
      </c>
      <c r="C26" s="359" t="s">
        <v>204</v>
      </c>
      <c r="D26" s="366"/>
      <c r="E26" s="329">
        <f>'班组统计台账（3%）日累'!O8</f>
        <v>3366.5768212689172</v>
      </c>
      <c r="F26" s="329">
        <f>'班组统计台账（3%）日累'!O15</f>
        <v>3366.5768212689172</v>
      </c>
      <c r="G26" s="329" t="e">
        <f t="shared" si="1"/>
        <v>#DIV/0!</v>
      </c>
      <c r="H26" s="366"/>
      <c r="I26" s="329">
        <f>'班组统计台账（3%）日累'!O16</f>
        <v>3366.5768212689172</v>
      </c>
      <c r="O26" s="391"/>
    </row>
    <row r="27" spans="1:15" s="341" customFormat="1" ht="20.100000000000001" customHeight="1">
      <c r="A27" s="357"/>
      <c r="B27" s="363" t="s">
        <v>205</v>
      </c>
      <c r="C27" s="359" t="s">
        <v>206</v>
      </c>
      <c r="D27" s="370"/>
      <c r="E27" s="371">
        <f>'班组统计台账（3%）日累'!R8</f>
        <v>48.454454389191021</v>
      </c>
      <c r="F27" s="371">
        <f>'班组统计台账（3%）日累'!R15</f>
        <v>48.454454389191021</v>
      </c>
      <c r="G27" s="329" t="e">
        <f t="shared" si="1"/>
        <v>#DIV/0!</v>
      </c>
      <c r="H27" s="370"/>
      <c r="I27" s="371">
        <f>'班组统计台账（3%）日累'!R16</f>
        <v>48.454454389191021</v>
      </c>
      <c r="K27" s="391"/>
      <c r="O27" s="391">
        <f>I27*7200</f>
        <v>348872.07160217536</v>
      </c>
    </row>
    <row r="28" spans="1:15" ht="20.100000000000001" customHeight="1">
      <c r="A28" s="357">
        <v>4.2</v>
      </c>
      <c r="B28" s="358" t="s">
        <v>26</v>
      </c>
      <c r="C28" s="359"/>
      <c r="D28" s="372"/>
      <c r="E28" s="372"/>
      <c r="F28" s="372"/>
      <c r="G28" s="329"/>
      <c r="H28" s="372"/>
      <c r="I28" s="378"/>
    </row>
    <row r="29" spans="1:15" ht="20.100000000000001" customHeight="1">
      <c r="A29" s="357"/>
      <c r="B29" s="363" t="s">
        <v>195</v>
      </c>
      <c r="C29" s="359" t="s">
        <v>191</v>
      </c>
      <c r="D29" s="374"/>
      <c r="E29" s="374">
        <f>'班组统计台账（3%）日累'!AA8</f>
        <v>233.92720370820834</v>
      </c>
      <c r="F29" s="374">
        <f>'班组统计台账（3%）日累'!AA15</f>
        <v>233.92720370820834</v>
      </c>
      <c r="G29" s="329" t="e">
        <f>F29/D29*100</f>
        <v>#DIV/0!</v>
      </c>
      <c r="H29" s="374"/>
      <c r="I29" s="378">
        <f>'班组统计台账（3%）日累'!AA16</f>
        <v>233.92720370820834</v>
      </c>
    </row>
    <row r="30" spans="1:15" s="341" customFormat="1" ht="20.100000000000001" customHeight="1">
      <c r="A30" s="357"/>
      <c r="B30" s="363" t="s">
        <v>197</v>
      </c>
      <c r="C30" s="359" t="s">
        <v>196</v>
      </c>
      <c r="D30" s="366"/>
      <c r="E30" s="329">
        <f>'班组统计台账（3%）日累'!AB8</f>
        <v>0.11005069996678257</v>
      </c>
      <c r="F30" s="329">
        <f>'班组统计台账（3%）日累'!AB15</f>
        <v>0.11005069996678257</v>
      </c>
      <c r="G30" s="329" t="e">
        <f>F30/D30*100</f>
        <v>#DIV/0!</v>
      </c>
      <c r="H30" s="366"/>
      <c r="I30" s="329">
        <f>'班组统计台账（3%）日累'!AB16</f>
        <v>0.11005069996678257</v>
      </c>
    </row>
    <row r="31" spans="1:15" s="341" customFormat="1" ht="20.100000000000001" customHeight="1">
      <c r="A31" s="357"/>
      <c r="B31" s="363" t="s">
        <v>198</v>
      </c>
      <c r="C31" s="359" t="s">
        <v>191</v>
      </c>
      <c r="D31" s="382"/>
      <c r="E31" s="369">
        <f>'班组统计台账（3%）日累'!AE8</f>
        <v>0.25743852509360465</v>
      </c>
      <c r="F31" s="369">
        <f>'班组统计台账（3%）日累'!AE15</f>
        <v>0.25743852509360465</v>
      </c>
      <c r="G31" s="329" t="e">
        <f>F31/D31*100</f>
        <v>#DIV/0!</v>
      </c>
      <c r="H31" s="382"/>
      <c r="I31" s="369">
        <f>'班组统计台账（3%）日累'!AE16</f>
        <v>0.25743852509360465</v>
      </c>
    </row>
    <row r="32" spans="1:15" s="341" customFormat="1" ht="20.100000000000001" customHeight="1">
      <c r="A32" s="357"/>
      <c r="B32" s="363" t="s">
        <v>203</v>
      </c>
      <c r="C32" s="359" t="s">
        <v>204</v>
      </c>
      <c r="D32" s="366"/>
      <c r="E32" s="329">
        <f>'班组统计台账（3%）日累'!AD8</f>
        <v>0.39373621087637162</v>
      </c>
      <c r="F32" s="329">
        <f>'班组统计台账（3%）日累'!AD15</f>
        <v>0.39373621087637162</v>
      </c>
      <c r="G32" s="329" t="e">
        <f>F32/D32*100</f>
        <v>#DIV/0!</v>
      </c>
      <c r="H32" s="366"/>
      <c r="I32" s="329">
        <f>'班组统计台账（3%）日累'!AD16</f>
        <v>0.39373621087637162</v>
      </c>
    </row>
    <row r="33" spans="1:12" s="341" customFormat="1" ht="20.100000000000001" customHeight="1">
      <c r="A33" s="357"/>
      <c r="B33" s="363" t="s">
        <v>205</v>
      </c>
      <c r="C33" s="359" t="s">
        <v>206</v>
      </c>
      <c r="D33" s="370"/>
      <c r="E33" s="371">
        <f>'班组统计台账（3%）日累'!AG8</f>
        <v>9.2105610808975058E-2</v>
      </c>
      <c r="F33" s="371">
        <f>'班组统计台账（3%）日累'!AG15</f>
        <v>9.2105610808975058E-2</v>
      </c>
      <c r="G33" s="329" t="e">
        <f>F33/D33*100</f>
        <v>#DIV/0!</v>
      </c>
      <c r="H33" s="370"/>
      <c r="I33" s="371">
        <f>'班组统计台账（3%）日累'!AG16</f>
        <v>9.2105610808975058E-2</v>
      </c>
    </row>
    <row r="34" spans="1:12" s="341" customFormat="1" ht="20.100000000000001" customHeight="1">
      <c r="A34" s="357">
        <v>5</v>
      </c>
      <c r="B34" s="358" t="s">
        <v>759</v>
      </c>
      <c r="C34" s="359"/>
      <c r="D34" s="370"/>
      <c r="E34" s="371"/>
      <c r="F34" s="371"/>
      <c r="G34" s="329"/>
      <c r="H34" s="370"/>
      <c r="I34" s="371"/>
    </row>
    <row r="35" spans="1:12" s="341" customFormat="1" ht="20.100000000000001" customHeight="1">
      <c r="A35" s="357">
        <v>5.0999999999999996</v>
      </c>
      <c r="B35" s="363" t="s">
        <v>760</v>
      </c>
      <c r="C35" s="359" t="s">
        <v>196</v>
      </c>
      <c r="D35" s="370"/>
      <c r="E35" s="329">
        <f>'班组统计台账（3%）日累'!AH8</f>
        <v>97.348539988275135</v>
      </c>
      <c r="F35" s="329">
        <f>'班组统计台账（3%）日累'!AH15</f>
        <v>97.348539988275135</v>
      </c>
      <c r="G35" s="329"/>
      <c r="H35" s="367"/>
      <c r="I35" s="329">
        <f>'班组统计台账（3%）日累'!AH16</f>
        <v>97.348539988275135</v>
      </c>
    </row>
    <row r="36" spans="1:12" s="341" customFormat="1" ht="20.100000000000001" customHeight="1">
      <c r="A36" s="357">
        <v>5.2</v>
      </c>
      <c r="B36" s="363" t="s">
        <v>761</v>
      </c>
      <c r="C36" s="359" t="s">
        <v>196</v>
      </c>
      <c r="D36" s="370"/>
      <c r="E36" s="329">
        <f>'班组统计台账（3%）日累'!AJ8</f>
        <v>99.810273661390255</v>
      </c>
      <c r="F36" s="329">
        <f>'班组统计台账（3%）日累'!AJ15</f>
        <v>99.810273661390255</v>
      </c>
      <c r="G36" s="329"/>
      <c r="H36" s="367"/>
      <c r="I36" s="329">
        <f>'班组统计台账（3%）日累'!AJ16</f>
        <v>99.810273661390255</v>
      </c>
    </row>
    <row r="37" spans="1:12" s="341" customFormat="1" ht="20.100000000000001" customHeight="1">
      <c r="A37" s="357">
        <v>6</v>
      </c>
      <c r="B37" s="358" t="s">
        <v>285</v>
      </c>
      <c r="C37" s="359"/>
      <c r="D37" s="370"/>
      <c r="E37" s="371"/>
      <c r="F37" s="371"/>
      <c r="G37" s="329"/>
      <c r="H37" s="370"/>
      <c r="I37" s="371"/>
    </row>
    <row r="38" spans="1:12" s="341" customFormat="1" ht="20.100000000000001" customHeight="1">
      <c r="A38" s="357">
        <v>6.1</v>
      </c>
      <c r="B38" s="358" t="s">
        <v>64</v>
      </c>
      <c r="C38" s="359"/>
      <c r="D38" s="370"/>
      <c r="E38" s="371"/>
      <c r="F38" s="371"/>
      <c r="G38" s="329"/>
      <c r="H38" s="370"/>
      <c r="I38" s="371"/>
    </row>
    <row r="39" spans="1:12" s="341" customFormat="1" ht="20.100000000000001" customHeight="1">
      <c r="A39" s="357"/>
      <c r="B39" s="363" t="s">
        <v>194</v>
      </c>
      <c r="C39" s="359" t="s">
        <v>191</v>
      </c>
      <c r="D39" s="370"/>
      <c r="E39" s="329"/>
      <c r="F39" s="329">
        <v>1848.24</v>
      </c>
      <c r="G39" s="329"/>
      <c r="H39" s="370"/>
      <c r="I39" s="329">
        <v>7277.8</v>
      </c>
      <c r="J39" s="391">
        <v>0</v>
      </c>
      <c r="K39" s="391">
        <v>0</v>
      </c>
    </row>
    <row r="40" spans="1:12" ht="20.100000000000001" customHeight="1">
      <c r="A40" s="357">
        <v>7</v>
      </c>
      <c r="B40" s="358" t="s">
        <v>240</v>
      </c>
      <c r="C40" s="359"/>
      <c r="D40" s="364"/>
      <c r="E40" s="372"/>
      <c r="F40" s="372"/>
      <c r="G40" s="372"/>
      <c r="H40" s="364"/>
      <c r="I40" s="372"/>
    </row>
    <row r="41" spans="1:12" ht="20.100000000000001" customHeight="1">
      <c r="A41" s="357">
        <v>7.1</v>
      </c>
      <c r="B41" s="363" t="s">
        <v>241</v>
      </c>
      <c r="C41" s="359" t="s">
        <v>191</v>
      </c>
      <c r="D41" s="364"/>
      <c r="E41" s="374"/>
      <c r="F41" s="374"/>
      <c r="G41" s="372"/>
      <c r="H41" s="364"/>
      <c r="I41" s="393">
        <v>0</v>
      </c>
      <c r="J41" s="394"/>
      <c r="K41" s="394"/>
      <c r="L41" s="394"/>
    </row>
    <row r="42" spans="1:12" ht="30.75" customHeight="1">
      <c r="A42" s="357" t="s">
        <v>244</v>
      </c>
      <c r="B42" s="358" t="s">
        <v>245</v>
      </c>
      <c r="C42" s="767" t="s">
        <v>286</v>
      </c>
      <c r="D42" s="767"/>
      <c r="E42" s="767"/>
      <c r="F42" s="767"/>
      <c r="G42" s="767"/>
      <c r="H42" s="767"/>
      <c r="I42" s="767"/>
    </row>
    <row r="43" spans="1:12" ht="20.100000000000001" customHeight="1">
      <c r="A43" s="357">
        <v>1</v>
      </c>
      <c r="B43" s="358" t="s">
        <v>247</v>
      </c>
      <c r="C43" s="768" t="s">
        <v>248</v>
      </c>
      <c r="D43" s="768"/>
      <c r="E43" s="768"/>
      <c r="F43" s="768"/>
      <c r="G43" s="768"/>
      <c r="H43" s="768"/>
      <c r="I43" s="768"/>
    </row>
    <row r="44" spans="1:12" ht="20.100000000000001" customHeight="1">
      <c r="A44" s="357">
        <v>2</v>
      </c>
      <c r="B44" s="358" t="s">
        <v>249</v>
      </c>
      <c r="C44" s="768" t="s">
        <v>248</v>
      </c>
      <c r="D44" s="768"/>
      <c r="E44" s="768"/>
      <c r="F44" s="768"/>
      <c r="G44" s="768"/>
      <c r="H44" s="768"/>
      <c r="I44" s="768"/>
    </row>
    <row r="45" spans="1:12" ht="20.100000000000001" customHeight="1">
      <c r="A45" s="357">
        <v>3</v>
      </c>
      <c r="B45" s="358" t="s">
        <v>251</v>
      </c>
      <c r="C45" s="768" t="s">
        <v>287</v>
      </c>
      <c r="D45" s="768"/>
      <c r="E45" s="768"/>
      <c r="F45" s="768"/>
      <c r="G45" s="768"/>
      <c r="H45" s="768"/>
      <c r="I45" s="768"/>
    </row>
    <row r="46" spans="1:12" ht="20.100000000000001" customHeight="1">
      <c r="A46" s="357">
        <v>4</v>
      </c>
      <c r="B46" s="358" t="s">
        <v>252</v>
      </c>
      <c r="C46" s="768" t="s">
        <v>250</v>
      </c>
      <c r="D46" s="768"/>
      <c r="E46" s="768"/>
      <c r="F46" s="768"/>
      <c r="G46" s="768"/>
      <c r="H46" s="768"/>
      <c r="I46" s="768"/>
    </row>
    <row r="47" spans="1:12" ht="20.100000000000001" customHeight="1">
      <c r="A47" s="357">
        <v>5</v>
      </c>
      <c r="B47" s="358" t="s">
        <v>253</v>
      </c>
      <c r="C47" s="768" t="s">
        <v>288</v>
      </c>
      <c r="D47" s="768"/>
      <c r="E47" s="768"/>
      <c r="F47" s="768"/>
      <c r="G47" s="768"/>
      <c r="H47" s="768"/>
      <c r="I47" s="768"/>
    </row>
    <row r="48" spans="1:12" ht="20.100000000000001" customHeight="1">
      <c r="A48" s="383"/>
      <c r="B48" s="358" t="s">
        <v>254</v>
      </c>
      <c r="C48" s="770" t="s">
        <v>289</v>
      </c>
      <c r="D48" s="770"/>
      <c r="E48" s="770"/>
      <c r="F48" s="770"/>
      <c r="G48" s="770"/>
      <c r="H48" s="770"/>
      <c r="I48" s="770"/>
    </row>
    <row r="50" spans="7:9">
      <c r="G50" s="769"/>
      <c r="H50" s="769"/>
      <c r="I50" s="769"/>
    </row>
    <row r="51" spans="7:9">
      <c r="G51" s="769"/>
      <c r="H51" s="769"/>
      <c r="I51" s="769"/>
    </row>
  </sheetData>
  <mergeCells count="11">
    <mergeCell ref="G50:I51"/>
    <mergeCell ref="C44:I44"/>
    <mergeCell ref="C45:I45"/>
    <mergeCell ref="C46:I46"/>
    <mergeCell ref="C47:I47"/>
    <mergeCell ref="C48:I48"/>
    <mergeCell ref="A1:I1"/>
    <mergeCell ref="A2:I2"/>
    <mergeCell ref="A3:E3"/>
    <mergeCell ref="C42:I42"/>
    <mergeCell ref="C43:I43"/>
  </mergeCells>
  <phoneticPr fontId="54" type="noConversion"/>
  <pageMargins left="0.74791666666666701" right="0.74791666666666701" top="0.98402777777777795" bottom="0.98402777777777795" header="0.51180555555555596" footer="0.51180555555555596"/>
  <pageSetup paperSize="9" scale="75" orientation="landscape" horizontalDpi="200" verticalDpi="300"/>
  <headerFooter alignWithMargins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2">
    <tabColor rgb="FF00B0F0"/>
  </sheetPr>
  <dimension ref="A1:H19"/>
  <sheetViews>
    <sheetView workbookViewId="0">
      <selection activeCell="E5" sqref="E5"/>
    </sheetView>
  </sheetViews>
  <sheetFormatPr defaultColWidth="9" defaultRowHeight="14.4"/>
  <cols>
    <col min="1" max="1" width="6" style="317" customWidth="1"/>
    <col min="2" max="2" width="15.88671875" style="317" customWidth="1"/>
    <col min="3" max="3" width="6.44140625" style="317" customWidth="1"/>
    <col min="4" max="4" width="15.88671875" style="317" customWidth="1"/>
    <col min="5" max="6" width="15.6640625" style="317" customWidth="1"/>
    <col min="7" max="16384" width="9" style="317"/>
  </cols>
  <sheetData>
    <row r="1" spans="1:6" ht="24" customHeight="1">
      <c r="A1" s="751" t="s">
        <v>290</v>
      </c>
      <c r="B1" s="751"/>
      <c r="C1" s="751"/>
      <c r="D1" s="751"/>
      <c r="E1" s="751"/>
      <c r="F1" s="751"/>
    </row>
    <row r="2" spans="1:6" ht="21.75" customHeight="1">
      <c r="A2" s="752">
        <f>基础数据!A2</f>
        <v>45836</v>
      </c>
      <c r="B2" s="752"/>
      <c r="C2" s="752"/>
      <c r="D2" s="752"/>
      <c r="E2" s="752"/>
      <c r="F2" s="752"/>
    </row>
    <row r="3" spans="1:6" ht="30" customHeight="1">
      <c r="A3" s="318" t="s">
        <v>177</v>
      </c>
      <c r="B3" s="318" t="s">
        <v>256</v>
      </c>
      <c r="C3" s="318" t="s">
        <v>179</v>
      </c>
      <c r="D3" s="319" t="s">
        <v>181</v>
      </c>
      <c r="E3" s="319" t="s">
        <v>182</v>
      </c>
      <c r="F3" s="320" t="s">
        <v>185</v>
      </c>
    </row>
    <row r="4" spans="1:6" ht="18" customHeight="1">
      <c r="A4" s="321">
        <v>1</v>
      </c>
      <c r="B4" s="322" t="s">
        <v>257</v>
      </c>
      <c r="C4" s="323"/>
      <c r="D4" s="324"/>
      <c r="E4" s="324"/>
      <c r="F4" s="324"/>
    </row>
    <row r="5" spans="1:6" ht="18" customHeight="1">
      <c r="A5" s="325"/>
      <c r="B5" s="326" t="s">
        <v>258</v>
      </c>
      <c r="C5" s="327" t="s">
        <v>259</v>
      </c>
      <c r="D5" s="328">
        <f>'班组统计台账（3%）日累'!D8</f>
        <v>248.32</v>
      </c>
      <c r="E5" s="329">
        <f>'班组统计台账（3%）日累'!D15</f>
        <v>248.32</v>
      </c>
      <c r="F5" s="330">
        <f>'班组统计台账（3%）日累'!D16</f>
        <v>248.32</v>
      </c>
    </row>
    <row r="6" spans="1:6" ht="18" customHeight="1">
      <c r="A6" s="325"/>
      <c r="B6" s="326" t="s">
        <v>260</v>
      </c>
      <c r="C6" s="327" t="s">
        <v>196</v>
      </c>
      <c r="D6" s="331">
        <f>'班组统计台账（3%）日累'!E8+'班组统计台账（3%）日累'!F8</f>
        <v>3.91</v>
      </c>
      <c r="E6" s="332">
        <f>'班组统计台账（3%）日累'!E15+'班组统计台账（3%）日累'!F15</f>
        <v>3.91</v>
      </c>
      <c r="F6" s="332">
        <f>'班组统计台账（3%）日累'!E16+'班组统计台账（3%）日累'!F16</f>
        <v>3.91</v>
      </c>
    </row>
    <row r="7" spans="1:6" ht="18" customHeight="1">
      <c r="A7" s="321">
        <v>2</v>
      </c>
      <c r="B7" s="322" t="s">
        <v>261</v>
      </c>
      <c r="C7" s="327"/>
      <c r="D7" s="333"/>
      <c r="E7" s="333"/>
      <c r="F7" s="333"/>
    </row>
    <row r="8" spans="1:6" ht="18" customHeight="1">
      <c r="A8" s="325"/>
      <c r="B8" s="326" t="s">
        <v>64</v>
      </c>
      <c r="C8" s="327"/>
      <c r="D8" s="333"/>
      <c r="E8" s="333"/>
      <c r="F8" s="333"/>
    </row>
    <row r="9" spans="1:6" ht="18" customHeight="1">
      <c r="A9" s="334"/>
      <c r="B9" s="326" t="s">
        <v>121</v>
      </c>
      <c r="C9" s="327" t="s">
        <v>196</v>
      </c>
      <c r="D9" s="331">
        <f>'班组统计台账（3%）日累'!M8</f>
        <v>65.670862584895232</v>
      </c>
      <c r="E9" s="332">
        <f>'班组统计台账（3%）日累'!M15</f>
        <v>65.670862584895232</v>
      </c>
      <c r="F9" s="332">
        <f>'班组统计台账（3%）日累'!M16</f>
        <v>65.670862584895232</v>
      </c>
    </row>
    <row r="10" spans="1:6" ht="18" customHeight="1">
      <c r="A10" s="334"/>
      <c r="B10" s="326" t="s">
        <v>123</v>
      </c>
      <c r="C10" s="327" t="s">
        <v>263</v>
      </c>
      <c r="D10" s="335">
        <f>'班组统计台账（3%）日累'!O8</f>
        <v>3366.5768212689172</v>
      </c>
      <c r="E10" s="332">
        <f>'班组统计台账（3%）日累'!O15</f>
        <v>3366.5768212689172</v>
      </c>
      <c r="F10" s="332">
        <f>'班组统计台账（3%）日累'!O16</f>
        <v>3366.5768212689172</v>
      </c>
    </row>
    <row r="11" spans="1:6" ht="18" customHeight="1">
      <c r="A11" s="321">
        <v>3</v>
      </c>
      <c r="B11" s="322" t="s">
        <v>264</v>
      </c>
      <c r="C11" s="327"/>
      <c r="D11" s="332"/>
      <c r="E11" s="332"/>
      <c r="F11" s="332"/>
    </row>
    <row r="12" spans="1:6" ht="18" customHeight="1">
      <c r="A12" s="334"/>
      <c r="B12" s="326" t="s">
        <v>121</v>
      </c>
      <c r="C12" s="327" t="s">
        <v>196</v>
      </c>
      <c r="D12" s="332">
        <f>'班组统计台账（3%）日累'!AB8</f>
        <v>0.11005069996678257</v>
      </c>
      <c r="E12" s="332">
        <f>'班组统计台账（3%）日累'!AB15</f>
        <v>0.11005069996678257</v>
      </c>
      <c r="F12" s="332">
        <f>'班组统计台账（3%）日累'!AB16</f>
        <v>0.11005069996678257</v>
      </c>
    </row>
    <row r="13" spans="1:6" ht="18" customHeight="1">
      <c r="A13" s="334"/>
      <c r="B13" s="326" t="s">
        <v>123</v>
      </c>
      <c r="C13" s="327" t="s">
        <v>263</v>
      </c>
      <c r="D13" s="332">
        <f>'班组统计台账（3%）日累'!AD8</f>
        <v>0.39373621087637162</v>
      </c>
      <c r="E13" s="332">
        <f>'班组统计台账（3%）日累'!AD15</f>
        <v>0.39373621087637162</v>
      </c>
      <c r="F13" s="332">
        <f>'班组统计台账（3%）日累'!AD16</f>
        <v>0.39373621087637162</v>
      </c>
    </row>
    <row r="14" spans="1:6" ht="18" customHeight="1">
      <c r="A14" s="321">
        <v>4</v>
      </c>
      <c r="B14" s="322" t="s">
        <v>27</v>
      </c>
      <c r="C14" s="318"/>
      <c r="D14" s="332"/>
      <c r="E14" s="332"/>
      <c r="F14" s="332"/>
    </row>
    <row r="15" spans="1:6" ht="18" customHeight="1">
      <c r="A15" s="334"/>
      <c r="B15" s="326" t="s">
        <v>9</v>
      </c>
      <c r="C15" s="327" t="s">
        <v>196</v>
      </c>
      <c r="D15" s="331">
        <f>'班组统计台账（3%）日累'!AH8</f>
        <v>97.348539988275135</v>
      </c>
      <c r="E15" s="332">
        <f>'班组统计台账（3%）日累'!AH15</f>
        <v>97.348539988275135</v>
      </c>
      <c r="F15" s="332">
        <f>'班组统计台账（3%）日累'!AH16</f>
        <v>97.348539988275135</v>
      </c>
    </row>
    <row r="16" spans="1:6" ht="18" customHeight="1">
      <c r="A16" s="334"/>
      <c r="B16" s="326" t="s">
        <v>14</v>
      </c>
      <c r="C16" s="327" t="s">
        <v>196</v>
      </c>
      <c r="D16" s="331">
        <f>'班组统计台账（3%）日累'!AJ8</f>
        <v>99.810273661390255</v>
      </c>
      <c r="E16" s="332">
        <f>'班组统计台账（3%）日累'!AJ15</f>
        <v>99.810273661390255</v>
      </c>
      <c r="F16" s="332">
        <f>'班组统计台账（3%）日累'!AJ16</f>
        <v>99.810273661390255</v>
      </c>
    </row>
    <row r="17" spans="1:8" ht="18" customHeight="1">
      <c r="A17" s="321">
        <v>5</v>
      </c>
      <c r="B17" s="322" t="s">
        <v>291</v>
      </c>
      <c r="C17" s="327"/>
      <c r="D17" s="332"/>
      <c r="E17" s="332"/>
      <c r="F17" s="332"/>
    </row>
    <row r="18" spans="1:8" ht="18" customHeight="1">
      <c r="A18" s="336"/>
      <c r="B18" s="326" t="s">
        <v>268</v>
      </c>
      <c r="C18" s="337" t="s">
        <v>259</v>
      </c>
      <c r="D18" s="771">
        <f>'日报表 (3%)'!I9</f>
        <v>-256</v>
      </c>
      <c r="E18" s="772"/>
      <c r="F18" s="773"/>
      <c r="G18" s="338"/>
      <c r="H18" s="339"/>
    </row>
    <row r="19" spans="1:8" ht="18" customHeight="1">
      <c r="A19" s="336"/>
      <c r="B19" s="326" t="s">
        <v>64</v>
      </c>
      <c r="C19" s="337" t="s">
        <v>259</v>
      </c>
      <c r="D19" s="771">
        <f>'日报表 (3%)'!I41</f>
        <v>0</v>
      </c>
      <c r="E19" s="772"/>
      <c r="F19" s="773"/>
    </row>
  </sheetData>
  <mergeCells count="4">
    <mergeCell ref="A1:F1"/>
    <mergeCell ref="A2:F2"/>
    <mergeCell ref="D18:F18"/>
    <mergeCell ref="D19:F19"/>
  </mergeCells>
  <phoneticPr fontId="54" type="noConversion"/>
  <pageMargins left="0.69930555555555596" right="0.69930555555555596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3">
    <pageSetUpPr fitToPage="1"/>
  </sheetPr>
  <dimension ref="A1:M57"/>
  <sheetViews>
    <sheetView topLeftCell="A25" workbookViewId="0">
      <selection activeCell="N37" sqref="N37"/>
    </sheetView>
  </sheetViews>
  <sheetFormatPr defaultColWidth="9" defaultRowHeight="14.4"/>
  <cols>
    <col min="1" max="1" width="16" style="157" customWidth="1"/>
    <col min="2" max="13" width="12.6640625" customWidth="1"/>
  </cols>
  <sheetData>
    <row r="1" spans="1:13" ht="21" customHeight="1">
      <c r="A1" s="774" t="s">
        <v>292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</row>
    <row r="2" spans="1:13" ht="13.5" customHeight="1">
      <c r="A2" s="775">
        <v>42491</v>
      </c>
      <c r="B2" s="776"/>
      <c r="C2" s="776"/>
      <c r="D2" s="776"/>
      <c r="E2" s="776"/>
      <c r="F2" s="776"/>
      <c r="G2" s="776"/>
      <c r="H2" s="776"/>
      <c r="I2" s="776"/>
      <c r="J2" s="776"/>
      <c r="K2" s="776"/>
      <c r="L2" s="776"/>
      <c r="M2" s="776"/>
    </row>
    <row r="3" spans="1:13" ht="20.100000000000001" customHeight="1">
      <c r="A3" s="778" t="e">
        <f>'班组统计台账（3%）日累'!#REF!</f>
        <v>#REF!</v>
      </c>
      <c r="B3" s="158"/>
      <c r="C3" s="777" t="s">
        <v>293</v>
      </c>
      <c r="D3" s="777"/>
      <c r="E3" s="777"/>
      <c r="F3" s="777" t="s">
        <v>294</v>
      </c>
      <c r="G3" s="777"/>
      <c r="H3" s="777"/>
      <c r="I3" s="777"/>
      <c r="J3" s="777" t="s">
        <v>295</v>
      </c>
      <c r="K3" s="777"/>
      <c r="L3" s="777"/>
      <c r="M3" s="777"/>
    </row>
    <row r="4" spans="1:13" ht="20.100000000000001" customHeight="1">
      <c r="A4" s="779"/>
      <c r="B4" s="159"/>
      <c r="C4" s="160" t="s">
        <v>296</v>
      </c>
      <c r="D4" s="160" t="s">
        <v>154</v>
      </c>
      <c r="E4" s="160" t="s">
        <v>297</v>
      </c>
      <c r="F4" s="160" t="s">
        <v>298</v>
      </c>
      <c r="G4" s="160" t="s">
        <v>299</v>
      </c>
      <c r="H4" s="160" t="s">
        <v>300</v>
      </c>
      <c r="I4" s="160" t="s">
        <v>301</v>
      </c>
      <c r="J4" s="160" t="s">
        <v>298</v>
      </c>
      <c r="K4" s="160" t="s">
        <v>299</v>
      </c>
      <c r="L4" s="160" t="s">
        <v>300</v>
      </c>
      <c r="M4" s="160" t="s">
        <v>301</v>
      </c>
    </row>
    <row r="5" spans="1:13" ht="20.100000000000001" customHeight="1">
      <c r="A5" s="780" t="s">
        <v>302</v>
      </c>
      <c r="B5" s="167" t="s">
        <v>64</v>
      </c>
      <c r="C5" s="188"/>
      <c r="D5" s="188"/>
      <c r="E5" s="272">
        <f>'班组统计台账（3%）日累'!L15</f>
        <v>14.392796291791658</v>
      </c>
      <c r="F5" s="273" t="e">
        <f>'班组统计台账（3%）日累'!#REF!</f>
        <v>#REF!</v>
      </c>
      <c r="G5" s="273">
        <f>'班组统计台账（3%）日累'!M15</f>
        <v>65.670862584895232</v>
      </c>
      <c r="H5" s="273">
        <f>'班组统计台账（3%）日累'!N15</f>
        <v>0</v>
      </c>
      <c r="I5" s="273">
        <f>'班组统计台账（3%）日累'!O15</f>
        <v>3366.5768212689172</v>
      </c>
      <c r="J5" s="273" t="e">
        <f>'班组统计台账（3%）日累'!#REF!</f>
        <v>#REF!</v>
      </c>
      <c r="K5" s="273">
        <f>'班组统计台账（3%）日累'!P15</f>
        <v>9.451873474906396</v>
      </c>
      <c r="L5" s="273">
        <f>'班组统计台账（3%）日累'!Q15</f>
        <v>0</v>
      </c>
      <c r="M5" s="273">
        <f>'班组统计台账（3%）日累'!R15</f>
        <v>48.454454389191021</v>
      </c>
    </row>
    <row r="6" spans="1:13" ht="20.100000000000001" customHeight="1">
      <c r="A6" s="781"/>
      <c r="B6" s="167" t="s">
        <v>65</v>
      </c>
      <c r="C6" s="168"/>
      <c r="D6" s="168"/>
      <c r="E6" s="274">
        <f>'班组统计台账（3%）日累'!S15</f>
        <v>0</v>
      </c>
      <c r="F6" s="168" t="e">
        <f>'班组统计台账（3%）日累'!#REF!</f>
        <v>#REF!</v>
      </c>
      <c r="G6" s="168" t="str">
        <f>'班组统计台账（3%）日累'!T15</f>
        <v>0.00</v>
      </c>
      <c r="H6" s="168" t="str">
        <f>'班组统计台账（3%）日累'!U15</f>
        <v>0.00</v>
      </c>
      <c r="I6" s="168" t="str">
        <f>'班组统计台账（3%）日累'!V15</f>
        <v>0</v>
      </c>
      <c r="J6" s="168" t="e">
        <f>'班组统计台账（3%）日累'!#REF!</f>
        <v>#REF!</v>
      </c>
      <c r="K6" s="168">
        <f>'班组统计台账（3%）日累'!W15</f>
        <v>0</v>
      </c>
      <c r="L6" s="168">
        <f>'班组统计台账（3%）日累'!X15</f>
        <v>0</v>
      </c>
      <c r="M6" s="168">
        <f>'班组统计台账（3%）日累'!Y15</f>
        <v>0</v>
      </c>
    </row>
    <row r="7" spans="1:13" ht="20.100000000000001" customHeight="1">
      <c r="A7" s="782"/>
      <c r="B7" s="167" t="s">
        <v>218</v>
      </c>
      <c r="C7" s="168"/>
      <c r="D7" s="168"/>
      <c r="E7" s="274" t="e">
        <f>'班组统计台账（3%）日累'!#REF!</f>
        <v>#REF!</v>
      </c>
      <c r="F7" s="168" t="e">
        <f>'班组统计台账（3%）日累'!#REF!</f>
        <v>#REF!</v>
      </c>
      <c r="G7" s="168" t="e">
        <f>'班组统计台账（3%）日累'!#REF!</f>
        <v>#REF!</v>
      </c>
      <c r="H7" s="168" t="e">
        <f>'班组统计台账（3%）日累'!#REF!</f>
        <v>#REF!</v>
      </c>
      <c r="I7" s="168" t="e">
        <f>'班组统计台账（3%）日累'!#REF!</f>
        <v>#REF!</v>
      </c>
      <c r="J7" s="168" t="e">
        <f>'班组统计台账（3%）日累'!#REF!</f>
        <v>#REF!</v>
      </c>
      <c r="K7" s="168" t="e">
        <f>'班组统计台账（3%）日累'!#REF!</f>
        <v>#REF!</v>
      </c>
      <c r="L7" s="168" t="e">
        <f>'班组统计台账（3%）日累'!#REF!</f>
        <v>#REF!</v>
      </c>
      <c r="M7" s="168" t="e">
        <f>'班组统计台账（3%）日累'!#REF!</f>
        <v>#REF!</v>
      </c>
    </row>
    <row r="8" spans="1:13" ht="20.100000000000001" customHeight="1">
      <c r="A8" s="783" t="s">
        <v>303</v>
      </c>
      <c r="B8" s="167" t="s">
        <v>64</v>
      </c>
      <c r="C8" s="168">
        <v>600</v>
      </c>
      <c r="D8" s="168">
        <v>9.5279838991055801</v>
      </c>
      <c r="E8" s="168">
        <v>542.83209660536704</v>
      </c>
      <c r="F8" s="168">
        <v>0.86701848070894005</v>
      </c>
      <c r="G8" s="168">
        <v>63.555436812169901</v>
      </c>
      <c r="H8" s="168">
        <v>5.6797757121375998</v>
      </c>
      <c r="I8" s="168">
        <v>1011.46097683152</v>
      </c>
      <c r="J8" s="168">
        <v>4.7064545967883298</v>
      </c>
      <c r="K8" s="168">
        <v>344.999310154201</v>
      </c>
      <c r="L8" s="168">
        <v>30.831645580678899</v>
      </c>
      <c r="M8" s="168">
        <v>549.05348268796399</v>
      </c>
    </row>
    <row r="9" spans="1:13" ht="20.100000000000001" customHeight="1">
      <c r="A9" s="783"/>
      <c r="B9" s="167" t="s">
        <v>65</v>
      </c>
      <c r="C9" s="168">
        <v>900</v>
      </c>
      <c r="D9" s="168">
        <v>10.7242015294647</v>
      </c>
      <c r="E9" s="168">
        <v>803.48218623481796</v>
      </c>
      <c r="F9" s="168">
        <v>0.77761239525909198</v>
      </c>
      <c r="G9" s="168">
        <v>0.55210886184200902</v>
      </c>
      <c r="H9" s="168">
        <v>48.639126649619499</v>
      </c>
      <c r="I9" s="168">
        <v>183.29596801018201</v>
      </c>
      <c r="J9" s="168">
        <v>6.2479770738606897</v>
      </c>
      <c r="K9" s="168">
        <v>4.4360963535243396</v>
      </c>
      <c r="L9" s="168">
        <v>390.80671816988502</v>
      </c>
      <c r="M9" s="168">
        <v>147.275045104848</v>
      </c>
    </row>
    <row r="10" spans="1:13" ht="20.100000000000001" customHeight="1">
      <c r="A10" s="783"/>
      <c r="B10" s="167" t="s">
        <v>218</v>
      </c>
      <c r="C10" s="170">
        <v>85</v>
      </c>
      <c r="D10" s="170">
        <v>10</v>
      </c>
      <c r="E10" s="170">
        <v>76.5</v>
      </c>
      <c r="F10" s="170">
        <v>23.457254074499801</v>
      </c>
      <c r="G10" s="170">
        <v>12.2618772641192</v>
      </c>
      <c r="H10" s="170">
        <v>5.4323451712294597</v>
      </c>
      <c r="I10" s="170">
        <v>2828.2146567519699</v>
      </c>
      <c r="J10" s="170">
        <v>17.944799366992299</v>
      </c>
      <c r="K10" s="170">
        <v>9.3803361070512192</v>
      </c>
      <c r="L10" s="170">
        <v>4.1557440559905299</v>
      </c>
      <c r="M10" s="170">
        <v>216.358421241526</v>
      </c>
    </row>
    <row r="11" spans="1:13" ht="20.100000000000001" customHeight="1">
      <c r="B11" s="275" t="s">
        <v>304</v>
      </c>
      <c r="C11" s="276"/>
      <c r="D11" s="277"/>
      <c r="E11" s="276">
        <f>'班组统计台账（3%）日累'!D16</f>
        <v>248.32</v>
      </c>
      <c r="F11" s="276" t="e">
        <f>'班组统计台账（3%）日累'!#REF!</f>
        <v>#REF!</v>
      </c>
      <c r="G11" s="276">
        <f>'班组统计台账（3%）日累'!E16</f>
        <v>3.91</v>
      </c>
      <c r="H11" s="276">
        <f>'班组统计台账（3%）日累'!F16</f>
        <v>0</v>
      </c>
      <c r="I11" s="276">
        <f>'班组统计台账（3%）日累'!G16</f>
        <v>195.5</v>
      </c>
      <c r="J11" s="276" t="e">
        <f>'班组统计台账（3%）日累'!#REF!</f>
        <v>#REF!</v>
      </c>
      <c r="K11" s="276">
        <f>'班组统计台账（3%）日累'!H16</f>
        <v>9.7093120000000006</v>
      </c>
      <c r="L11" s="276">
        <f>'班组统计台账（3%）日累'!I16</f>
        <v>0</v>
      </c>
      <c r="M11" s="276">
        <f>'班组统计台账（3%）日累'!J16</f>
        <v>48.546559999999999</v>
      </c>
    </row>
    <row r="12" spans="1:13" ht="20.100000000000001" customHeight="1">
      <c r="A12" s="781" t="s">
        <v>305</v>
      </c>
      <c r="B12" s="278" t="s">
        <v>306</v>
      </c>
      <c r="C12" s="276"/>
      <c r="D12" s="277"/>
      <c r="E12" s="276" t="e">
        <f>#REF!</f>
        <v>#REF!</v>
      </c>
      <c r="F12" s="276" t="e">
        <f>#REF!</f>
        <v>#REF!</v>
      </c>
      <c r="G12" s="276" t="e">
        <f>#REF!</f>
        <v>#REF!</v>
      </c>
      <c r="H12" s="276" t="e">
        <f>#REF!</f>
        <v>#REF!</v>
      </c>
      <c r="I12" s="276" t="e">
        <f>#REF!</f>
        <v>#REF!</v>
      </c>
      <c r="J12" s="276" t="e">
        <f>#REF!</f>
        <v>#REF!</v>
      </c>
      <c r="K12" s="276" t="e">
        <f>#REF!</f>
        <v>#REF!</v>
      </c>
      <c r="L12" s="276" t="e">
        <f>#REF!</f>
        <v>#REF!</v>
      </c>
      <c r="M12" s="276" t="e">
        <f>#REF!</f>
        <v>#REF!</v>
      </c>
    </row>
    <row r="13" spans="1:13" ht="20.100000000000001" customHeight="1">
      <c r="A13" s="781"/>
      <c r="B13" s="780" t="s">
        <v>307</v>
      </c>
      <c r="C13" s="276" t="s">
        <v>308</v>
      </c>
      <c r="D13" s="277"/>
      <c r="E13" s="276" t="e">
        <f>'精矿盘点表（全年）'!#REF!</f>
        <v>#REF!</v>
      </c>
      <c r="F13" s="276"/>
      <c r="G13" s="276"/>
      <c r="H13" s="276"/>
      <c r="I13" s="276"/>
      <c r="J13" s="276"/>
      <c r="K13" s="276"/>
      <c r="L13" s="276"/>
      <c r="M13" s="276"/>
    </row>
    <row r="14" spans="1:13" ht="20.100000000000001" customHeight="1">
      <c r="A14" s="781"/>
      <c r="B14" s="781"/>
      <c r="C14" s="170" t="s">
        <v>309</v>
      </c>
      <c r="D14" s="170"/>
      <c r="E14" s="170" t="e">
        <f>#REF!</f>
        <v>#REF!</v>
      </c>
      <c r="F14" s="170" t="e">
        <f>#REF!</f>
        <v>#REF!</v>
      </c>
      <c r="G14" s="170" t="e">
        <f>#REF!</f>
        <v>#REF!</v>
      </c>
      <c r="H14" s="170" t="e">
        <f>#REF!</f>
        <v>#REF!</v>
      </c>
      <c r="I14" s="170" t="e">
        <f>#REF!</f>
        <v>#REF!</v>
      </c>
      <c r="J14" s="170" t="e">
        <f>#REF!</f>
        <v>#REF!</v>
      </c>
      <c r="K14" s="170" t="e">
        <f>#REF!</f>
        <v>#REF!</v>
      </c>
      <c r="L14" s="170" t="e">
        <f>#REF!</f>
        <v>#REF!</v>
      </c>
      <c r="M14" s="170" t="e">
        <f>#REF!</f>
        <v>#REF!</v>
      </c>
    </row>
    <row r="15" spans="1:13" ht="20.100000000000001" customHeight="1">
      <c r="A15" s="781"/>
      <c r="B15" s="782"/>
      <c r="C15" s="170" t="s">
        <v>310</v>
      </c>
      <c r="D15" s="170"/>
      <c r="E15" s="170" t="e">
        <f>E13-E14</f>
        <v>#REF!</v>
      </c>
      <c r="F15" s="279"/>
      <c r="G15" s="279"/>
      <c r="H15" s="279"/>
      <c r="I15" s="279"/>
      <c r="J15" s="170"/>
      <c r="K15" s="170"/>
      <c r="L15" s="170"/>
      <c r="M15" s="170"/>
    </row>
    <row r="16" spans="1:13" ht="27.75" customHeight="1">
      <c r="A16" s="781"/>
      <c r="B16" s="280" t="s">
        <v>311</v>
      </c>
      <c r="C16" s="170"/>
      <c r="D16" s="170"/>
      <c r="E16" s="170" t="e">
        <f>E11-E12</f>
        <v>#REF!</v>
      </c>
      <c r="F16" s="281" t="e">
        <f>F14</f>
        <v>#REF!</v>
      </c>
      <c r="G16" s="281" t="e">
        <f>G14</f>
        <v>#REF!</v>
      </c>
      <c r="H16" s="281" t="e">
        <f>H14</f>
        <v>#REF!</v>
      </c>
      <c r="I16" s="281" t="e">
        <f>I14</f>
        <v>#REF!</v>
      </c>
      <c r="J16" s="170" t="e">
        <f>E16*F16/100</f>
        <v>#REF!</v>
      </c>
      <c r="K16" s="170" t="e">
        <f>E16*G16/100</f>
        <v>#REF!</v>
      </c>
      <c r="L16" s="170" t="e">
        <f>E16*H16/100</f>
        <v>#REF!</v>
      </c>
      <c r="M16" s="170" t="e">
        <f>E16*I16/1000</f>
        <v>#REF!</v>
      </c>
    </row>
    <row r="17" spans="1:13" ht="20.100000000000001" customHeight="1">
      <c r="A17" s="781"/>
      <c r="B17" s="167" t="s">
        <v>312</v>
      </c>
      <c r="C17" s="170"/>
      <c r="D17" s="170"/>
      <c r="E17" s="282" t="e">
        <f>E13-E12</f>
        <v>#REF!</v>
      </c>
      <c r="F17" s="168"/>
      <c r="G17" s="168"/>
      <c r="H17" s="168"/>
      <c r="I17" s="168"/>
      <c r="J17" s="279"/>
      <c r="K17" s="279"/>
      <c r="L17" s="279"/>
      <c r="M17" s="279"/>
    </row>
    <row r="18" spans="1:13" ht="20.100000000000001" customHeight="1">
      <c r="A18" s="781"/>
      <c r="B18" s="167" t="s">
        <v>313</v>
      </c>
      <c r="C18" s="170"/>
      <c r="D18" s="170"/>
      <c r="E18" s="279"/>
      <c r="F18" s="281"/>
      <c r="G18" s="281"/>
      <c r="H18" s="281"/>
      <c r="I18" s="281"/>
      <c r="J18" s="279"/>
      <c r="K18" s="279"/>
      <c r="L18" s="279"/>
      <c r="M18" s="279"/>
    </row>
    <row r="19" spans="1:13" ht="20.100000000000001" customHeight="1">
      <c r="A19" s="781"/>
      <c r="B19" s="167" t="s">
        <v>314</v>
      </c>
      <c r="C19" s="170"/>
      <c r="D19" s="170"/>
      <c r="E19" s="283"/>
      <c r="F19" s="281"/>
      <c r="G19" s="281"/>
      <c r="H19" s="281"/>
      <c r="I19" s="281"/>
      <c r="J19" s="279"/>
      <c r="K19" s="279"/>
      <c r="L19" s="279"/>
      <c r="M19" s="279"/>
    </row>
    <row r="20" spans="1:13" ht="20.100000000000001" customHeight="1">
      <c r="A20" s="782"/>
      <c r="B20" s="275" t="s">
        <v>315</v>
      </c>
      <c r="C20" s="284"/>
      <c r="D20" s="284"/>
      <c r="E20" s="285"/>
      <c r="F20" s="286" t="e">
        <f>F11-F14</f>
        <v>#REF!</v>
      </c>
      <c r="G20" s="286" t="e">
        <f>G11-G14</f>
        <v>#REF!</v>
      </c>
      <c r="H20" s="286" t="e">
        <f>H11-H14</f>
        <v>#REF!</v>
      </c>
      <c r="I20" s="286" t="e">
        <f>I11-I14</f>
        <v>#REF!</v>
      </c>
      <c r="J20" s="276"/>
      <c r="K20" s="276"/>
      <c r="L20" s="276"/>
      <c r="M20" s="276"/>
    </row>
    <row r="21" spans="1:13" ht="20.100000000000001" customHeight="1">
      <c r="A21" s="166" t="s">
        <v>316</v>
      </c>
      <c r="B21" s="275" t="s">
        <v>304</v>
      </c>
      <c r="C21" s="284"/>
      <c r="D21" s="284"/>
      <c r="E21" s="285">
        <f>'班组统计台账（3%）日累'!D15</f>
        <v>248.32</v>
      </c>
      <c r="F21" s="285" t="e">
        <f>'班组统计台账（3%）日累'!#REF!</f>
        <v>#REF!</v>
      </c>
      <c r="G21" s="285">
        <f>'班组统计台账（3%）日累'!E15</f>
        <v>3.91</v>
      </c>
      <c r="H21" s="285">
        <f>'班组统计台账（3%）日累'!F15</f>
        <v>0</v>
      </c>
      <c r="I21" s="285">
        <f>'班组统计台账（3%）日累'!G15</f>
        <v>195.5</v>
      </c>
      <c r="J21" s="285" t="e">
        <f>'班组统计台账（3%）日累'!#REF!</f>
        <v>#REF!</v>
      </c>
      <c r="K21" s="285">
        <f>'班组统计台账（3%）日累'!H15</f>
        <v>9.7093120000000006</v>
      </c>
      <c r="L21" s="285">
        <f>'班组统计台账（3%）日累'!I15</f>
        <v>0</v>
      </c>
      <c r="M21" s="285">
        <f>'班组统计台账（3%）日累'!J15</f>
        <v>48.546559999999999</v>
      </c>
    </row>
    <row r="22" spans="1:13" s="270" customFormat="1" ht="20.100000000000001" customHeight="1">
      <c r="A22" s="780" t="s">
        <v>317</v>
      </c>
      <c r="B22" s="287" t="s">
        <v>318</v>
      </c>
      <c r="C22" s="288"/>
      <c r="D22" s="288"/>
      <c r="E22" s="288">
        <f>'班组统计台账（3%）日累'!L16</f>
        <v>14.392796291791658</v>
      </c>
      <c r="F22" s="288" t="e">
        <f>'班组统计台账（3%）日累'!#REF!</f>
        <v>#REF!</v>
      </c>
      <c r="G22" s="288">
        <f>'班组统计台账（3%）日累'!M16</f>
        <v>65.670862584895232</v>
      </c>
      <c r="H22" s="288">
        <f>'班组统计台账（3%）日累'!N16</f>
        <v>0</v>
      </c>
      <c r="I22" s="288">
        <f>'班组统计台账（3%）日累'!O16</f>
        <v>3366.5768212689172</v>
      </c>
      <c r="J22" s="288" t="e">
        <f>'班组统计台账（3%）日累'!#REF!</f>
        <v>#REF!</v>
      </c>
      <c r="K22" s="288">
        <f>'班组统计台账（3%）日累'!P16</f>
        <v>9.451873474906396</v>
      </c>
      <c r="L22" s="288">
        <f>'班组统计台账（3%）日累'!Q16</f>
        <v>0</v>
      </c>
      <c r="M22" s="288">
        <f>'班组统计台账（3%）日累'!R16</f>
        <v>48.454454389191021</v>
      </c>
    </row>
    <row r="23" spans="1:13" s="270" customFormat="1" ht="20.100000000000001" customHeight="1">
      <c r="A23" s="781"/>
      <c r="B23" s="287" t="s">
        <v>319</v>
      </c>
      <c r="C23" s="288">
        <f>出厂铅精!E228</f>
        <v>0</v>
      </c>
      <c r="D23" s="288" t="e">
        <f>出厂铅精!F228</f>
        <v>#DIV/0!</v>
      </c>
      <c r="E23" s="288">
        <f>出厂铅精!G228</f>
        <v>0</v>
      </c>
      <c r="F23" s="288" t="e">
        <f>出厂铅精!H228</f>
        <v>#DIV/0!</v>
      </c>
      <c r="G23" s="288" t="e">
        <f>出厂铅精!I228</f>
        <v>#DIV/0!</v>
      </c>
      <c r="H23" s="288" t="e">
        <f>出厂铅精!J228</f>
        <v>#DIV/0!</v>
      </c>
      <c r="I23" s="288" t="e">
        <f>出厂铅精!K228</f>
        <v>#DIV/0!</v>
      </c>
      <c r="J23" s="288">
        <f>出厂铅精!L228</f>
        <v>0</v>
      </c>
      <c r="K23" s="288">
        <f>出厂铅精!M228</f>
        <v>0</v>
      </c>
      <c r="L23" s="288">
        <f>出厂铅精!N228</f>
        <v>0</v>
      </c>
      <c r="M23" s="288">
        <f>出厂铅精!O228</f>
        <v>0</v>
      </c>
    </row>
    <row r="24" spans="1:13" s="270" customFormat="1" ht="20.100000000000001" customHeight="1">
      <c r="A24" s="781"/>
      <c r="B24" s="287" t="s">
        <v>320</v>
      </c>
      <c r="C24" s="288">
        <v>2348.48</v>
      </c>
      <c r="D24" s="288">
        <v>9.4173918449380007</v>
      </c>
      <c r="E24" s="288">
        <v>2127.3144360000001</v>
      </c>
      <c r="F24" s="289"/>
      <c r="G24" s="288">
        <v>63.7416218335295</v>
      </c>
      <c r="H24" s="288">
        <v>5.6103352784562199</v>
      </c>
      <c r="I24" s="288">
        <v>982.77093779003496</v>
      </c>
      <c r="J24" s="288">
        <v>0</v>
      </c>
      <c r="K24" s="288">
        <v>1355.9847230052001</v>
      </c>
      <c r="L24" s="288">
        <v>119.3494722866</v>
      </c>
      <c r="M24" s="288">
        <v>2090.6628032419999</v>
      </c>
    </row>
    <row r="25" spans="1:13" s="155" customFormat="1" ht="20.100000000000001" customHeight="1">
      <c r="A25" s="781"/>
      <c r="B25" s="179" t="s">
        <v>321</v>
      </c>
      <c r="C25" s="290"/>
      <c r="D25" s="290">
        <v>10</v>
      </c>
      <c r="E25" s="290">
        <f>'班组统计台账（3%）日累'!S16</f>
        <v>0</v>
      </c>
      <c r="F25" s="290" t="e">
        <f>'班组统计台账（3%）日累'!#REF!</f>
        <v>#REF!</v>
      </c>
      <c r="G25" s="290" t="str">
        <f>'班组统计台账（3%）日累'!T16</f>
        <v>0.00</v>
      </c>
      <c r="H25" s="290" t="str">
        <f>'班组统计台账（3%）日累'!U16</f>
        <v>0.00</v>
      </c>
      <c r="I25" s="290" t="str">
        <f>'班组统计台账（3%）日累'!V16</f>
        <v>0</v>
      </c>
      <c r="J25" s="290" t="e">
        <f>'班组统计台账（3%）日累'!#REF!</f>
        <v>#REF!</v>
      </c>
      <c r="K25" s="290">
        <f>'班组统计台账（3%）日累'!W16</f>
        <v>0</v>
      </c>
      <c r="L25" s="290">
        <f>'班组统计台账（3%）日累'!X16</f>
        <v>0</v>
      </c>
      <c r="M25" s="290">
        <f>'班组统计台账（3%）日累'!Y16</f>
        <v>0</v>
      </c>
    </row>
    <row r="26" spans="1:13" s="155" customFormat="1" ht="20.100000000000001" customHeight="1">
      <c r="A26" s="781"/>
      <c r="B26" s="184" t="s">
        <v>322</v>
      </c>
      <c r="C26" s="290">
        <f>出厂锌精!E948</f>
        <v>0</v>
      </c>
      <c r="D26" s="290" t="e">
        <f>出厂锌精!F948</f>
        <v>#DIV/0!</v>
      </c>
      <c r="E26" s="290">
        <f>出厂锌精!G948</f>
        <v>0</v>
      </c>
      <c r="F26" s="290" t="e">
        <f>出厂锌精!H948</f>
        <v>#DIV/0!</v>
      </c>
      <c r="G26" s="290" t="e">
        <f>出厂锌精!I948</f>
        <v>#DIV/0!</v>
      </c>
      <c r="H26" s="290" t="e">
        <f>出厂锌精!J948</f>
        <v>#DIV/0!</v>
      </c>
      <c r="I26" s="290" t="e">
        <f>出厂锌精!K948</f>
        <v>#DIV/0!</v>
      </c>
      <c r="J26" s="290">
        <f>出厂锌精!L948</f>
        <v>0</v>
      </c>
      <c r="K26" s="290">
        <f>出厂锌精!M948</f>
        <v>0</v>
      </c>
      <c r="L26" s="290">
        <f>出厂锌精!N948</f>
        <v>0</v>
      </c>
      <c r="M26" s="290">
        <f>出厂锌精!O948</f>
        <v>0</v>
      </c>
    </row>
    <row r="27" spans="1:13" s="155" customFormat="1" ht="19.5" customHeight="1">
      <c r="A27" s="781"/>
      <c r="B27" s="184" t="s">
        <v>323</v>
      </c>
      <c r="C27" s="290">
        <v>4060.34</v>
      </c>
      <c r="D27" s="290">
        <v>11.079804055818</v>
      </c>
      <c r="E27" s="290">
        <v>3610.4622840000002</v>
      </c>
      <c r="F27" s="291"/>
      <c r="G27" s="291">
        <v>0</v>
      </c>
      <c r="H27" s="290">
        <v>48.332717081400801</v>
      </c>
      <c r="I27" s="290">
        <v>184.66247610080299</v>
      </c>
      <c r="J27" s="290">
        <v>0</v>
      </c>
      <c r="K27" s="290">
        <v>0</v>
      </c>
      <c r="L27" s="290">
        <v>1745.0345210564001</v>
      </c>
      <c r="M27" s="290">
        <v>666.71690523200004</v>
      </c>
    </row>
    <row r="28" spans="1:13" s="271" customFormat="1" ht="20.100000000000001" customHeight="1">
      <c r="A28" s="781"/>
      <c r="B28" s="292" t="s">
        <v>324</v>
      </c>
      <c r="C28" s="293"/>
      <c r="D28" s="293"/>
      <c r="E28" s="293" t="e">
        <f>'班组统计台账（3%）日累'!#REF!</f>
        <v>#REF!</v>
      </c>
      <c r="F28" s="293" t="e">
        <f>'班组统计台账（3%）日累'!#REF!</f>
        <v>#REF!</v>
      </c>
      <c r="G28" s="293" t="e">
        <f>'班组统计台账（3%）日累'!#REF!</f>
        <v>#REF!</v>
      </c>
      <c r="H28" s="293" t="e">
        <f>'班组统计台账（3%）日累'!#REF!</f>
        <v>#REF!</v>
      </c>
      <c r="I28" s="293" t="e">
        <f>'班组统计台账（3%）日累'!#REF!</f>
        <v>#REF!</v>
      </c>
      <c r="J28" s="293" t="e">
        <f>'班组统计台账（3%）日累'!#REF!</f>
        <v>#REF!</v>
      </c>
      <c r="K28" s="293" t="e">
        <f>'班组统计台账（3%）日累'!#REF!</f>
        <v>#REF!</v>
      </c>
      <c r="L28" s="293" t="e">
        <f>'班组统计台账（3%）日累'!#REF!</f>
        <v>#REF!</v>
      </c>
      <c r="M28" s="293" t="e">
        <f>'班组统计台账（3%）日累'!#REF!</f>
        <v>#REF!</v>
      </c>
    </row>
    <row r="29" spans="1:13" s="271" customFormat="1" ht="20.100000000000001" customHeight="1">
      <c r="A29" s="781"/>
      <c r="B29" s="294" t="s">
        <v>325</v>
      </c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</row>
    <row r="30" spans="1:13" s="271" customFormat="1" ht="20.100000000000001" customHeight="1">
      <c r="A30" s="782"/>
      <c r="B30" s="294" t="s">
        <v>326</v>
      </c>
      <c r="C30" s="293"/>
      <c r="D30" s="293"/>
      <c r="E30" s="293"/>
      <c r="F30" s="295"/>
      <c r="G30" s="295"/>
      <c r="H30" s="295"/>
      <c r="I30" s="295"/>
      <c r="J30" s="293"/>
      <c r="K30" s="293"/>
      <c r="L30" s="293"/>
      <c r="M30" s="293"/>
    </row>
    <row r="31" spans="1:13" ht="19.5" customHeight="1">
      <c r="A31" s="780" t="s">
        <v>327</v>
      </c>
      <c r="B31" s="275" t="s">
        <v>318</v>
      </c>
      <c r="C31" s="176"/>
      <c r="D31" s="176">
        <v>10</v>
      </c>
      <c r="E31" s="176">
        <f>'班组统计台账（3%）日累'!L15</f>
        <v>14.392796291791658</v>
      </c>
      <c r="F31" s="176" t="e">
        <f>'班组统计台账（3%）日累'!#REF!</f>
        <v>#REF!</v>
      </c>
      <c r="G31" s="296">
        <f>'班组统计台账（3%）日累'!M15</f>
        <v>65.670862584895232</v>
      </c>
      <c r="H31" s="176">
        <f>'班组统计台账（3%）日累'!N15</f>
        <v>0</v>
      </c>
      <c r="I31" s="176">
        <f>'班组统计台账（3%）日累'!O15</f>
        <v>3366.5768212689172</v>
      </c>
      <c r="J31" s="176" t="e">
        <f>'班组统计台账（3%）日累'!#REF!</f>
        <v>#REF!</v>
      </c>
      <c r="K31" s="176">
        <f>'班组统计台账（3%）日累'!P15</f>
        <v>9.451873474906396</v>
      </c>
      <c r="L31" s="176">
        <f>'班组统计台账（3%）日累'!Q15</f>
        <v>0</v>
      </c>
      <c r="M31" s="176">
        <f>'班组统计台账（3%）日累'!R15</f>
        <v>48.454454389191021</v>
      </c>
    </row>
    <row r="32" spans="1:13" ht="20.100000000000001" customHeight="1">
      <c r="A32" s="781"/>
      <c r="B32" s="275" t="s">
        <v>319</v>
      </c>
      <c r="C32" s="176" t="e">
        <f>出厂铅精!#REF!</f>
        <v>#REF!</v>
      </c>
      <c r="D32" s="296" t="e">
        <f>出厂铅精!#REF!</f>
        <v>#REF!</v>
      </c>
      <c r="E32" s="176" t="e">
        <f>出厂铅精!#REF!</f>
        <v>#REF!</v>
      </c>
      <c r="F32" s="176" t="e">
        <f>出厂铅精!#REF!</f>
        <v>#REF!</v>
      </c>
      <c r="G32" s="296" t="e">
        <f>出厂铅精!#REF!</f>
        <v>#REF!</v>
      </c>
      <c r="H32" s="176" t="e">
        <f>出厂铅精!#REF!</f>
        <v>#REF!</v>
      </c>
      <c r="I32" s="176" t="e">
        <f>出厂铅精!#REF!</f>
        <v>#REF!</v>
      </c>
      <c r="J32" s="176" t="e">
        <f>出厂铅精!#REF!</f>
        <v>#REF!</v>
      </c>
      <c r="K32" s="176" t="e">
        <f>出厂铅精!#REF!</f>
        <v>#REF!</v>
      </c>
      <c r="L32" s="176" t="e">
        <f>出厂铅精!#REF!</f>
        <v>#REF!</v>
      </c>
      <c r="M32" s="176" t="e">
        <f>出厂铅精!#REF!</f>
        <v>#REF!</v>
      </c>
    </row>
    <row r="33" spans="1:13" ht="20.100000000000001" customHeight="1">
      <c r="A33" s="781"/>
      <c r="B33" s="275" t="s">
        <v>320</v>
      </c>
      <c r="C33" s="176"/>
      <c r="D33" s="296"/>
      <c r="E33" s="176"/>
      <c r="F33" s="176"/>
      <c r="G33" s="296"/>
      <c r="H33" s="176"/>
      <c r="I33" s="176"/>
      <c r="J33" s="176"/>
      <c r="K33" s="176"/>
      <c r="L33" s="176"/>
      <c r="M33" s="176"/>
    </row>
    <row r="34" spans="1:13" s="155" customFormat="1" ht="20.100000000000001" customHeight="1">
      <c r="A34" s="781"/>
      <c r="B34" s="179" t="s">
        <v>321</v>
      </c>
      <c r="C34" s="180"/>
      <c r="D34" s="180">
        <v>10</v>
      </c>
      <c r="E34" s="180">
        <f>'班组统计台账（3%）日累'!S15</f>
        <v>0</v>
      </c>
      <c r="F34" s="180" t="e">
        <f>'班组统计台账（3%）日累'!#REF!</f>
        <v>#REF!</v>
      </c>
      <c r="G34" s="180" t="str">
        <f>'班组统计台账（3%）日累'!T15</f>
        <v>0.00</v>
      </c>
      <c r="H34" s="297" t="str">
        <f>'班组统计台账（3%）日累'!U15</f>
        <v>0.00</v>
      </c>
      <c r="I34" s="180" t="str">
        <f>'班组统计台账（3%）日累'!V15</f>
        <v>0</v>
      </c>
      <c r="J34" s="180" t="e">
        <f>'班组统计台账（3%）日累'!#REF!</f>
        <v>#REF!</v>
      </c>
      <c r="K34" s="180">
        <f>'班组统计台账（3%）日累'!W15</f>
        <v>0</v>
      </c>
      <c r="L34" s="180">
        <f>'班组统计台账（3%）日累'!X15</f>
        <v>0</v>
      </c>
      <c r="M34" s="180">
        <f>'班组统计台账（3%）日累'!Y15</f>
        <v>0</v>
      </c>
    </row>
    <row r="35" spans="1:13" s="155" customFormat="1" ht="20.100000000000001" customHeight="1">
      <c r="A35" s="781"/>
      <c r="B35" s="184" t="s">
        <v>322</v>
      </c>
      <c r="C35" s="206" t="e">
        <f>出厂锌精!E947</f>
        <v>#REF!</v>
      </c>
      <c r="D35" s="206" t="e">
        <f>出厂锌精!F947</f>
        <v>#REF!</v>
      </c>
      <c r="E35" s="206" t="e">
        <f>出厂锌精!G947</f>
        <v>#REF!</v>
      </c>
      <c r="F35" s="206" t="e">
        <f>出厂锌精!H947</f>
        <v>#REF!</v>
      </c>
      <c r="G35" s="206" t="e">
        <f>出厂锌精!I947</f>
        <v>#REF!</v>
      </c>
      <c r="H35" s="206" t="e">
        <f>出厂锌精!J947</f>
        <v>#REF!</v>
      </c>
      <c r="I35" s="206" t="e">
        <f>出厂锌精!K947</f>
        <v>#REF!</v>
      </c>
      <c r="J35" s="206" t="e">
        <f>出厂锌精!L947</f>
        <v>#REF!</v>
      </c>
      <c r="K35" s="206" t="e">
        <f>出厂锌精!M947</f>
        <v>#REF!</v>
      </c>
      <c r="L35" s="206" t="e">
        <f>出厂锌精!N947</f>
        <v>#REF!</v>
      </c>
      <c r="M35" s="206" t="e">
        <f>出厂锌精!O947</f>
        <v>#REF!</v>
      </c>
    </row>
    <row r="36" spans="1:13" s="155" customFormat="1" ht="20.100000000000001" customHeight="1">
      <c r="A36" s="781"/>
      <c r="B36" s="184" t="s">
        <v>323</v>
      </c>
      <c r="C36" s="206">
        <v>596.67999999999995</v>
      </c>
      <c r="D36" s="298">
        <v>11.55</v>
      </c>
      <c r="E36" s="206">
        <v>527.74</v>
      </c>
      <c r="F36" s="206">
        <v>0</v>
      </c>
      <c r="G36" s="206">
        <v>0</v>
      </c>
      <c r="H36" s="298">
        <v>48.35</v>
      </c>
      <c r="I36" s="206">
        <v>192.13</v>
      </c>
      <c r="J36" s="206">
        <v>0</v>
      </c>
      <c r="K36" s="206">
        <v>0</v>
      </c>
      <c r="L36" s="206">
        <v>255.15799999999999</v>
      </c>
      <c r="M36" s="206">
        <v>101.39230000000001</v>
      </c>
    </row>
    <row r="37" spans="1:13" ht="20.100000000000001" customHeight="1">
      <c r="A37" s="781"/>
      <c r="B37" s="167" t="s">
        <v>324</v>
      </c>
      <c r="C37" s="188"/>
      <c r="D37" s="188">
        <v>12</v>
      </c>
      <c r="E37" s="188" t="e">
        <f>'班组统计台账（3%）日累'!#REF!</f>
        <v>#REF!</v>
      </c>
      <c r="F37" s="299" t="e">
        <f>'班组统计台账（3%）日累'!#REF!</f>
        <v>#REF!</v>
      </c>
      <c r="G37" s="188" t="e">
        <f>'班组统计台账（3%）日累'!#REF!</f>
        <v>#REF!</v>
      </c>
      <c r="H37" s="188" t="e">
        <f>'班组统计台账（3%）日累'!#REF!</f>
        <v>#REF!</v>
      </c>
      <c r="I37" s="188" t="e">
        <f>'班组统计台账（3%）日累'!#REF!</f>
        <v>#REF!</v>
      </c>
      <c r="J37" s="188" t="e">
        <f>'班组统计台账（3%）日累'!#REF!</f>
        <v>#REF!</v>
      </c>
      <c r="K37" s="188" t="e">
        <f>'班组统计台账（3%）日累'!#REF!</f>
        <v>#REF!</v>
      </c>
      <c r="L37" s="188" t="e">
        <f>'班组统计台账（3%）日累'!#REF!</f>
        <v>#REF!</v>
      </c>
      <c r="M37" s="188" t="e">
        <f>'班组统计台账（3%）日累'!#REF!</f>
        <v>#REF!</v>
      </c>
    </row>
    <row r="38" spans="1:13" ht="20.100000000000001" customHeight="1">
      <c r="A38" s="781"/>
      <c r="B38" s="300" t="s">
        <v>325</v>
      </c>
      <c r="C38" s="188"/>
      <c r="D38" s="299"/>
      <c r="E38" s="188"/>
      <c r="F38" s="299"/>
      <c r="G38" s="188"/>
      <c r="H38" s="188"/>
      <c r="I38" s="188"/>
      <c r="J38" s="188"/>
      <c r="K38" s="188"/>
      <c r="L38" s="188"/>
      <c r="M38" s="188"/>
    </row>
    <row r="39" spans="1:13" ht="20.100000000000001" customHeight="1">
      <c r="A39" s="782"/>
      <c r="B39" s="300" t="s">
        <v>326</v>
      </c>
      <c r="C39" s="188"/>
      <c r="D39" s="299"/>
      <c r="E39" s="188"/>
      <c r="F39" s="299"/>
      <c r="G39" s="188"/>
      <c r="H39" s="188"/>
      <c r="I39" s="188"/>
      <c r="J39" s="188"/>
      <c r="K39" s="188"/>
      <c r="L39" s="188"/>
      <c r="M39" s="188"/>
    </row>
    <row r="40" spans="1:13" ht="20.100000000000001" customHeight="1">
      <c r="A40" s="784" t="s">
        <v>328</v>
      </c>
      <c r="B40" s="187" t="s">
        <v>64</v>
      </c>
      <c r="C40" s="188" t="e">
        <f>C32+C8</f>
        <v>#REF!</v>
      </c>
      <c r="D40" s="188" t="e">
        <f>100-E40/C40*100</f>
        <v>#REF!</v>
      </c>
      <c r="E40" s="188" t="e">
        <f>E32+E8</f>
        <v>#REF!</v>
      </c>
      <c r="F40" s="188" t="e">
        <f>J40/E40*100</f>
        <v>#REF!</v>
      </c>
      <c r="G40" s="188" t="e">
        <f>K40/E40*100</f>
        <v>#REF!</v>
      </c>
      <c r="H40" s="188" t="e">
        <f>L40/E40*100</f>
        <v>#REF!</v>
      </c>
      <c r="I40" s="188" t="e">
        <f>M40/E40*1000</f>
        <v>#REF!</v>
      </c>
      <c r="J40" s="188" t="e">
        <f>J32+J8</f>
        <v>#REF!</v>
      </c>
      <c r="K40" s="188" t="e">
        <f>K32+K8</f>
        <v>#REF!</v>
      </c>
      <c r="L40" s="188" t="e">
        <f>L32+L8</f>
        <v>#REF!</v>
      </c>
      <c r="M40" s="188" t="e">
        <f>M32+M8</f>
        <v>#REF!</v>
      </c>
    </row>
    <row r="41" spans="1:13" ht="20.100000000000001" customHeight="1">
      <c r="A41" s="785"/>
      <c r="B41" s="187" t="s">
        <v>65</v>
      </c>
      <c r="C41" s="188" t="e">
        <f>C35+C9</f>
        <v>#REF!</v>
      </c>
      <c r="D41" s="188" t="e">
        <f>100-E41/C41*100</f>
        <v>#REF!</v>
      </c>
      <c r="E41" s="188" t="e">
        <f>E35+E9</f>
        <v>#REF!</v>
      </c>
      <c r="F41" s="188" t="e">
        <f>J41/E41*100</f>
        <v>#REF!</v>
      </c>
      <c r="G41" s="188" t="e">
        <f>K41/E41*100</f>
        <v>#REF!</v>
      </c>
      <c r="H41" s="188" t="e">
        <f>L41/E41*100</f>
        <v>#REF!</v>
      </c>
      <c r="I41" s="188" t="e">
        <f>M41/E41*1000</f>
        <v>#REF!</v>
      </c>
      <c r="J41" s="188" t="e">
        <f>J35+J9</f>
        <v>#REF!</v>
      </c>
      <c r="K41" s="188" t="e">
        <f>K35+K9</f>
        <v>#REF!</v>
      </c>
      <c r="L41" s="188" t="e">
        <f>L35+L9</f>
        <v>#REF!</v>
      </c>
      <c r="M41" s="188" t="e">
        <f>M35+M9</f>
        <v>#REF!</v>
      </c>
    </row>
    <row r="42" spans="1:13" ht="20.100000000000001" customHeight="1">
      <c r="A42" s="786"/>
      <c r="B42" s="187" t="s">
        <v>218</v>
      </c>
      <c r="C42" s="188">
        <f>C39+C10</f>
        <v>85</v>
      </c>
      <c r="D42" s="188">
        <f>100-E42/C42*100</f>
        <v>10</v>
      </c>
      <c r="E42" s="188">
        <f>E39+E10</f>
        <v>76.5</v>
      </c>
      <c r="F42" s="188">
        <f>J42/E42*100</f>
        <v>23.457254074499701</v>
      </c>
      <c r="G42" s="188">
        <f>K42/E42*100</f>
        <v>12.2618772641192</v>
      </c>
      <c r="H42" s="188">
        <f>L42/E42*100</f>
        <v>5.4323451712294499</v>
      </c>
      <c r="I42" s="188">
        <f>M42/E42*1000</f>
        <v>2828.2146567519699</v>
      </c>
      <c r="J42" s="188">
        <f>J39+J10</f>
        <v>17.944799366992299</v>
      </c>
      <c r="K42" s="188">
        <f>K39+K10</f>
        <v>9.3803361070512192</v>
      </c>
      <c r="L42" s="188">
        <f>L39+L10</f>
        <v>4.1557440559905299</v>
      </c>
      <c r="M42" s="188">
        <f>M39+M10</f>
        <v>216.358421241526</v>
      </c>
    </row>
    <row r="43" spans="1:13" ht="20.100000000000001" customHeight="1">
      <c r="A43" s="782" t="s">
        <v>329</v>
      </c>
      <c r="B43" s="301" t="s">
        <v>64</v>
      </c>
      <c r="C43" s="302">
        <f>'精矿盘点表（全年）'!C9+'精矿盘点表（全年）'!C10</f>
        <v>150</v>
      </c>
      <c r="D43" s="303" t="e">
        <f>D40</f>
        <v>#REF!</v>
      </c>
      <c r="E43" s="303" t="e">
        <f t="shared" ref="E43:E48" si="0">C43*(100-D43)/100</f>
        <v>#REF!</v>
      </c>
      <c r="F43" s="303" t="e">
        <f t="shared" ref="F43:I45" si="1">F40</f>
        <v>#REF!</v>
      </c>
      <c r="G43" s="303" t="e">
        <f t="shared" si="1"/>
        <v>#REF!</v>
      </c>
      <c r="H43" s="303" t="e">
        <f t="shared" si="1"/>
        <v>#REF!</v>
      </c>
      <c r="I43" s="303" t="e">
        <f t="shared" si="1"/>
        <v>#REF!</v>
      </c>
      <c r="J43" s="303" t="e">
        <f>E43*F43/100</f>
        <v>#REF!</v>
      </c>
      <c r="K43" s="303" t="e">
        <f>E43*G43/100</f>
        <v>#REF!</v>
      </c>
      <c r="L43" s="303" t="e">
        <f>E43*H43/100</f>
        <v>#REF!</v>
      </c>
      <c r="M43" s="303" t="e">
        <f>E43*I43/1000</f>
        <v>#REF!</v>
      </c>
    </row>
    <row r="44" spans="1:13" ht="20.100000000000001" customHeight="1">
      <c r="A44" s="783"/>
      <c r="B44" s="301" t="s">
        <v>65</v>
      </c>
      <c r="C44" s="302">
        <f>'精矿盘点表（全年）'!C19+'精矿盘点表（全年）'!C20</f>
        <v>60</v>
      </c>
      <c r="D44" s="303" t="e">
        <f>D41</f>
        <v>#REF!</v>
      </c>
      <c r="E44" s="303" t="e">
        <f t="shared" si="0"/>
        <v>#REF!</v>
      </c>
      <c r="F44" s="303" t="e">
        <f t="shared" si="1"/>
        <v>#REF!</v>
      </c>
      <c r="G44" s="303" t="e">
        <f t="shared" si="1"/>
        <v>#REF!</v>
      </c>
      <c r="H44" s="303" t="e">
        <f t="shared" si="1"/>
        <v>#REF!</v>
      </c>
      <c r="I44" s="303" t="e">
        <f t="shared" si="1"/>
        <v>#REF!</v>
      </c>
      <c r="J44" s="303" t="e">
        <f>E44*F44/100</f>
        <v>#REF!</v>
      </c>
      <c r="K44" s="303" t="e">
        <f>E44*G44/100</f>
        <v>#REF!</v>
      </c>
      <c r="L44" s="303" t="e">
        <f>E44*H44/100</f>
        <v>#REF!</v>
      </c>
      <c r="M44" s="303" t="e">
        <f>E44*I44/1000</f>
        <v>#REF!</v>
      </c>
    </row>
    <row r="45" spans="1:13" ht="20.100000000000001" customHeight="1">
      <c r="A45" s="783"/>
      <c r="B45" s="301" t="s">
        <v>218</v>
      </c>
      <c r="C45" s="302" t="e">
        <f>'精矿盘点表（全年）'!#REF!+'精矿盘点表（全年）'!#REF!</f>
        <v>#REF!</v>
      </c>
      <c r="D45" s="303">
        <f>D42</f>
        <v>10</v>
      </c>
      <c r="E45" s="303" t="e">
        <f t="shared" si="0"/>
        <v>#REF!</v>
      </c>
      <c r="F45" s="303">
        <f t="shared" si="1"/>
        <v>23.457254074499701</v>
      </c>
      <c r="G45" s="303">
        <f t="shared" si="1"/>
        <v>12.2618772641192</v>
      </c>
      <c r="H45" s="303">
        <f t="shared" si="1"/>
        <v>5.4323451712294499</v>
      </c>
      <c r="I45" s="303">
        <f t="shared" si="1"/>
        <v>2828.2146567519699</v>
      </c>
      <c r="J45" s="303" t="e">
        <f>E45*F45/100</f>
        <v>#REF!</v>
      </c>
      <c r="K45" s="303" t="e">
        <f>G45*E45/100</f>
        <v>#REF!</v>
      </c>
      <c r="L45" s="303">
        <f>H45*F45/100</f>
        <v>1.2742790090191101</v>
      </c>
      <c r="M45" s="303">
        <f>I45*G45/1000</f>
        <v>34.679220997675799</v>
      </c>
    </row>
    <row r="46" spans="1:13" ht="20.100000000000001" customHeight="1">
      <c r="A46" s="787" t="s">
        <v>330</v>
      </c>
      <c r="B46" s="196" t="s">
        <v>64</v>
      </c>
      <c r="C46" s="169" t="e">
        <f>C43-C8+C32</f>
        <v>#REF!</v>
      </c>
      <c r="D46" s="168" t="e">
        <f>D40</f>
        <v>#REF!</v>
      </c>
      <c r="E46" s="274" t="e">
        <f t="shared" si="0"/>
        <v>#REF!</v>
      </c>
      <c r="F46" s="168"/>
      <c r="G46" s="168" t="e">
        <f>K46/E46*100</f>
        <v>#REF!</v>
      </c>
      <c r="H46" s="168"/>
      <c r="I46" s="168" t="e">
        <f>M46/E46*1000</f>
        <v>#REF!</v>
      </c>
      <c r="J46" s="168"/>
      <c r="K46" s="312" t="e">
        <f>K43+K32-K8</f>
        <v>#REF!</v>
      </c>
      <c r="L46" s="168"/>
      <c r="M46" s="313" t="e">
        <f>M43+M32-M8</f>
        <v>#REF!</v>
      </c>
    </row>
    <row r="47" spans="1:13" ht="20.100000000000001" customHeight="1">
      <c r="A47" s="788"/>
      <c r="B47" s="196" t="s">
        <v>65</v>
      </c>
      <c r="C47" s="169" t="e">
        <f>C44-C9+C35</f>
        <v>#REF!</v>
      </c>
      <c r="D47" s="168" t="e">
        <f>D41</f>
        <v>#REF!</v>
      </c>
      <c r="E47" s="274" t="e">
        <f t="shared" si="0"/>
        <v>#REF!</v>
      </c>
      <c r="F47" s="168"/>
      <c r="G47" s="168"/>
      <c r="H47" s="168" t="e">
        <f>L47/E47*100</f>
        <v>#REF!</v>
      </c>
      <c r="I47" s="168" t="e">
        <f>M47/E47*1000</f>
        <v>#REF!</v>
      </c>
      <c r="J47" s="168"/>
      <c r="K47" s="168"/>
      <c r="L47" s="314" t="e">
        <f>L44+L35-L9</f>
        <v>#REF!</v>
      </c>
      <c r="M47" s="168" t="e">
        <f>M44+M35-M9</f>
        <v>#REF!</v>
      </c>
    </row>
    <row r="48" spans="1:13" ht="20.100000000000001" customHeight="1">
      <c r="A48" s="789"/>
      <c r="B48" s="304" t="s">
        <v>218</v>
      </c>
      <c r="C48" s="169" t="e">
        <f>C45-C10+C38</f>
        <v>#REF!</v>
      </c>
      <c r="D48" s="168">
        <f>D42</f>
        <v>10</v>
      </c>
      <c r="E48" s="274" t="e">
        <f t="shared" si="0"/>
        <v>#REF!</v>
      </c>
      <c r="F48" s="273" t="e">
        <f>J48/E48*100</f>
        <v>#REF!</v>
      </c>
      <c r="G48" s="273"/>
      <c r="H48" s="273"/>
      <c r="I48" s="273" t="e">
        <f>M48/E48*1000</f>
        <v>#REF!</v>
      </c>
      <c r="J48" s="315" t="e">
        <f>J45+J38-J10</f>
        <v>#REF!</v>
      </c>
      <c r="K48" s="168"/>
      <c r="L48" s="168"/>
      <c r="M48" s="313">
        <f>M45+M38-M10</f>
        <v>-181.67920024385</v>
      </c>
    </row>
    <row r="49" spans="1:13" ht="20.100000000000001" customHeight="1">
      <c r="A49" s="783" t="s">
        <v>331</v>
      </c>
      <c r="B49" s="305" t="s">
        <v>64</v>
      </c>
      <c r="C49" s="306" t="e">
        <f t="shared" ref="C49:C54" si="2">E49/(100-D49)*100</f>
        <v>#REF!</v>
      </c>
      <c r="D49" s="303">
        <v>8.5722466344141797</v>
      </c>
      <c r="E49" s="303" t="e">
        <f>E46-E5</f>
        <v>#REF!</v>
      </c>
      <c r="F49" s="303">
        <v>0.80776891656039296</v>
      </c>
      <c r="G49" s="303">
        <v>65.572329139640104</v>
      </c>
      <c r="H49" s="303">
        <v>5.4970425352663801</v>
      </c>
      <c r="I49" s="303">
        <v>1011.45806753408</v>
      </c>
      <c r="J49" s="303" t="e">
        <f>E49*F49/100</f>
        <v>#REF!</v>
      </c>
      <c r="K49" s="303" t="e">
        <f>E49*G49/100</f>
        <v>#REF!</v>
      </c>
      <c r="L49" s="303" t="e">
        <f>E49*H49/100</f>
        <v>#REF!</v>
      </c>
      <c r="M49" s="303" t="e">
        <f>E49*I49/1000</f>
        <v>#REF!</v>
      </c>
    </row>
    <row r="50" spans="1:13" ht="20.100000000000001" customHeight="1">
      <c r="A50" s="783"/>
      <c r="B50" s="305" t="s">
        <v>65</v>
      </c>
      <c r="C50" s="306" t="e">
        <f t="shared" si="2"/>
        <v>#REF!</v>
      </c>
      <c r="D50" s="303">
        <v>10.5215857691368</v>
      </c>
      <c r="E50" s="303" t="e">
        <f>E47-E6</f>
        <v>#REF!</v>
      </c>
      <c r="F50" s="303">
        <v>0.81879929873039003</v>
      </c>
      <c r="G50" s="303">
        <v>0.50824225679058699</v>
      </c>
      <c r="H50" s="303">
        <v>48.831670707457299</v>
      </c>
      <c r="I50" s="303">
        <v>183.01482113331201</v>
      </c>
      <c r="J50" s="303" t="e">
        <f>E50*F50/100</f>
        <v>#REF!</v>
      </c>
      <c r="K50" s="303" t="e">
        <f>E50*G50/100</f>
        <v>#REF!</v>
      </c>
      <c r="L50" s="303" t="e">
        <f>E50*H50/100</f>
        <v>#REF!</v>
      </c>
      <c r="M50" s="303" t="e">
        <f>E50*I50/1000</f>
        <v>#REF!</v>
      </c>
    </row>
    <row r="51" spans="1:13" ht="20.100000000000001" customHeight="1">
      <c r="A51" s="780"/>
      <c r="B51" s="307" t="s">
        <v>218</v>
      </c>
      <c r="C51" s="308" t="e">
        <f t="shared" si="2"/>
        <v>#REF!</v>
      </c>
      <c r="D51" s="303">
        <v>10</v>
      </c>
      <c r="E51" s="188" t="e">
        <f>E48-E7</f>
        <v>#REF!</v>
      </c>
      <c r="F51" s="188">
        <v>23.457254074499801</v>
      </c>
      <c r="G51" s="188">
        <v>12.2618772641192</v>
      </c>
      <c r="H51" s="188">
        <v>5.4323451712294597</v>
      </c>
      <c r="I51" s="303">
        <v>2828.2146567519699</v>
      </c>
      <c r="J51" s="303" t="e">
        <f>E51*F51/100</f>
        <v>#REF!</v>
      </c>
      <c r="K51" s="303" t="e">
        <f>E51*G51/100</f>
        <v>#REF!</v>
      </c>
      <c r="L51" s="303" t="e">
        <f>E51*H51/100</f>
        <v>#REF!</v>
      </c>
      <c r="M51" s="303" t="e">
        <f>E51*I51/1000</f>
        <v>#REF!</v>
      </c>
    </row>
    <row r="52" spans="1:13" ht="20.100000000000001" customHeight="1">
      <c r="A52" s="780" t="s">
        <v>332</v>
      </c>
      <c r="B52" s="309" t="s">
        <v>64</v>
      </c>
      <c r="C52" s="310" t="e">
        <f t="shared" si="2"/>
        <v>#REF!</v>
      </c>
      <c r="D52" s="188">
        <v>8.5722466344141797</v>
      </c>
      <c r="E52" s="188" t="e">
        <f>K52/G52*100</f>
        <v>#REF!</v>
      </c>
      <c r="F52" s="188">
        <f t="shared" ref="F52:I54" si="3">F49</f>
        <v>0.80776891656039296</v>
      </c>
      <c r="G52" s="188">
        <f t="shared" si="3"/>
        <v>65.572329139640104</v>
      </c>
      <c r="H52" s="188">
        <f t="shared" si="3"/>
        <v>5.4970425352663801</v>
      </c>
      <c r="I52" s="188">
        <f t="shared" si="3"/>
        <v>1011.45806753408</v>
      </c>
      <c r="J52" s="201"/>
      <c r="K52" s="316" t="e">
        <f>K46-K31</f>
        <v>#REF!</v>
      </c>
      <c r="L52" s="201"/>
      <c r="M52" s="303"/>
    </row>
    <row r="53" spans="1:13" ht="20.100000000000001" customHeight="1">
      <c r="A53" s="781"/>
      <c r="B53" s="309" t="s">
        <v>65</v>
      </c>
      <c r="C53" s="310" t="e">
        <f t="shared" si="2"/>
        <v>#REF!</v>
      </c>
      <c r="D53" s="188">
        <v>10.5215857691368</v>
      </c>
      <c r="E53" s="188" t="e">
        <f>L53/H53*100</f>
        <v>#REF!</v>
      </c>
      <c r="F53" s="188">
        <f t="shared" si="3"/>
        <v>0.81879929873039003</v>
      </c>
      <c r="G53" s="188">
        <f t="shared" si="3"/>
        <v>0.50824225679058699</v>
      </c>
      <c r="H53" s="188">
        <f t="shared" si="3"/>
        <v>48.831670707457299</v>
      </c>
      <c r="I53" s="188">
        <f t="shared" si="3"/>
        <v>183.01482113331201</v>
      </c>
      <c r="J53" s="201"/>
      <c r="K53" s="201"/>
      <c r="L53" s="303" t="e">
        <f>L47-L34</f>
        <v>#REF!</v>
      </c>
      <c r="M53" s="316"/>
    </row>
    <row r="54" spans="1:13" ht="20.100000000000001" customHeight="1">
      <c r="A54" s="781"/>
      <c r="B54" s="311" t="s">
        <v>218</v>
      </c>
      <c r="C54" s="310" t="e">
        <f t="shared" si="2"/>
        <v>#REF!</v>
      </c>
      <c r="D54" s="188">
        <v>10</v>
      </c>
      <c r="E54" s="188" t="e">
        <f>J54/F54*100</f>
        <v>#REF!</v>
      </c>
      <c r="F54" s="188">
        <f t="shared" si="3"/>
        <v>23.457254074499801</v>
      </c>
      <c r="G54" s="188">
        <f t="shared" si="3"/>
        <v>12.2618772641192</v>
      </c>
      <c r="H54" s="188">
        <f t="shared" si="3"/>
        <v>5.4323451712294597</v>
      </c>
      <c r="I54" s="188">
        <f t="shared" si="3"/>
        <v>2828.2146567519699</v>
      </c>
      <c r="J54" s="316" t="e">
        <f>J48-J37</f>
        <v>#REF!</v>
      </c>
      <c r="K54" s="201"/>
      <c r="L54" s="303"/>
      <c r="M54" s="201"/>
    </row>
    <row r="55" spans="1:13" ht="20.100000000000001" customHeight="1">
      <c r="A55" s="197" t="s">
        <v>333</v>
      </c>
      <c r="B55" s="198"/>
      <c r="C55" s="199"/>
      <c r="D55" s="199"/>
      <c r="E55" s="199"/>
      <c r="F55" s="200" t="e">
        <f>'班组统计台账（3%）日累'!#REF!</f>
        <v>#REF!</v>
      </c>
      <c r="G55" s="200">
        <f>'班组统计台账（3%）日累'!AH15</f>
        <v>97.348539988275135</v>
      </c>
      <c r="H55" s="200" t="str">
        <f>'班组统计台账（3%）日累'!AI15</f>
        <v>0.00</v>
      </c>
      <c r="I55" s="200">
        <f>'班组统计台账（3%）日累'!AJ15</f>
        <v>99.810273661390255</v>
      </c>
      <c r="J55" s="199"/>
      <c r="K55" s="199"/>
      <c r="L55" s="199"/>
      <c r="M55" s="199"/>
    </row>
    <row r="56" spans="1:13" ht="20.100000000000001" customHeight="1">
      <c r="A56" s="197" t="s">
        <v>334</v>
      </c>
      <c r="B56" s="198"/>
      <c r="C56" s="199"/>
      <c r="D56" s="199"/>
      <c r="E56" s="199"/>
      <c r="F56" s="200" t="e">
        <f>J48/J21*100</f>
        <v>#REF!</v>
      </c>
      <c r="G56" s="200" t="e">
        <f>K46/K21*100</f>
        <v>#REF!</v>
      </c>
      <c r="H56" s="200" t="e">
        <f>L47/L21*100</f>
        <v>#REF!</v>
      </c>
      <c r="I56" s="200" t="e">
        <f>(M46+M48)/M21*100</f>
        <v>#REF!</v>
      </c>
      <c r="J56" s="199"/>
      <c r="K56" s="199"/>
      <c r="L56" s="199"/>
      <c r="M56" s="199"/>
    </row>
    <row r="57" spans="1:13">
      <c r="F57" s="5"/>
      <c r="G57" s="5"/>
      <c r="H57" s="5"/>
      <c r="I57" s="5"/>
    </row>
  </sheetData>
  <mergeCells count="17">
    <mergeCell ref="B13:B15"/>
    <mergeCell ref="A40:A42"/>
    <mergeCell ref="A43:A45"/>
    <mergeCell ref="A46:A48"/>
    <mergeCell ref="A49:A51"/>
    <mergeCell ref="A52:A54"/>
    <mergeCell ref="A5:A7"/>
    <mergeCell ref="A8:A10"/>
    <mergeCell ref="A12:A20"/>
    <mergeCell ref="A22:A30"/>
    <mergeCell ref="A31:A39"/>
    <mergeCell ref="A1:M1"/>
    <mergeCell ref="A2:M2"/>
    <mergeCell ref="C3:E3"/>
    <mergeCell ref="F3:I3"/>
    <mergeCell ref="J3:M3"/>
    <mergeCell ref="A3:A4"/>
  </mergeCells>
  <phoneticPr fontId="54" type="noConversion"/>
  <pageMargins left="1.0263888888888899" right="0.75138888888888899" top="0.21249999999999999" bottom="0.21249999999999999" header="0.51180555555555596" footer="0.51180555555555596"/>
  <pageSetup paperSize="9" scale="5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4"/>
  <dimension ref="A1:W21"/>
  <sheetViews>
    <sheetView workbookViewId="0">
      <selection activeCell="B6" sqref="B6"/>
    </sheetView>
  </sheetViews>
  <sheetFormatPr defaultColWidth="9" defaultRowHeight="14.4"/>
  <cols>
    <col min="1" max="21" width="6.33203125" style="16" customWidth="1"/>
    <col min="22" max="25" width="7.6640625" style="16" customWidth="1"/>
    <col min="26" max="16384" width="9" style="16"/>
  </cols>
  <sheetData>
    <row r="1" spans="1:23" ht="30.75" customHeight="1">
      <c r="A1" s="790" t="s">
        <v>335</v>
      </c>
      <c r="B1" s="790"/>
      <c r="C1" s="790"/>
      <c r="D1" s="790"/>
      <c r="E1" s="790"/>
      <c r="F1" s="790"/>
      <c r="G1" s="790"/>
      <c r="H1" s="790"/>
      <c r="I1" s="790"/>
      <c r="J1" s="790"/>
      <c r="K1" s="790"/>
      <c r="L1" s="790"/>
      <c r="M1" s="790"/>
      <c r="N1" s="790"/>
      <c r="O1" s="790"/>
      <c r="P1" s="790"/>
      <c r="Q1" s="790"/>
      <c r="R1" s="790"/>
      <c r="S1" s="790"/>
      <c r="T1" s="790"/>
      <c r="U1" s="790"/>
    </row>
    <row r="2" spans="1:23" ht="21" customHeight="1">
      <c r="A2" s="793" t="s">
        <v>119</v>
      </c>
      <c r="B2" s="791" t="s">
        <v>336</v>
      </c>
      <c r="C2" s="791"/>
      <c r="D2" s="791"/>
      <c r="E2" s="791"/>
      <c r="F2" s="791"/>
      <c r="G2" s="791" t="s">
        <v>337</v>
      </c>
      <c r="H2" s="791"/>
      <c r="I2" s="791"/>
      <c r="J2" s="791"/>
      <c r="K2" s="791"/>
      <c r="L2" s="791" t="s">
        <v>338</v>
      </c>
      <c r="M2" s="791"/>
      <c r="N2" s="791"/>
      <c r="O2" s="791"/>
      <c r="P2" s="791"/>
      <c r="Q2" s="791" t="s">
        <v>230</v>
      </c>
      <c r="R2" s="791"/>
      <c r="S2" s="791"/>
      <c r="T2" s="791"/>
      <c r="U2" s="792"/>
    </row>
    <row r="3" spans="1:23" ht="21" customHeight="1">
      <c r="A3" s="794"/>
      <c r="B3" s="261" t="s">
        <v>339</v>
      </c>
      <c r="C3" s="261" t="s">
        <v>340</v>
      </c>
      <c r="D3" s="261" t="s">
        <v>341</v>
      </c>
      <c r="E3" s="261" t="s">
        <v>342</v>
      </c>
      <c r="F3" s="261" t="s">
        <v>343</v>
      </c>
      <c r="G3" s="261" t="s">
        <v>339</v>
      </c>
      <c r="H3" s="261" t="s">
        <v>340</v>
      </c>
      <c r="I3" s="261" t="s">
        <v>341</v>
      </c>
      <c r="J3" s="261" t="s">
        <v>342</v>
      </c>
      <c r="K3" s="261" t="s">
        <v>343</v>
      </c>
      <c r="L3" s="261" t="s">
        <v>339</v>
      </c>
      <c r="M3" s="261" t="s">
        <v>340</v>
      </c>
      <c r="N3" s="261" t="s">
        <v>341</v>
      </c>
      <c r="O3" s="261" t="s">
        <v>342</v>
      </c>
      <c r="P3" s="261" t="s">
        <v>343</v>
      </c>
      <c r="Q3" s="261" t="s">
        <v>339</v>
      </c>
      <c r="R3" s="261" t="s">
        <v>340</v>
      </c>
      <c r="S3" s="261" t="s">
        <v>341</v>
      </c>
      <c r="T3" s="261" t="s">
        <v>342</v>
      </c>
      <c r="U3" s="267" t="s">
        <v>343</v>
      </c>
    </row>
    <row r="4" spans="1:23" ht="21" customHeight="1">
      <c r="A4" s="259" t="s">
        <v>32</v>
      </c>
      <c r="B4" s="260">
        <v>92.833051416879897</v>
      </c>
      <c r="C4" s="260">
        <v>1.50892666206993</v>
      </c>
      <c r="D4" s="260">
        <v>0.91238186833754098</v>
      </c>
      <c r="E4" s="260">
        <v>4.7380656069685596</v>
      </c>
      <c r="F4" s="260">
        <v>99.992425554256002</v>
      </c>
      <c r="G4" s="260">
        <v>5.4485571228828302</v>
      </c>
      <c r="H4" s="260">
        <v>88.823782998300999</v>
      </c>
      <c r="I4" s="260">
        <v>0.87373751737002803</v>
      </c>
      <c r="J4" s="260">
        <v>4.8548287847013603</v>
      </c>
      <c r="K4" s="260">
        <v>100.000906423255</v>
      </c>
      <c r="L4" s="260">
        <v>8.2626917406551001</v>
      </c>
      <c r="M4" s="260">
        <v>30.718985742323198</v>
      </c>
      <c r="N4" s="260">
        <v>31.035020173860399</v>
      </c>
      <c r="O4" s="260">
        <v>30.000787398432301</v>
      </c>
      <c r="P4" s="260">
        <v>100.017485055271</v>
      </c>
      <c r="Q4" s="260">
        <v>54.735173990883503</v>
      </c>
      <c r="R4" s="260">
        <v>14.9845087098618</v>
      </c>
      <c r="S4" s="260">
        <v>11.9967955411069</v>
      </c>
      <c r="T4" s="260">
        <v>18.282463688777199</v>
      </c>
      <c r="U4" s="266">
        <v>99.9989419306293</v>
      </c>
      <c r="W4" s="16">
        <f>Q4+S4</f>
        <v>66.731969531990401</v>
      </c>
    </row>
    <row r="5" spans="1:23" ht="21" customHeight="1">
      <c r="A5" s="262" t="s">
        <v>33</v>
      </c>
      <c r="B5" s="12">
        <v>92.934082382428201</v>
      </c>
      <c r="C5" s="12">
        <v>1.5767988673343101</v>
      </c>
      <c r="D5" s="12">
        <v>0.85293423864766105</v>
      </c>
      <c r="E5" s="12">
        <v>4.6382475153537097</v>
      </c>
      <c r="F5" s="12">
        <v>100.00206300376399</v>
      </c>
      <c r="G5" s="12">
        <v>5.7123448043867304</v>
      </c>
      <c r="H5" s="12">
        <v>88.358944303020095</v>
      </c>
      <c r="I5" s="12">
        <v>0.91495197499060099</v>
      </c>
      <c r="J5" s="12">
        <v>5.0113443839746097</v>
      </c>
      <c r="K5" s="12">
        <v>99.997585466372001</v>
      </c>
      <c r="L5" s="12">
        <v>8.7859618401470492</v>
      </c>
      <c r="M5" s="12">
        <v>31.551198173450899</v>
      </c>
      <c r="N5" s="12">
        <v>28.862862569382699</v>
      </c>
      <c r="O5" s="12">
        <v>30.798375176438402</v>
      </c>
      <c r="P5" s="12">
        <v>99.998397759419007</v>
      </c>
      <c r="Q5" s="12">
        <v>55.974524247240602</v>
      </c>
      <c r="R5" s="12">
        <v>15.4953176495244</v>
      </c>
      <c r="S5" s="12">
        <v>11.697117398580501</v>
      </c>
      <c r="T5" s="12">
        <v>16.833409515153999</v>
      </c>
      <c r="U5" s="268">
        <v>100.00036881050001</v>
      </c>
      <c r="W5" s="16">
        <f>Q5+S5</f>
        <v>67.671641645821097</v>
      </c>
    </row>
    <row r="6" spans="1:23" ht="21" customHeight="1">
      <c r="A6" s="262" t="s">
        <v>34</v>
      </c>
      <c r="B6" s="12">
        <v>92.697615811152303</v>
      </c>
      <c r="C6" s="12">
        <v>1.75835062341573</v>
      </c>
      <c r="D6" s="12">
        <v>0.70896059769860098</v>
      </c>
      <c r="E6" s="12">
        <v>4.8381684816891504</v>
      </c>
      <c r="F6" s="12">
        <v>100.003095513956</v>
      </c>
      <c r="G6" s="12">
        <v>6.3182033264167599</v>
      </c>
      <c r="H6" s="12">
        <v>87.432462606097403</v>
      </c>
      <c r="I6" s="12">
        <v>0.95386307630578204</v>
      </c>
      <c r="J6" s="12">
        <v>5.2994641404229696</v>
      </c>
      <c r="K6" s="12">
        <v>100.003993149243</v>
      </c>
      <c r="L6" s="12">
        <v>9.5612458096502095</v>
      </c>
      <c r="M6" s="12">
        <v>31.3720161127194</v>
      </c>
      <c r="N6" s="12">
        <v>29.985564074895599</v>
      </c>
      <c r="O6" s="12">
        <v>29.1086170646618</v>
      </c>
      <c r="P6" s="12">
        <v>100.027443061927</v>
      </c>
      <c r="Q6" s="12">
        <v>57.079828029195099</v>
      </c>
      <c r="R6" s="12">
        <v>15.4210353481634</v>
      </c>
      <c r="S6" s="12">
        <v>10.7887318862313</v>
      </c>
      <c r="T6" s="12">
        <v>16.7122003417233</v>
      </c>
      <c r="U6" s="268">
        <v>100.00179560531301</v>
      </c>
      <c r="W6" s="16">
        <f>Q6+S6</f>
        <v>67.868559915426403</v>
      </c>
    </row>
    <row r="7" spans="1:23" ht="21" customHeight="1">
      <c r="A7" s="263" t="s">
        <v>1</v>
      </c>
      <c r="B7" s="264">
        <v>92.8208898878122</v>
      </c>
      <c r="C7" s="264">
        <v>1.6153900255511799</v>
      </c>
      <c r="D7" s="264">
        <v>0.82419898982539797</v>
      </c>
      <c r="E7" s="264">
        <v>4.7387302950668202</v>
      </c>
      <c r="F7" s="264">
        <v>99.999209198255599</v>
      </c>
      <c r="G7" s="264">
        <v>5.8251983267035801</v>
      </c>
      <c r="H7" s="264">
        <v>88.2069885634847</v>
      </c>
      <c r="I7" s="264">
        <v>0.91405534257723597</v>
      </c>
      <c r="J7" s="264">
        <v>5.0545872572755401</v>
      </c>
      <c r="K7" s="264">
        <v>100.000829490041</v>
      </c>
      <c r="L7" s="264">
        <v>8.8666299322445106</v>
      </c>
      <c r="M7" s="264">
        <v>31.212356243226498</v>
      </c>
      <c r="N7" s="264">
        <v>29.963945407900201</v>
      </c>
      <c r="O7" s="264">
        <v>29.9714861094171</v>
      </c>
      <c r="P7" s="264">
        <v>100.014417692788</v>
      </c>
      <c r="Q7" s="264">
        <v>55.925189722333599</v>
      </c>
      <c r="R7" s="264">
        <v>15.298642999543301</v>
      </c>
      <c r="S7" s="264">
        <v>11.495670566895299</v>
      </c>
      <c r="T7" s="264">
        <v>17.280860057490901</v>
      </c>
      <c r="U7" s="269">
        <v>100.000363346263</v>
      </c>
      <c r="W7" s="16">
        <f t="shared" ref="W7:W21" si="0">Q7+S7</f>
        <v>67.420860289228898</v>
      </c>
    </row>
    <row r="8" spans="1:23" ht="21" customHeight="1">
      <c r="A8" s="259" t="s">
        <v>35</v>
      </c>
      <c r="B8" s="260">
        <v>93.007491594375793</v>
      </c>
      <c r="C8" s="260">
        <v>1.52205917663032</v>
      </c>
      <c r="D8" s="260">
        <v>1.0378174820034201</v>
      </c>
      <c r="E8" s="260">
        <v>4.4308541480156398</v>
      </c>
      <c r="F8" s="260">
        <v>99.998222401025103</v>
      </c>
      <c r="G8" s="260">
        <v>4.0536375619041403</v>
      </c>
      <c r="H8" s="260">
        <v>89.839548987796803</v>
      </c>
      <c r="I8" s="260">
        <v>0.86363541204892003</v>
      </c>
      <c r="J8" s="260">
        <v>5.2451544070633798</v>
      </c>
      <c r="K8" s="260">
        <v>100.001976368813</v>
      </c>
      <c r="L8" s="260">
        <v>6.3145230606022604</v>
      </c>
      <c r="M8" s="260">
        <v>35.258058180542001</v>
      </c>
      <c r="N8" s="260">
        <v>27.858034049253099</v>
      </c>
      <c r="O8" s="260">
        <v>30.691162510190299</v>
      </c>
      <c r="P8" s="260">
        <v>100.12177780058801</v>
      </c>
      <c r="Q8" s="260">
        <v>54.421955398496898</v>
      </c>
      <c r="R8" s="260">
        <v>15.3614922139072</v>
      </c>
      <c r="S8" s="260">
        <v>13.886243083275</v>
      </c>
      <c r="T8" s="260">
        <v>16.329444695184701</v>
      </c>
      <c r="U8" s="266">
        <v>99.9991353908637</v>
      </c>
      <c r="W8" s="16">
        <f t="shared" si="0"/>
        <v>68.308198481771896</v>
      </c>
    </row>
    <row r="9" spans="1:23" ht="21" customHeight="1">
      <c r="A9" s="262" t="s">
        <v>36</v>
      </c>
      <c r="B9" s="12">
        <v>92.749881853267595</v>
      </c>
      <c r="C9" s="12">
        <v>1.61797556445919</v>
      </c>
      <c r="D9" s="12">
        <v>1.10476593263953</v>
      </c>
      <c r="E9" s="12">
        <v>4.5282966207544701</v>
      </c>
      <c r="F9" s="12">
        <v>100.00091997112099</v>
      </c>
      <c r="G9" s="12">
        <v>4.0324600540055604</v>
      </c>
      <c r="H9" s="12">
        <v>89.915751189195007</v>
      </c>
      <c r="I9" s="12">
        <v>0.82240177484462695</v>
      </c>
      <c r="J9" s="12">
        <v>5.2252361744134097</v>
      </c>
      <c r="K9" s="12">
        <v>99.995849192458607</v>
      </c>
      <c r="L9" s="12">
        <v>6.3983057705281796</v>
      </c>
      <c r="M9" s="12">
        <v>35.182740925559699</v>
      </c>
      <c r="N9" s="12">
        <v>27.569605121329001</v>
      </c>
      <c r="O9" s="12">
        <v>30.8661122084585</v>
      </c>
      <c r="P9" s="12">
        <v>100.01676402587501</v>
      </c>
      <c r="Q9" s="12">
        <v>54.134313230544201</v>
      </c>
      <c r="R9" s="12">
        <v>15.868745954626201</v>
      </c>
      <c r="S9" s="12">
        <v>13.992897530320599</v>
      </c>
      <c r="T9" s="12">
        <v>16.004960339349001</v>
      </c>
      <c r="U9" s="268">
        <v>100.00091705484</v>
      </c>
      <c r="W9" s="16">
        <f t="shared" si="0"/>
        <v>68.127210760864799</v>
      </c>
    </row>
    <row r="10" spans="1:23" ht="21" customHeight="1">
      <c r="A10" s="262" t="s">
        <v>37</v>
      </c>
      <c r="B10" s="12">
        <v>92.716113160472602</v>
      </c>
      <c r="C10" s="12">
        <v>1.54551704515243</v>
      </c>
      <c r="D10" s="12">
        <v>1.06899215990623</v>
      </c>
      <c r="E10" s="12">
        <v>4.6729547774634002</v>
      </c>
      <c r="F10" s="12">
        <v>100.003577142995</v>
      </c>
      <c r="G10" s="12">
        <v>4.2274185065569396</v>
      </c>
      <c r="H10" s="12">
        <v>89.842226579509202</v>
      </c>
      <c r="I10" s="12">
        <v>0.844530634274967</v>
      </c>
      <c r="J10" s="12">
        <v>5.0849359200597801</v>
      </c>
      <c r="K10" s="12">
        <v>99.999111640400898</v>
      </c>
      <c r="L10" s="12">
        <v>6.8583585257088</v>
      </c>
      <c r="M10" s="12">
        <v>35.004063246975498</v>
      </c>
      <c r="N10" s="12">
        <v>27.228575985340299</v>
      </c>
      <c r="O10" s="12">
        <v>30.9076320296376</v>
      </c>
      <c r="P10" s="12">
        <v>99.998629787662196</v>
      </c>
      <c r="Q10" s="12">
        <v>54.415923036700399</v>
      </c>
      <c r="R10" s="12">
        <v>15.383434393496</v>
      </c>
      <c r="S10" s="12">
        <v>13.432558581009401</v>
      </c>
      <c r="T10" s="12">
        <v>16.7680839887941</v>
      </c>
      <c r="U10" s="268">
        <v>100</v>
      </c>
      <c r="W10" s="16">
        <f t="shared" si="0"/>
        <v>67.848481617709794</v>
      </c>
    </row>
    <row r="11" spans="1:23" ht="21" customHeight="1">
      <c r="A11" s="263" t="s">
        <v>2</v>
      </c>
      <c r="B11" s="264">
        <v>92.825574279003305</v>
      </c>
      <c r="C11" s="264">
        <v>1.5612419786296701</v>
      </c>
      <c r="D11" s="264">
        <v>1.07013641090995</v>
      </c>
      <c r="E11" s="264">
        <v>4.5439481472477903</v>
      </c>
      <c r="F11" s="264">
        <v>100.000900815791</v>
      </c>
      <c r="G11" s="264">
        <v>4.10515364733907</v>
      </c>
      <c r="H11" s="264">
        <v>89.865337091126904</v>
      </c>
      <c r="I11" s="264">
        <v>0.84374457363942501</v>
      </c>
      <c r="J11" s="264">
        <v>5.1847766634371197</v>
      </c>
      <c r="K11" s="264">
        <v>99.999011975542601</v>
      </c>
      <c r="L11" s="264">
        <v>6.5244370679041603</v>
      </c>
      <c r="M11" s="264">
        <v>35.1481176201087</v>
      </c>
      <c r="N11" s="264">
        <v>27.552103119438101</v>
      </c>
      <c r="O11" s="264">
        <v>30.821288115439199</v>
      </c>
      <c r="P11" s="264">
        <v>100.04594592289</v>
      </c>
      <c r="Q11" s="264">
        <v>54.3263420132538</v>
      </c>
      <c r="R11" s="264">
        <v>15.533881891756</v>
      </c>
      <c r="S11" s="264">
        <v>13.769379474119299</v>
      </c>
      <c r="T11" s="264">
        <v>16.370400612943701</v>
      </c>
      <c r="U11" s="269">
        <v>100.000003992073</v>
      </c>
      <c r="W11" s="16">
        <f t="shared" si="0"/>
        <v>68.095721487373098</v>
      </c>
    </row>
    <row r="12" spans="1:23" ht="21" customHeight="1">
      <c r="A12" s="259" t="s">
        <v>344</v>
      </c>
      <c r="B12" s="260">
        <v>92.973113151198504</v>
      </c>
      <c r="C12" s="260">
        <v>2.2179200330850399</v>
      </c>
      <c r="D12" s="260">
        <v>0.78919830132384206</v>
      </c>
      <c r="E12" s="260">
        <v>4.0220976694577697</v>
      </c>
      <c r="F12" s="260">
        <v>100.002329155065</v>
      </c>
      <c r="G12" s="260">
        <v>5.3169422779162803</v>
      </c>
      <c r="H12" s="260">
        <v>89.068947239991502</v>
      </c>
      <c r="I12" s="260">
        <v>1.0719814849142899</v>
      </c>
      <c r="J12" s="260">
        <v>4.5420030378638003</v>
      </c>
      <c r="K12" s="260">
        <v>99.999874040685796</v>
      </c>
      <c r="L12" s="260">
        <v>6.9228347828175103</v>
      </c>
      <c r="M12" s="260">
        <v>32.716421080565702</v>
      </c>
      <c r="N12" s="260">
        <v>30.0764630128763</v>
      </c>
      <c r="O12" s="260">
        <v>30.2237691217817</v>
      </c>
      <c r="P12" s="260">
        <v>99.939487998041201</v>
      </c>
      <c r="Q12" s="260">
        <v>54.608687727736303</v>
      </c>
      <c r="R12" s="260">
        <v>16.113304551568099</v>
      </c>
      <c r="S12" s="260">
        <v>10.911683013799699</v>
      </c>
      <c r="T12" s="260">
        <v>18.364430496322001</v>
      </c>
      <c r="U12" s="266">
        <v>99.998105789426106</v>
      </c>
      <c r="W12" s="16">
        <f t="shared" si="0"/>
        <v>65.520370741535999</v>
      </c>
    </row>
    <row r="13" spans="1:23" ht="21" customHeight="1">
      <c r="A13" s="262" t="s">
        <v>345</v>
      </c>
      <c r="B13" s="12">
        <v>92.638918017931601</v>
      </c>
      <c r="C13" s="12">
        <v>2.07587696054118</v>
      </c>
      <c r="D13" s="12">
        <v>0.81007441362211996</v>
      </c>
      <c r="E13" s="12">
        <v>4.48018221354506</v>
      </c>
      <c r="F13" s="12">
        <v>100.00505160564001</v>
      </c>
      <c r="G13" s="12">
        <v>5.1454382873437901</v>
      </c>
      <c r="H13" s="12">
        <v>88.861040427017301</v>
      </c>
      <c r="I13" s="12">
        <v>1.1423666758491999</v>
      </c>
      <c r="J13" s="12">
        <v>4.8543765929020504</v>
      </c>
      <c r="K13" s="12">
        <v>100.003221983112</v>
      </c>
      <c r="L13" s="12">
        <v>7.0384532440979797</v>
      </c>
      <c r="M13" s="12">
        <v>32.603741203775797</v>
      </c>
      <c r="N13" s="12">
        <v>31.432043820756402</v>
      </c>
      <c r="O13" s="12">
        <v>28.9382404982202</v>
      </c>
      <c r="P13" s="12">
        <v>100.01247876684999</v>
      </c>
      <c r="Q13" s="12">
        <v>54.061021813210303</v>
      </c>
      <c r="R13" s="12">
        <v>16.2124319297935</v>
      </c>
      <c r="S13" s="12">
        <v>12.008147962519599</v>
      </c>
      <c r="T13" s="12">
        <v>17.7189540736283</v>
      </c>
      <c r="U13" s="268">
        <v>100.00055577915199</v>
      </c>
      <c r="W13" s="16">
        <f t="shared" si="0"/>
        <v>66.069169775729904</v>
      </c>
    </row>
    <row r="14" spans="1:23" ht="21" customHeight="1">
      <c r="A14" s="262" t="s">
        <v>346</v>
      </c>
      <c r="B14" s="12">
        <v>93.193999550834903</v>
      </c>
      <c r="C14" s="12">
        <v>2.2580986869877</v>
      </c>
      <c r="D14" s="12">
        <v>0.86565919830693205</v>
      </c>
      <c r="E14" s="12">
        <v>3.6820746049294302</v>
      </c>
      <c r="F14" s="12">
        <v>99.999832041058895</v>
      </c>
      <c r="G14" s="12">
        <v>4.8875837166455796</v>
      </c>
      <c r="H14" s="12">
        <v>89.644012357361007</v>
      </c>
      <c r="I14" s="12">
        <v>1.16192412648584</v>
      </c>
      <c r="J14" s="12">
        <v>4.30407236068364</v>
      </c>
      <c r="K14" s="12">
        <v>99.997592561176006</v>
      </c>
      <c r="L14" s="12">
        <v>6.3449972982887797</v>
      </c>
      <c r="M14" s="12">
        <v>32.862192455747298</v>
      </c>
      <c r="N14" s="12">
        <v>31.6401089632493</v>
      </c>
      <c r="O14" s="12">
        <v>29.1882649522489</v>
      </c>
      <c r="P14" s="12">
        <v>100.035563669534</v>
      </c>
      <c r="Q14" s="12">
        <v>54.145975387328399</v>
      </c>
      <c r="R14" s="12">
        <v>16.537165369594</v>
      </c>
      <c r="S14" s="12">
        <v>12.2064940729762</v>
      </c>
      <c r="T14" s="12">
        <v>17.111501536060501</v>
      </c>
      <c r="U14" s="268">
        <v>100.001136365959</v>
      </c>
      <c r="W14" s="16">
        <f t="shared" si="0"/>
        <v>66.352469460304604</v>
      </c>
    </row>
    <row r="15" spans="1:23" ht="21" customHeight="1">
      <c r="A15" s="263" t="s">
        <v>347</v>
      </c>
      <c r="B15" s="264">
        <v>92.937364140416705</v>
      </c>
      <c r="C15" s="264">
        <v>2.1847665355195902</v>
      </c>
      <c r="D15" s="264">
        <v>0.821614379461169</v>
      </c>
      <c r="E15" s="264">
        <v>4.0586420047978704</v>
      </c>
      <c r="F15" s="264">
        <v>100.00238706019501</v>
      </c>
      <c r="G15" s="264">
        <v>5.11689038060236</v>
      </c>
      <c r="H15" s="264">
        <v>89.192952462540305</v>
      </c>
      <c r="I15" s="264">
        <v>1.1252223962747001</v>
      </c>
      <c r="J15" s="264">
        <v>4.5651467105538703</v>
      </c>
      <c r="K15" s="264">
        <v>100.000211949971</v>
      </c>
      <c r="L15" s="264">
        <v>6.7678915848044898</v>
      </c>
      <c r="M15" s="264">
        <v>32.728115473369897</v>
      </c>
      <c r="N15" s="264">
        <v>31.0430155760349</v>
      </c>
      <c r="O15" s="264">
        <v>29.456474857194699</v>
      </c>
      <c r="P15" s="264">
        <v>99.995497491403995</v>
      </c>
      <c r="Q15" s="264">
        <v>54.2765853183842</v>
      </c>
      <c r="R15" s="264">
        <v>16.285237247832601</v>
      </c>
      <c r="S15" s="264">
        <v>11.697708003264999</v>
      </c>
      <c r="T15" s="264">
        <v>17.740376721498698</v>
      </c>
      <c r="U15" s="269">
        <v>99.999907290980502</v>
      </c>
      <c r="W15" s="16">
        <f t="shared" si="0"/>
        <v>65.974293321649199</v>
      </c>
    </row>
    <row r="16" spans="1:23" ht="21" customHeight="1">
      <c r="A16" s="259" t="s">
        <v>348</v>
      </c>
      <c r="B16" s="260">
        <v>92.530040001917698</v>
      </c>
      <c r="C16" s="260">
        <v>2.1869883268448</v>
      </c>
      <c r="D16" s="260">
        <v>0.84868184470020402</v>
      </c>
      <c r="E16" s="260">
        <v>4.4342898265372304</v>
      </c>
      <c r="F16" s="260">
        <v>100</v>
      </c>
      <c r="G16" s="260">
        <v>4.5624666080805101</v>
      </c>
      <c r="H16" s="260">
        <v>89.5124631780307</v>
      </c>
      <c r="I16" s="260">
        <v>0.83219853543243905</v>
      </c>
      <c r="J16" s="260">
        <v>5.0940813430791803</v>
      </c>
      <c r="K16" s="260">
        <v>100.001209664623</v>
      </c>
      <c r="L16" s="260">
        <v>7.66669660666577</v>
      </c>
      <c r="M16" s="260">
        <v>33.858788406998798</v>
      </c>
      <c r="N16" s="260">
        <v>28.3408658402616</v>
      </c>
      <c r="O16" s="260">
        <v>30.146113552351199</v>
      </c>
      <c r="P16" s="260">
        <v>100.012464406277</v>
      </c>
      <c r="Q16" s="260">
        <v>53.624402792303002</v>
      </c>
      <c r="R16" s="260">
        <v>16.3809963956476</v>
      </c>
      <c r="S16" s="260">
        <v>12.137629261210799</v>
      </c>
      <c r="T16" s="260">
        <v>17.856691831841101</v>
      </c>
      <c r="U16" s="266">
        <v>99.999720281002496</v>
      </c>
      <c r="W16" s="16">
        <f t="shared" si="0"/>
        <v>65.762032053513806</v>
      </c>
    </row>
    <row r="17" spans="1:23" ht="21" customHeight="1">
      <c r="A17" s="262" t="s">
        <v>349</v>
      </c>
      <c r="B17" s="12">
        <v>91.945817660319705</v>
      </c>
      <c r="C17" s="12">
        <v>2.0656961487422798</v>
      </c>
      <c r="D17" s="12">
        <v>1.0715851431103101</v>
      </c>
      <c r="E17" s="12">
        <v>4.9195949961705097</v>
      </c>
      <c r="F17" s="12">
        <v>100.00269394834299</v>
      </c>
      <c r="G17" s="12">
        <v>4.8298123181937704</v>
      </c>
      <c r="H17" s="12">
        <v>88.885175590171102</v>
      </c>
      <c r="I17" s="12">
        <v>0.90219662811317802</v>
      </c>
      <c r="J17" s="12">
        <v>5.3835376398489103</v>
      </c>
      <c r="K17" s="12">
        <v>100.000722176327</v>
      </c>
      <c r="L17" s="12">
        <v>7.6167026138907596</v>
      </c>
      <c r="M17" s="12">
        <v>32.5989507448583</v>
      </c>
      <c r="N17" s="12">
        <v>29.877658987707701</v>
      </c>
      <c r="O17" s="12">
        <v>29.778884450140101</v>
      </c>
      <c r="P17" s="12">
        <v>99.872196796596896</v>
      </c>
      <c r="Q17" s="12">
        <v>52.8556370697926</v>
      </c>
      <c r="R17" s="12">
        <v>16.183805895683498</v>
      </c>
      <c r="S17" s="12">
        <v>14.284581330804</v>
      </c>
      <c r="T17" s="12">
        <v>16.674805454616099</v>
      </c>
      <c r="U17" s="268">
        <v>99.998829750896306</v>
      </c>
      <c r="W17" s="16">
        <f t="shared" si="0"/>
        <v>67.140218400596595</v>
      </c>
    </row>
    <row r="18" spans="1:23" ht="21" customHeight="1">
      <c r="A18" s="262" t="s">
        <v>350</v>
      </c>
      <c r="B18" s="12">
        <v>92.465380967364695</v>
      </c>
      <c r="C18" s="12">
        <v>2.1508273717639002</v>
      </c>
      <c r="D18" s="12">
        <v>0.93539033320088005</v>
      </c>
      <c r="E18" s="12">
        <v>4.4465554235738596</v>
      </c>
      <c r="F18" s="12">
        <v>99.998154095903303</v>
      </c>
      <c r="G18" s="12">
        <v>4.5741839902726698</v>
      </c>
      <c r="H18" s="12">
        <v>89.5028858972194</v>
      </c>
      <c r="I18" s="12">
        <v>0.810578684417391</v>
      </c>
      <c r="J18" s="12">
        <v>5.1092021827284597</v>
      </c>
      <c r="K18" s="12">
        <v>99.996850754638004</v>
      </c>
      <c r="L18" s="12">
        <v>7.5622453929514499</v>
      </c>
      <c r="M18" s="12">
        <v>33.498483402438602</v>
      </c>
      <c r="N18" s="12">
        <v>29.376147669121899</v>
      </c>
      <c r="O18" s="12">
        <v>29.560643914237399</v>
      </c>
      <c r="P18" s="12">
        <v>99.9975203787494</v>
      </c>
      <c r="Q18" s="12">
        <v>54.578840626898902</v>
      </c>
      <c r="R18" s="12">
        <v>16.340589266213801</v>
      </c>
      <c r="S18" s="12">
        <v>13.2783299700708</v>
      </c>
      <c r="T18" s="12">
        <v>15.802793215246499</v>
      </c>
      <c r="U18" s="268">
        <v>100.00055307843</v>
      </c>
      <c r="W18" s="16">
        <f t="shared" si="0"/>
        <v>67.857170596969695</v>
      </c>
    </row>
    <row r="19" spans="1:23" ht="21" customHeight="1">
      <c r="A19" s="263" t="s">
        <v>351</v>
      </c>
      <c r="B19" s="264">
        <v>92.320502455351502</v>
      </c>
      <c r="C19" s="264">
        <v>2.1356822666611799</v>
      </c>
      <c r="D19" s="264">
        <v>0.94992020130112198</v>
      </c>
      <c r="E19" s="264">
        <v>4.5941254463961902</v>
      </c>
      <c r="F19" s="264">
        <v>100.00023036971</v>
      </c>
      <c r="G19" s="264">
        <v>4.6534233298368504</v>
      </c>
      <c r="H19" s="264">
        <v>89.305122460755697</v>
      </c>
      <c r="I19" s="264">
        <v>0.84764085232152098</v>
      </c>
      <c r="J19" s="264">
        <v>5.1933861471397602</v>
      </c>
      <c r="K19" s="264">
        <v>99.999572790053804</v>
      </c>
      <c r="L19" s="264">
        <v>7.6151074997297501</v>
      </c>
      <c r="M19" s="264">
        <v>33.325032655001699</v>
      </c>
      <c r="N19" s="264">
        <v>29.1929087286825</v>
      </c>
      <c r="O19" s="264">
        <v>29.828478517224902</v>
      </c>
      <c r="P19" s="264">
        <v>99.9615274006389</v>
      </c>
      <c r="Q19" s="264">
        <v>53.698215891973398</v>
      </c>
      <c r="R19" s="264">
        <v>16.303600296427099</v>
      </c>
      <c r="S19" s="264">
        <v>13.216965213009599</v>
      </c>
      <c r="T19" s="264">
        <v>16.780932245731599</v>
      </c>
      <c r="U19" s="269">
        <v>99.999713647141704</v>
      </c>
      <c r="W19" s="16">
        <f t="shared" si="0"/>
        <v>66.915181104983006</v>
      </c>
    </row>
    <row r="20" spans="1:23" ht="21" customHeight="1">
      <c r="A20" s="265" t="s">
        <v>352</v>
      </c>
      <c r="B20" s="264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264"/>
      <c r="U20" s="269"/>
      <c r="W20" s="16">
        <f t="shared" si="0"/>
        <v>0</v>
      </c>
    </row>
    <row r="21" spans="1:23" ht="21" customHeight="1">
      <c r="A21" s="263" t="s">
        <v>353</v>
      </c>
      <c r="B21" s="264">
        <v>92.720985250154101</v>
      </c>
      <c r="C21" s="264">
        <v>1.8932671022904499</v>
      </c>
      <c r="D21" s="264">
        <v>0.91855255250686496</v>
      </c>
      <c r="E21" s="264">
        <v>4.4669516731452399</v>
      </c>
      <c r="F21" s="264">
        <v>99.999756578096594</v>
      </c>
      <c r="G21" s="264">
        <v>4.8868851435863503</v>
      </c>
      <c r="H21" s="264">
        <v>89.186471448894096</v>
      </c>
      <c r="I21" s="264">
        <v>0.93564943710299897</v>
      </c>
      <c r="J21" s="264">
        <v>4.9906945754937002</v>
      </c>
      <c r="K21" s="264">
        <v>99.999700605077095</v>
      </c>
      <c r="L21" s="264">
        <v>7.3830361625909404</v>
      </c>
      <c r="M21" s="264">
        <v>33.165853471820398</v>
      </c>
      <c r="N21" s="264">
        <v>29.4609947921006</v>
      </c>
      <c r="O21" s="264">
        <v>29.994843886853701</v>
      </c>
      <c r="P21" s="264">
        <v>100.004728313366</v>
      </c>
      <c r="Q21" s="264">
        <v>54.482635928904202</v>
      </c>
      <c r="R21" s="264">
        <v>15.892633393668101</v>
      </c>
      <c r="S21" s="264">
        <v>12.5812937583328</v>
      </c>
      <c r="T21" s="264">
        <v>17.043358871548101</v>
      </c>
      <c r="U21" s="269">
        <v>99.999921952453207</v>
      </c>
      <c r="W21" s="16">
        <f t="shared" si="0"/>
        <v>67.063929687237007</v>
      </c>
    </row>
  </sheetData>
  <mergeCells count="6">
    <mergeCell ref="A1:U1"/>
    <mergeCell ref="B2:F2"/>
    <mergeCell ref="G2:K2"/>
    <mergeCell ref="L2:P2"/>
    <mergeCell ref="Q2:U2"/>
    <mergeCell ref="A2:A3"/>
  </mergeCells>
  <phoneticPr fontId="54" type="noConversion"/>
  <pageMargins left="0.70763888888888904" right="0.70763888888888904" top="0.74791666666666701" bottom="0.74791666666666701" header="0.31388888888888899" footer="0.31388888888888899"/>
  <pageSetup paperSize="9" orientation="landscape" horizontalDpi="2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5"/>
  <dimension ref="A1:K112"/>
  <sheetViews>
    <sheetView workbookViewId="0">
      <selection activeCell="D12" sqref="D12"/>
    </sheetView>
  </sheetViews>
  <sheetFormatPr defaultColWidth="9" defaultRowHeight="14.4"/>
  <cols>
    <col min="1" max="1" width="5.88671875" style="230" customWidth="1"/>
    <col min="2" max="2" width="25.44140625" style="229" customWidth="1"/>
    <col min="3" max="16384" width="9" style="229"/>
  </cols>
  <sheetData>
    <row r="1" spans="1:11" s="227" customFormat="1" ht="28.2">
      <c r="A1" s="795" t="s">
        <v>354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</row>
    <row r="2" spans="1:11" s="227" customFormat="1" ht="23.4">
      <c r="A2" s="796" t="s">
        <v>355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</row>
    <row r="3" spans="1:11" s="227" customFormat="1" ht="16.8">
      <c r="A3" s="797" t="s">
        <v>356</v>
      </c>
      <c r="B3" s="797"/>
      <c r="C3" s="797"/>
      <c r="D3" s="797"/>
      <c r="E3" s="797"/>
      <c r="G3" s="231"/>
      <c r="H3" s="232"/>
      <c r="I3" s="232"/>
      <c r="J3" s="234" t="s">
        <v>357</v>
      </c>
      <c r="K3" s="232"/>
    </row>
    <row r="4" spans="1:11" s="227" customFormat="1" ht="16.8">
      <c r="A4" s="233" t="s">
        <v>282</v>
      </c>
      <c r="C4" s="234"/>
      <c r="E4" s="235" t="s">
        <v>358</v>
      </c>
      <c r="F4" s="236"/>
      <c r="G4" s="236"/>
      <c r="H4" s="236"/>
      <c r="I4" s="236"/>
      <c r="K4" s="236"/>
    </row>
    <row r="5" spans="1:11" s="228" customFormat="1" ht="15.6">
      <c r="A5" s="237" t="s">
        <v>177</v>
      </c>
      <c r="B5" s="237" t="s">
        <v>178</v>
      </c>
      <c r="C5" s="237" t="s">
        <v>179</v>
      </c>
      <c r="D5" s="237" t="s">
        <v>180</v>
      </c>
      <c r="E5" s="237" t="s">
        <v>181</v>
      </c>
      <c r="F5" s="237" t="s">
        <v>182</v>
      </c>
      <c r="G5" s="237" t="s">
        <v>183</v>
      </c>
      <c r="H5" s="237" t="s">
        <v>184</v>
      </c>
      <c r="I5" s="237" t="s">
        <v>185</v>
      </c>
      <c r="J5" s="237" t="s">
        <v>186</v>
      </c>
      <c r="K5" s="237" t="s">
        <v>187</v>
      </c>
    </row>
    <row r="6" spans="1:11" ht="15.6">
      <c r="A6" s="238"/>
      <c r="B6" s="239" t="s">
        <v>188</v>
      </c>
      <c r="C6" s="240"/>
      <c r="D6" s="46"/>
      <c r="E6" s="241"/>
      <c r="F6" s="241"/>
      <c r="G6" s="240"/>
      <c r="H6" s="241"/>
      <c r="I6" s="255"/>
      <c r="J6" s="12"/>
      <c r="K6" s="12"/>
    </row>
    <row r="7" spans="1:11" s="228" customFormat="1" ht="15.6">
      <c r="A7" s="238">
        <v>1</v>
      </c>
      <c r="B7" s="242" t="s">
        <v>189</v>
      </c>
      <c r="C7" s="240"/>
      <c r="D7" s="241"/>
      <c r="E7" s="243"/>
      <c r="F7" s="243"/>
      <c r="G7" s="243"/>
      <c r="H7" s="244"/>
      <c r="I7" s="256"/>
      <c r="J7" s="243"/>
      <c r="K7" s="257"/>
    </row>
    <row r="8" spans="1:11" s="228" customFormat="1" ht="15.6">
      <c r="A8" s="245">
        <v>1.1000000000000001</v>
      </c>
      <c r="B8" s="66" t="s">
        <v>190</v>
      </c>
      <c r="C8" s="240" t="s">
        <v>191</v>
      </c>
      <c r="D8" s="246"/>
      <c r="E8" s="243"/>
      <c r="F8" s="243"/>
      <c r="G8" s="243"/>
      <c r="H8" s="246"/>
      <c r="I8" s="256"/>
      <c r="J8" s="243"/>
      <c r="K8" s="257"/>
    </row>
    <row r="9" spans="1:11" s="228" customFormat="1" ht="15.6">
      <c r="A9" s="238">
        <v>2</v>
      </c>
      <c r="B9" s="242" t="s">
        <v>192</v>
      </c>
      <c r="C9" s="240" t="s">
        <v>191</v>
      </c>
      <c r="D9" s="241"/>
      <c r="E9" s="243"/>
      <c r="F9" s="243"/>
      <c r="G9" s="243"/>
      <c r="H9" s="246"/>
      <c r="I9" s="256"/>
      <c r="J9" s="243"/>
      <c r="K9" s="257"/>
    </row>
    <row r="10" spans="1:11" s="228" customFormat="1" ht="15.6">
      <c r="A10" s="238">
        <v>3</v>
      </c>
      <c r="B10" s="242" t="s">
        <v>193</v>
      </c>
      <c r="C10" s="241"/>
      <c r="D10" s="241"/>
      <c r="E10" s="243"/>
      <c r="F10" s="243"/>
      <c r="G10" s="243"/>
      <c r="H10" s="244"/>
      <c r="I10" s="256"/>
      <c r="J10" s="243"/>
      <c r="K10" s="257"/>
    </row>
    <row r="11" spans="1:11" s="228" customFormat="1" ht="15.6">
      <c r="A11" s="245">
        <v>3.1</v>
      </c>
      <c r="B11" s="66" t="s">
        <v>194</v>
      </c>
      <c r="C11" s="240" t="s">
        <v>191</v>
      </c>
      <c r="D11" s="241"/>
      <c r="E11" s="243"/>
      <c r="F11" s="243"/>
      <c r="G11" s="243" t="e">
        <f>F11/D11*100</f>
        <v>#DIV/0!</v>
      </c>
      <c r="H11" s="244"/>
      <c r="I11" s="256"/>
      <c r="J11" s="243" t="e">
        <f>I11/H11*100</f>
        <v>#DIV/0!</v>
      </c>
      <c r="K11" s="257"/>
    </row>
    <row r="12" spans="1:11" s="228" customFormat="1" ht="15.6">
      <c r="A12" s="245"/>
      <c r="B12" s="66" t="s">
        <v>195</v>
      </c>
      <c r="C12" s="240" t="s">
        <v>191</v>
      </c>
      <c r="D12" s="241"/>
      <c r="E12" s="243"/>
      <c r="F12" s="243"/>
      <c r="G12" s="243" t="e">
        <f>F12/D12*100</f>
        <v>#DIV/0!</v>
      </c>
      <c r="H12" s="244"/>
      <c r="I12" s="256"/>
      <c r="J12" s="243" t="e">
        <f>I12/H12*100</f>
        <v>#DIV/0!</v>
      </c>
      <c r="K12" s="257"/>
    </row>
    <row r="13" spans="1:11" s="228" customFormat="1" ht="15.6">
      <c r="A13" s="245"/>
      <c r="B13" s="66" t="s">
        <v>154</v>
      </c>
      <c r="C13" s="240" t="s">
        <v>196</v>
      </c>
      <c r="D13" s="241"/>
      <c r="E13" s="243"/>
      <c r="F13" s="243"/>
      <c r="G13" s="243" t="e">
        <f>F13/D13*100</f>
        <v>#DIV/0!</v>
      </c>
      <c r="H13" s="244"/>
      <c r="I13" s="256"/>
      <c r="J13" s="243" t="e">
        <f>I13/H13*100</f>
        <v>#DIV/0!</v>
      </c>
      <c r="K13" s="257"/>
    </row>
    <row r="14" spans="1:11" s="228" customFormat="1" ht="15.6">
      <c r="A14" s="245">
        <v>3.2</v>
      </c>
      <c r="B14" s="66" t="s">
        <v>197</v>
      </c>
      <c r="C14" s="240" t="s">
        <v>196</v>
      </c>
      <c r="D14" s="241"/>
      <c r="E14" s="243"/>
      <c r="F14" s="243"/>
      <c r="G14" s="243" t="e">
        <f>F14/D14*100</f>
        <v>#DIV/0!</v>
      </c>
      <c r="H14" s="247"/>
      <c r="I14" s="256"/>
      <c r="J14" s="243" t="e">
        <f>I14/H14*100</f>
        <v>#DIV/0!</v>
      </c>
      <c r="K14" s="257"/>
    </row>
    <row r="15" spans="1:11" s="228" customFormat="1" ht="15.6">
      <c r="A15" s="245"/>
      <c r="B15" s="66" t="s">
        <v>198</v>
      </c>
      <c r="C15" s="240" t="s">
        <v>191</v>
      </c>
      <c r="D15" s="246"/>
      <c r="E15" s="243"/>
      <c r="F15" s="243"/>
      <c r="G15" s="243" t="e">
        <f t="shared" ref="G15:G21" si="0">F15/D15*100</f>
        <v>#DIV/0!</v>
      </c>
      <c r="H15" s="246"/>
      <c r="I15" s="256"/>
      <c r="J15" s="243" t="e">
        <f t="shared" ref="J15:J21" si="1">I15/H15*100</f>
        <v>#DIV/0!</v>
      </c>
      <c r="K15" s="257"/>
    </row>
    <row r="16" spans="1:11" s="228" customFormat="1" ht="15.6">
      <c r="A16" s="245">
        <v>3.3</v>
      </c>
      <c r="B16" s="66" t="s">
        <v>199</v>
      </c>
      <c r="C16" s="240" t="s">
        <v>196</v>
      </c>
      <c r="D16" s="241"/>
      <c r="E16" s="243"/>
      <c r="F16" s="243"/>
      <c r="G16" s="243" t="e">
        <f t="shared" si="0"/>
        <v>#DIV/0!</v>
      </c>
      <c r="H16" s="247"/>
      <c r="I16" s="256"/>
      <c r="J16" s="243" t="e">
        <f t="shared" si="1"/>
        <v>#DIV/0!</v>
      </c>
      <c r="K16" s="257"/>
    </row>
    <row r="17" spans="1:11" s="228" customFormat="1" ht="15.6">
      <c r="A17" s="245"/>
      <c r="B17" s="66" t="s">
        <v>200</v>
      </c>
      <c r="C17" s="240" t="s">
        <v>191</v>
      </c>
      <c r="D17" s="246"/>
      <c r="E17" s="243"/>
      <c r="F17" s="243"/>
      <c r="G17" s="243" t="e">
        <f t="shared" si="0"/>
        <v>#DIV/0!</v>
      </c>
      <c r="H17" s="246"/>
      <c r="I17" s="256"/>
      <c r="J17" s="243" t="e">
        <f t="shared" si="1"/>
        <v>#DIV/0!</v>
      </c>
      <c r="K17" s="257"/>
    </row>
    <row r="18" spans="1:11" s="228" customFormat="1" ht="15.6">
      <c r="A18" s="245">
        <v>3.4</v>
      </c>
      <c r="B18" s="66" t="s">
        <v>201</v>
      </c>
      <c r="C18" s="240" t="s">
        <v>196</v>
      </c>
      <c r="D18" s="241"/>
      <c r="E18" s="243"/>
      <c r="F18" s="243"/>
      <c r="G18" s="243" t="e">
        <f t="shared" si="0"/>
        <v>#DIV/0!</v>
      </c>
      <c r="H18" s="244"/>
      <c r="I18" s="256"/>
      <c r="J18" s="243" t="e">
        <f t="shared" si="1"/>
        <v>#DIV/0!</v>
      </c>
      <c r="K18" s="257"/>
    </row>
    <row r="19" spans="1:11" s="228" customFormat="1" ht="15.6">
      <c r="A19" s="245"/>
      <c r="B19" s="66" t="s">
        <v>202</v>
      </c>
      <c r="C19" s="240" t="s">
        <v>191</v>
      </c>
      <c r="D19" s="241"/>
      <c r="E19" s="243"/>
      <c r="F19" s="243"/>
      <c r="G19" s="243" t="e">
        <f t="shared" si="0"/>
        <v>#DIV/0!</v>
      </c>
      <c r="H19" s="244"/>
      <c r="I19" s="256"/>
      <c r="J19" s="243" t="e">
        <f t="shared" si="1"/>
        <v>#DIV/0!</v>
      </c>
      <c r="K19" s="257"/>
    </row>
    <row r="20" spans="1:11" s="228" customFormat="1" ht="15.6">
      <c r="A20" s="245">
        <v>3.5</v>
      </c>
      <c r="B20" s="66" t="s">
        <v>203</v>
      </c>
      <c r="C20" s="240" t="s">
        <v>204</v>
      </c>
      <c r="D20" s="241"/>
      <c r="E20" s="243"/>
      <c r="F20" s="243"/>
      <c r="G20" s="243" t="e">
        <f t="shared" si="0"/>
        <v>#DIV/0!</v>
      </c>
      <c r="H20" s="244"/>
      <c r="I20" s="256"/>
      <c r="J20" s="243" t="e">
        <f t="shared" si="1"/>
        <v>#DIV/0!</v>
      </c>
      <c r="K20" s="257"/>
    </row>
    <row r="21" spans="1:11" s="228" customFormat="1" ht="15.6">
      <c r="A21" s="245"/>
      <c r="B21" s="66" t="s">
        <v>205</v>
      </c>
      <c r="C21" s="240" t="s">
        <v>206</v>
      </c>
      <c r="D21" s="241"/>
      <c r="E21" s="243"/>
      <c r="F21" s="243"/>
      <c r="G21" s="243" t="e">
        <f t="shared" si="0"/>
        <v>#DIV/0!</v>
      </c>
      <c r="H21" s="244"/>
      <c r="I21" s="256"/>
      <c r="J21" s="243" t="e">
        <f t="shared" si="1"/>
        <v>#DIV/0!</v>
      </c>
      <c r="K21" s="257"/>
    </row>
    <row r="22" spans="1:11" s="228" customFormat="1" ht="15.6">
      <c r="A22" s="245"/>
      <c r="B22" s="66"/>
      <c r="C22" s="240"/>
      <c r="D22" s="241"/>
      <c r="E22" s="243"/>
      <c r="F22" s="243"/>
      <c r="G22" s="243"/>
      <c r="H22" s="244"/>
      <c r="I22" s="256"/>
      <c r="J22" s="243"/>
      <c r="K22" s="257"/>
    </row>
    <row r="23" spans="1:11" s="228" customFormat="1" ht="15.6">
      <c r="A23" s="238">
        <v>4</v>
      </c>
      <c r="B23" s="242" t="s">
        <v>207</v>
      </c>
      <c r="C23" s="241"/>
      <c r="D23" s="241"/>
      <c r="E23" s="243"/>
      <c r="F23" s="243"/>
      <c r="G23" s="243"/>
      <c r="H23" s="244"/>
      <c r="I23" s="256"/>
      <c r="J23" s="243"/>
      <c r="K23" s="257"/>
    </row>
    <row r="24" spans="1:11" ht="15.6">
      <c r="A24" s="245">
        <v>4.0999999999999996</v>
      </c>
      <c r="B24" s="242" t="s">
        <v>64</v>
      </c>
      <c r="C24" s="240"/>
      <c r="D24" s="241"/>
      <c r="E24" s="12"/>
      <c r="F24" s="12"/>
      <c r="G24" s="243"/>
      <c r="H24" s="46"/>
      <c r="I24" s="12"/>
      <c r="J24" s="243"/>
      <c r="K24" s="12"/>
    </row>
    <row r="25" spans="1:11" ht="15.6">
      <c r="A25" s="248" t="s">
        <v>208</v>
      </c>
      <c r="B25" s="66" t="s">
        <v>194</v>
      </c>
      <c r="C25" s="240" t="s">
        <v>191</v>
      </c>
      <c r="D25" s="241"/>
      <c r="E25" s="12"/>
      <c r="F25" s="12"/>
      <c r="G25" s="243" t="e">
        <f>F25/D25*100</f>
        <v>#DIV/0!</v>
      </c>
      <c r="H25" s="46"/>
      <c r="I25" s="12"/>
      <c r="J25" s="243" t="e">
        <f>I25/H25*100</f>
        <v>#DIV/0!</v>
      </c>
      <c r="K25" s="12"/>
    </row>
    <row r="26" spans="1:11" ht="15.6">
      <c r="A26" s="249"/>
      <c r="B26" s="250" t="s">
        <v>195</v>
      </c>
      <c r="C26" s="240" t="s">
        <v>191</v>
      </c>
      <c r="D26" s="246"/>
      <c r="E26" s="12"/>
      <c r="F26" s="12"/>
      <c r="G26" s="243" t="e">
        <f>F26/D26*100</f>
        <v>#DIV/0!</v>
      </c>
      <c r="H26" s="246"/>
      <c r="I26" s="12"/>
      <c r="J26" s="243" t="e">
        <f>I26/H26*100</f>
        <v>#DIV/0!</v>
      </c>
      <c r="K26" s="12"/>
    </row>
    <row r="27" spans="1:11" ht="15.6">
      <c r="A27" s="251"/>
      <c r="B27" s="252" t="s">
        <v>20</v>
      </c>
      <c r="C27" s="240" t="s">
        <v>196</v>
      </c>
      <c r="D27" s="246"/>
      <c r="E27" s="12"/>
      <c r="F27" s="12"/>
      <c r="G27" s="243" t="e">
        <f>F27/D27*100</f>
        <v>#DIV/0!</v>
      </c>
      <c r="H27" s="246"/>
      <c r="I27" s="12"/>
      <c r="J27" s="243" t="e">
        <f>I27/H27*100</f>
        <v>#DIV/0!</v>
      </c>
      <c r="K27" s="12"/>
    </row>
    <row r="28" spans="1:11" s="228" customFormat="1" ht="15.6">
      <c r="A28" s="245" t="s">
        <v>209</v>
      </c>
      <c r="B28" s="253" t="s">
        <v>197</v>
      </c>
      <c r="C28" s="240" t="s">
        <v>196</v>
      </c>
      <c r="D28" s="254"/>
      <c r="E28" s="243"/>
      <c r="F28" s="243"/>
      <c r="G28" s="243" t="e">
        <f t="shared" ref="G28:G35" si="2">F28/D28*100</f>
        <v>#DIV/0!</v>
      </c>
      <c r="H28" s="254"/>
      <c r="I28" s="256"/>
      <c r="J28" s="243" t="e">
        <f t="shared" ref="J28:J35" si="3">I28/H28*100</f>
        <v>#DIV/0!</v>
      </c>
      <c r="K28" s="257"/>
    </row>
    <row r="29" spans="1:11" s="228" customFormat="1" ht="15.6">
      <c r="A29" s="245"/>
      <c r="B29" s="66" t="s">
        <v>198</v>
      </c>
      <c r="C29" s="240" t="s">
        <v>191</v>
      </c>
      <c r="D29" s="246"/>
      <c r="E29" s="243"/>
      <c r="F29" s="243"/>
      <c r="G29" s="243" t="e">
        <f t="shared" si="2"/>
        <v>#DIV/0!</v>
      </c>
      <c r="H29" s="246"/>
      <c r="I29" s="256"/>
      <c r="J29" s="243" t="e">
        <f t="shared" si="3"/>
        <v>#DIV/0!</v>
      </c>
      <c r="K29" s="257"/>
    </row>
    <row r="30" spans="1:11" s="228" customFormat="1" ht="15.6">
      <c r="A30" s="245" t="s">
        <v>210</v>
      </c>
      <c r="B30" s="66" t="s">
        <v>199</v>
      </c>
      <c r="C30" s="240" t="s">
        <v>196</v>
      </c>
      <c r="D30" s="241"/>
      <c r="E30" s="243"/>
      <c r="F30" s="243"/>
      <c r="G30" s="243" t="e">
        <f t="shared" si="2"/>
        <v>#DIV/0!</v>
      </c>
      <c r="H30" s="244"/>
      <c r="I30" s="256"/>
      <c r="J30" s="243" t="e">
        <f t="shared" si="3"/>
        <v>#DIV/0!</v>
      </c>
      <c r="K30" s="257"/>
    </row>
    <row r="31" spans="1:11" s="228" customFormat="1" ht="15.6">
      <c r="A31" s="245"/>
      <c r="B31" s="66" t="s">
        <v>200</v>
      </c>
      <c r="C31" s="240" t="s">
        <v>191</v>
      </c>
      <c r="D31" s="241"/>
      <c r="E31" s="243"/>
      <c r="F31" s="243"/>
      <c r="G31" s="243" t="e">
        <f t="shared" si="2"/>
        <v>#DIV/0!</v>
      </c>
      <c r="H31" s="244"/>
      <c r="I31" s="256"/>
      <c r="J31" s="243" t="e">
        <f t="shared" si="3"/>
        <v>#DIV/0!</v>
      </c>
      <c r="K31" s="257"/>
    </row>
    <row r="32" spans="1:11" s="228" customFormat="1" ht="15.6">
      <c r="A32" s="245" t="s">
        <v>211</v>
      </c>
      <c r="B32" s="66" t="s">
        <v>201</v>
      </c>
      <c r="C32" s="240" t="s">
        <v>196</v>
      </c>
      <c r="D32" s="241"/>
      <c r="E32" s="243"/>
      <c r="F32" s="243"/>
      <c r="G32" s="243" t="e">
        <f t="shared" si="2"/>
        <v>#DIV/0!</v>
      </c>
      <c r="H32" s="244"/>
      <c r="I32" s="256"/>
      <c r="J32" s="243" t="e">
        <f t="shared" si="3"/>
        <v>#DIV/0!</v>
      </c>
      <c r="K32" s="257"/>
    </row>
    <row r="33" spans="1:11" s="228" customFormat="1" ht="15.6">
      <c r="A33" s="245"/>
      <c r="B33" s="66" t="s">
        <v>202</v>
      </c>
      <c r="C33" s="240" t="s">
        <v>191</v>
      </c>
      <c r="D33" s="241"/>
      <c r="E33" s="243"/>
      <c r="F33" s="243"/>
      <c r="G33" s="243" t="e">
        <f t="shared" si="2"/>
        <v>#DIV/0!</v>
      </c>
      <c r="H33" s="244"/>
      <c r="I33" s="256"/>
      <c r="J33" s="243" t="e">
        <f t="shared" si="3"/>
        <v>#DIV/0!</v>
      </c>
      <c r="K33" s="257"/>
    </row>
    <row r="34" spans="1:11" s="228" customFormat="1" ht="15.6">
      <c r="A34" s="245" t="s">
        <v>212</v>
      </c>
      <c r="B34" s="66" t="s">
        <v>203</v>
      </c>
      <c r="C34" s="240" t="s">
        <v>204</v>
      </c>
      <c r="D34" s="241"/>
      <c r="E34" s="243"/>
      <c r="F34" s="243"/>
      <c r="G34" s="243" t="e">
        <f t="shared" si="2"/>
        <v>#DIV/0!</v>
      </c>
      <c r="H34" s="244"/>
      <c r="I34" s="256"/>
      <c r="J34" s="243" t="e">
        <f t="shared" si="3"/>
        <v>#DIV/0!</v>
      </c>
      <c r="K34" s="257"/>
    </row>
    <row r="35" spans="1:11" s="228" customFormat="1" ht="15.6">
      <c r="A35" s="245"/>
      <c r="B35" s="66" t="s">
        <v>205</v>
      </c>
      <c r="C35" s="240" t="s">
        <v>206</v>
      </c>
      <c r="D35" s="241"/>
      <c r="E35" s="243"/>
      <c r="F35" s="243"/>
      <c r="G35" s="243" t="e">
        <f t="shared" si="2"/>
        <v>#DIV/0!</v>
      </c>
      <c r="H35" s="244"/>
      <c r="I35" s="256"/>
      <c r="J35" s="243" t="e">
        <f t="shared" si="3"/>
        <v>#DIV/0!</v>
      </c>
      <c r="K35" s="257"/>
    </row>
    <row r="36" spans="1:11" ht="15.6">
      <c r="A36" s="245">
        <v>4.2</v>
      </c>
      <c r="B36" s="242" t="s">
        <v>65</v>
      </c>
      <c r="C36" s="240"/>
      <c r="D36" s="46"/>
      <c r="E36" s="12"/>
      <c r="F36" s="12"/>
      <c r="G36" s="243"/>
      <c r="H36" s="46"/>
      <c r="I36" s="12"/>
      <c r="J36" s="243"/>
      <c r="K36" s="12"/>
    </row>
    <row r="37" spans="1:11" ht="15.6">
      <c r="A37" s="245" t="s">
        <v>213</v>
      </c>
      <c r="B37" s="66" t="s">
        <v>194</v>
      </c>
      <c r="C37" s="240" t="s">
        <v>191</v>
      </c>
      <c r="D37" s="46"/>
      <c r="E37" s="12"/>
      <c r="F37" s="12"/>
      <c r="G37" s="243" t="e">
        <f>F37/D37*100</f>
        <v>#DIV/0!</v>
      </c>
      <c r="H37" s="46"/>
      <c r="I37" s="12"/>
      <c r="J37" s="243" t="e">
        <f>I37/H37*100</f>
        <v>#DIV/0!</v>
      </c>
      <c r="K37" s="12"/>
    </row>
    <row r="38" spans="1:11" ht="15.6">
      <c r="A38" s="245"/>
      <c r="B38" s="66" t="s">
        <v>195</v>
      </c>
      <c r="C38" s="240" t="s">
        <v>191</v>
      </c>
      <c r="D38" s="246"/>
      <c r="E38" s="12"/>
      <c r="F38" s="12"/>
      <c r="G38" s="243" t="e">
        <f>F38/D38*100</f>
        <v>#DIV/0!</v>
      </c>
      <c r="H38" s="246"/>
      <c r="I38" s="12"/>
      <c r="J38" s="243" t="e">
        <f>I38/H38*100</f>
        <v>#DIV/0!</v>
      </c>
      <c r="K38" s="12"/>
    </row>
    <row r="39" spans="1:11" ht="15.6">
      <c r="A39" s="245"/>
      <c r="B39" s="66" t="s">
        <v>20</v>
      </c>
      <c r="C39" s="240" t="s">
        <v>196</v>
      </c>
      <c r="D39" s="246"/>
      <c r="E39" s="12"/>
      <c r="F39" s="12"/>
      <c r="G39" s="243" t="e">
        <f>F39/D39*100</f>
        <v>#DIV/0!</v>
      </c>
      <c r="H39" s="246"/>
      <c r="I39" s="12"/>
      <c r="J39" s="243" t="e">
        <f>I39/H39*100</f>
        <v>#DIV/0!</v>
      </c>
      <c r="K39" s="12"/>
    </row>
    <row r="40" spans="1:11" s="228" customFormat="1" ht="15.6">
      <c r="A40" s="245" t="s">
        <v>214</v>
      </c>
      <c r="B40" s="66" t="s">
        <v>197</v>
      </c>
      <c r="C40" s="240" t="s">
        <v>196</v>
      </c>
      <c r="D40" s="241"/>
      <c r="E40" s="243"/>
      <c r="F40" s="243"/>
      <c r="G40" s="243" t="e">
        <f t="shared" ref="G40:G47" si="4">F40/D40*100</f>
        <v>#DIV/0!</v>
      </c>
      <c r="H40" s="244"/>
      <c r="I40" s="256"/>
      <c r="J40" s="243" t="e">
        <f t="shared" ref="J40:J47" si="5">I40/H40*100</f>
        <v>#DIV/0!</v>
      </c>
      <c r="K40" s="257"/>
    </row>
    <row r="41" spans="1:11" s="228" customFormat="1" ht="15.6">
      <c r="A41" s="245"/>
      <c r="B41" s="66" t="s">
        <v>198</v>
      </c>
      <c r="C41" s="240" t="s">
        <v>191</v>
      </c>
      <c r="D41" s="241"/>
      <c r="E41" s="243"/>
      <c r="F41" s="243"/>
      <c r="G41" s="243" t="e">
        <f t="shared" si="4"/>
        <v>#DIV/0!</v>
      </c>
      <c r="H41" s="244"/>
      <c r="I41" s="256"/>
      <c r="J41" s="243" t="e">
        <f t="shared" si="5"/>
        <v>#DIV/0!</v>
      </c>
      <c r="K41" s="257"/>
    </row>
    <row r="42" spans="1:11" s="228" customFormat="1" ht="15.6">
      <c r="A42" s="245" t="s">
        <v>215</v>
      </c>
      <c r="B42" s="66" t="s">
        <v>199</v>
      </c>
      <c r="C42" s="240" t="s">
        <v>196</v>
      </c>
      <c r="D42" s="254"/>
      <c r="E42" s="243"/>
      <c r="F42" s="243"/>
      <c r="G42" s="243" t="e">
        <f t="shared" si="4"/>
        <v>#DIV/0!</v>
      </c>
      <c r="H42" s="254"/>
      <c r="I42" s="256"/>
      <c r="J42" s="243" t="e">
        <f t="shared" si="5"/>
        <v>#DIV/0!</v>
      </c>
      <c r="K42" s="257"/>
    </row>
    <row r="43" spans="1:11" s="228" customFormat="1" ht="15.6">
      <c r="A43" s="245"/>
      <c r="B43" s="66" t="s">
        <v>200</v>
      </c>
      <c r="C43" s="240" t="s">
        <v>191</v>
      </c>
      <c r="D43" s="246"/>
      <c r="E43" s="243"/>
      <c r="F43" s="243"/>
      <c r="G43" s="243" t="e">
        <f t="shared" si="4"/>
        <v>#DIV/0!</v>
      </c>
      <c r="H43" s="246"/>
      <c r="I43" s="256"/>
      <c r="J43" s="243" t="e">
        <f t="shared" si="5"/>
        <v>#DIV/0!</v>
      </c>
      <c r="K43" s="257"/>
    </row>
    <row r="44" spans="1:11" s="228" customFormat="1" ht="15.6">
      <c r="A44" s="245" t="s">
        <v>216</v>
      </c>
      <c r="B44" s="66" t="s">
        <v>201</v>
      </c>
      <c r="C44" s="240" t="s">
        <v>196</v>
      </c>
      <c r="D44" s="241"/>
      <c r="E44" s="243"/>
      <c r="F44" s="243"/>
      <c r="G44" s="243" t="e">
        <f t="shared" si="4"/>
        <v>#DIV/0!</v>
      </c>
      <c r="H44" s="244"/>
      <c r="I44" s="256"/>
      <c r="J44" s="243" t="e">
        <f t="shared" si="5"/>
        <v>#DIV/0!</v>
      </c>
      <c r="K44" s="257"/>
    </row>
    <row r="45" spans="1:11" s="228" customFormat="1" ht="15.6">
      <c r="A45" s="245"/>
      <c r="B45" s="66" t="s">
        <v>202</v>
      </c>
      <c r="C45" s="240" t="s">
        <v>191</v>
      </c>
      <c r="D45" s="241"/>
      <c r="E45" s="243"/>
      <c r="F45" s="243"/>
      <c r="G45" s="243" t="e">
        <f t="shared" si="4"/>
        <v>#DIV/0!</v>
      </c>
      <c r="H45" s="244"/>
      <c r="I45" s="256"/>
      <c r="J45" s="243" t="e">
        <f t="shared" si="5"/>
        <v>#DIV/0!</v>
      </c>
      <c r="K45" s="257"/>
    </row>
    <row r="46" spans="1:11" s="228" customFormat="1" ht="15.6">
      <c r="A46" s="245" t="s">
        <v>217</v>
      </c>
      <c r="B46" s="66" t="s">
        <v>203</v>
      </c>
      <c r="C46" s="240" t="s">
        <v>204</v>
      </c>
      <c r="D46" s="241"/>
      <c r="E46" s="243"/>
      <c r="F46" s="243"/>
      <c r="G46" s="243" t="e">
        <f t="shared" si="4"/>
        <v>#DIV/0!</v>
      </c>
      <c r="H46" s="244"/>
      <c r="I46" s="256"/>
      <c r="J46" s="243" t="e">
        <f t="shared" si="5"/>
        <v>#DIV/0!</v>
      </c>
      <c r="K46" s="257"/>
    </row>
    <row r="47" spans="1:11" s="228" customFormat="1" ht="15.6">
      <c r="A47" s="245"/>
      <c r="B47" s="66" t="s">
        <v>205</v>
      </c>
      <c r="C47" s="240" t="s">
        <v>206</v>
      </c>
      <c r="D47" s="241"/>
      <c r="E47" s="243"/>
      <c r="F47" s="243"/>
      <c r="G47" s="243" t="e">
        <f t="shared" si="4"/>
        <v>#DIV/0!</v>
      </c>
      <c r="H47" s="244"/>
      <c r="I47" s="256"/>
      <c r="J47" s="243" t="e">
        <f t="shared" si="5"/>
        <v>#DIV/0!</v>
      </c>
      <c r="K47" s="257"/>
    </row>
    <row r="48" spans="1:11" ht="15.6">
      <c r="A48" s="245">
        <v>4.3</v>
      </c>
      <c r="B48" s="242" t="s">
        <v>218</v>
      </c>
      <c r="C48" s="240"/>
      <c r="D48" s="246"/>
      <c r="E48" s="12"/>
      <c r="F48" s="12"/>
      <c r="G48" s="243"/>
      <c r="H48" s="246"/>
      <c r="I48" s="12"/>
      <c r="J48" s="243"/>
      <c r="K48" s="12"/>
    </row>
    <row r="49" spans="1:11" ht="15.6">
      <c r="A49" s="245" t="s">
        <v>219</v>
      </c>
      <c r="B49" s="66" t="s">
        <v>194</v>
      </c>
      <c r="C49" s="240" t="s">
        <v>191</v>
      </c>
      <c r="D49" s="246"/>
      <c r="E49" s="12"/>
      <c r="F49" s="12"/>
      <c r="G49" s="243" t="e">
        <f>F49/D49*100</f>
        <v>#DIV/0!</v>
      </c>
      <c r="H49" s="246"/>
      <c r="I49" s="12"/>
      <c r="J49" s="243" t="e">
        <f>I49/H49*100</f>
        <v>#DIV/0!</v>
      </c>
      <c r="K49" s="12"/>
    </row>
    <row r="50" spans="1:11" ht="15.6">
      <c r="A50" s="245"/>
      <c r="B50" s="66" t="s">
        <v>195</v>
      </c>
      <c r="C50" s="240" t="s">
        <v>191</v>
      </c>
      <c r="D50" s="246"/>
      <c r="E50" s="12"/>
      <c r="F50" s="12"/>
      <c r="G50" s="243" t="e">
        <f>F50/D50*100</f>
        <v>#DIV/0!</v>
      </c>
      <c r="H50" s="246"/>
      <c r="I50" s="12"/>
      <c r="J50" s="243" t="e">
        <f>I50/H50*100</f>
        <v>#DIV/0!</v>
      </c>
      <c r="K50" s="12"/>
    </row>
    <row r="51" spans="1:11" ht="15.6">
      <c r="A51" s="245"/>
      <c r="B51" s="66" t="s">
        <v>20</v>
      </c>
      <c r="C51" s="240" t="s">
        <v>196</v>
      </c>
      <c r="D51" s="246"/>
      <c r="E51" s="12"/>
      <c r="F51" s="12"/>
      <c r="G51" s="243" t="e">
        <f>F51/D51*100</f>
        <v>#DIV/0!</v>
      </c>
      <c r="H51" s="246"/>
      <c r="I51" s="12"/>
      <c r="J51" s="243" t="e">
        <f>I51/H51*100</f>
        <v>#DIV/0!</v>
      </c>
      <c r="K51" s="12"/>
    </row>
    <row r="52" spans="1:11" s="228" customFormat="1" ht="15.6">
      <c r="A52" s="245" t="s">
        <v>220</v>
      </c>
      <c r="B52" s="66" t="s">
        <v>197</v>
      </c>
      <c r="C52" s="240" t="s">
        <v>196</v>
      </c>
      <c r="D52" s="241"/>
      <c r="E52" s="243"/>
      <c r="F52" s="243"/>
      <c r="G52" s="243" t="e">
        <f t="shared" ref="G52:G59" si="6">F52/D52*100</f>
        <v>#DIV/0!</v>
      </c>
      <c r="H52" s="244"/>
      <c r="I52" s="256"/>
      <c r="J52" s="243" t="e">
        <f t="shared" ref="J52:J59" si="7">I52/H52*100</f>
        <v>#DIV/0!</v>
      </c>
      <c r="K52" s="257"/>
    </row>
    <row r="53" spans="1:11" s="228" customFormat="1" ht="15.6">
      <c r="A53" s="245"/>
      <c r="B53" s="66" t="s">
        <v>198</v>
      </c>
      <c r="C53" s="240" t="s">
        <v>191</v>
      </c>
      <c r="D53" s="241"/>
      <c r="E53" s="243"/>
      <c r="F53" s="243"/>
      <c r="G53" s="243" t="e">
        <f t="shared" si="6"/>
        <v>#DIV/0!</v>
      </c>
      <c r="H53" s="244"/>
      <c r="I53" s="256"/>
      <c r="J53" s="243" t="e">
        <f t="shared" si="7"/>
        <v>#DIV/0!</v>
      </c>
      <c r="K53" s="257"/>
    </row>
    <row r="54" spans="1:11" s="228" customFormat="1" ht="15.6">
      <c r="A54" s="245" t="s">
        <v>221</v>
      </c>
      <c r="B54" s="66" t="s">
        <v>199</v>
      </c>
      <c r="C54" s="240" t="s">
        <v>196</v>
      </c>
      <c r="D54" s="241"/>
      <c r="E54" s="243"/>
      <c r="F54" s="243"/>
      <c r="G54" s="243" t="e">
        <f t="shared" si="6"/>
        <v>#DIV/0!</v>
      </c>
      <c r="H54" s="244"/>
      <c r="I54" s="256"/>
      <c r="J54" s="243" t="e">
        <f t="shared" si="7"/>
        <v>#DIV/0!</v>
      </c>
      <c r="K54" s="257"/>
    </row>
    <row r="55" spans="1:11" s="228" customFormat="1" ht="15.6">
      <c r="A55" s="245"/>
      <c r="B55" s="66" t="s">
        <v>200</v>
      </c>
      <c r="C55" s="240" t="s">
        <v>191</v>
      </c>
      <c r="D55" s="241"/>
      <c r="E55" s="243"/>
      <c r="F55" s="243"/>
      <c r="G55" s="243" t="e">
        <f t="shared" si="6"/>
        <v>#DIV/0!</v>
      </c>
      <c r="H55" s="244"/>
      <c r="I55" s="256"/>
      <c r="J55" s="243" t="e">
        <f t="shared" si="7"/>
        <v>#DIV/0!</v>
      </c>
      <c r="K55" s="257"/>
    </row>
    <row r="56" spans="1:11" s="228" customFormat="1" ht="15.6">
      <c r="A56" s="245" t="s">
        <v>222</v>
      </c>
      <c r="B56" s="66" t="s">
        <v>201</v>
      </c>
      <c r="C56" s="240" t="s">
        <v>196</v>
      </c>
      <c r="D56" s="254"/>
      <c r="E56" s="243"/>
      <c r="F56" s="243"/>
      <c r="G56" s="243" t="e">
        <f t="shared" si="6"/>
        <v>#DIV/0!</v>
      </c>
      <c r="H56" s="254"/>
      <c r="I56" s="256"/>
      <c r="J56" s="243" t="e">
        <f t="shared" si="7"/>
        <v>#DIV/0!</v>
      </c>
      <c r="K56" s="257"/>
    </row>
    <row r="57" spans="1:11" s="228" customFormat="1" ht="15.6">
      <c r="A57" s="245"/>
      <c r="B57" s="66" t="s">
        <v>202</v>
      </c>
      <c r="C57" s="240" t="s">
        <v>191</v>
      </c>
      <c r="D57" s="246"/>
      <c r="E57" s="243"/>
      <c r="F57" s="243"/>
      <c r="G57" s="243" t="e">
        <f t="shared" si="6"/>
        <v>#DIV/0!</v>
      </c>
      <c r="H57" s="246"/>
      <c r="I57" s="256"/>
      <c r="J57" s="243" t="e">
        <f t="shared" si="7"/>
        <v>#DIV/0!</v>
      </c>
      <c r="K57" s="257"/>
    </row>
    <row r="58" spans="1:11" s="228" customFormat="1" ht="15.6">
      <c r="A58" s="245" t="s">
        <v>223</v>
      </c>
      <c r="B58" s="66" t="s">
        <v>203</v>
      </c>
      <c r="C58" s="240" t="s">
        <v>204</v>
      </c>
      <c r="D58" s="241"/>
      <c r="E58" s="243"/>
      <c r="F58" s="243"/>
      <c r="G58" s="243" t="e">
        <f t="shared" si="6"/>
        <v>#DIV/0!</v>
      </c>
      <c r="H58" s="244"/>
      <c r="I58" s="256"/>
      <c r="J58" s="243" t="e">
        <f t="shared" si="7"/>
        <v>#DIV/0!</v>
      </c>
      <c r="K58" s="257"/>
    </row>
    <row r="59" spans="1:11" s="228" customFormat="1" ht="15.6">
      <c r="A59" s="245"/>
      <c r="B59" s="66" t="s">
        <v>205</v>
      </c>
      <c r="C59" s="240" t="s">
        <v>206</v>
      </c>
      <c r="D59" s="241"/>
      <c r="E59" s="243"/>
      <c r="F59" s="243"/>
      <c r="G59" s="243" t="e">
        <f t="shared" si="6"/>
        <v>#DIV/0!</v>
      </c>
      <c r="H59" s="244"/>
      <c r="I59" s="256"/>
      <c r="J59" s="243" t="e">
        <f t="shared" si="7"/>
        <v>#DIV/0!</v>
      </c>
      <c r="K59" s="257"/>
    </row>
    <row r="60" spans="1:11" ht="15.6">
      <c r="A60" s="245">
        <v>4.4000000000000004</v>
      </c>
      <c r="B60" s="242" t="s">
        <v>26</v>
      </c>
      <c r="C60" s="240"/>
      <c r="D60" s="46"/>
      <c r="E60" s="12"/>
      <c r="F60" s="12"/>
      <c r="G60" s="243"/>
      <c r="H60" s="46"/>
      <c r="I60" s="12"/>
      <c r="J60" s="243"/>
      <c r="K60" s="12"/>
    </row>
    <row r="61" spans="1:11" ht="15.6">
      <c r="A61" s="245" t="s">
        <v>224</v>
      </c>
      <c r="B61" s="66" t="s">
        <v>195</v>
      </c>
      <c r="C61" s="240" t="s">
        <v>191</v>
      </c>
      <c r="D61" s="46"/>
      <c r="E61" s="12"/>
      <c r="F61" s="12"/>
      <c r="G61" s="243" t="e">
        <f>F61/D61*100</f>
        <v>#DIV/0!</v>
      </c>
      <c r="H61" s="46"/>
      <c r="I61" s="12"/>
      <c r="J61" s="243" t="e">
        <f>I61/H61*100</f>
        <v>#DIV/0!</v>
      </c>
      <c r="K61" s="12"/>
    </row>
    <row r="62" spans="1:11" s="228" customFormat="1" ht="15.6">
      <c r="A62" s="245" t="s">
        <v>225</v>
      </c>
      <c r="B62" s="66" t="s">
        <v>197</v>
      </c>
      <c r="C62" s="240" t="s">
        <v>196</v>
      </c>
      <c r="D62" s="241"/>
      <c r="E62" s="243"/>
      <c r="F62" s="243"/>
      <c r="G62" s="243" t="e">
        <f>F62/D62*100</f>
        <v>#DIV/0!</v>
      </c>
      <c r="H62" s="244"/>
      <c r="I62" s="256"/>
      <c r="J62" s="243" t="e">
        <f>I62/H62*100</f>
        <v>#DIV/0!</v>
      </c>
      <c r="K62" s="257"/>
    </row>
    <row r="63" spans="1:11" s="228" customFormat="1" ht="15.6">
      <c r="A63" s="245"/>
      <c r="B63" s="66" t="s">
        <v>198</v>
      </c>
      <c r="C63" s="240" t="s">
        <v>191</v>
      </c>
      <c r="D63" s="241"/>
      <c r="E63" s="243"/>
      <c r="F63" s="243"/>
      <c r="G63" s="243" t="e">
        <f>F63/D63*100</f>
        <v>#DIV/0!</v>
      </c>
      <c r="H63" s="244"/>
      <c r="I63" s="256"/>
      <c r="J63" s="243" t="e">
        <f>I63/H63*100</f>
        <v>#DIV/0!</v>
      </c>
      <c r="K63" s="257"/>
    </row>
    <row r="64" spans="1:11" s="228" customFormat="1" ht="15.6">
      <c r="A64" s="245" t="s">
        <v>226</v>
      </c>
      <c r="B64" s="66" t="s">
        <v>199</v>
      </c>
      <c r="C64" s="240" t="s">
        <v>196</v>
      </c>
      <c r="D64" s="241"/>
      <c r="E64" s="243"/>
      <c r="F64" s="243"/>
      <c r="G64" s="243" t="e">
        <f t="shared" ref="G64:G69" si="8">F64/D64*100</f>
        <v>#DIV/0!</v>
      </c>
      <c r="H64" s="244"/>
      <c r="I64" s="256"/>
      <c r="J64" s="243" t="e">
        <f t="shared" ref="J64:J69" si="9">I64/H64*100</f>
        <v>#DIV/0!</v>
      </c>
      <c r="K64" s="257"/>
    </row>
    <row r="65" spans="1:11" s="228" customFormat="1" ht="15.6">
      <c r="A65" s="245"/>
      <c r="B65" s="66" t="s">
        <v>200</v>
      </c>
      <c r="C65" s="240" t="s">
        <v>191</v>
      </c>
      <c r="D65" s="241"/>
      <c r="E65" s="243"/>
      <c r="F65" s="243"/>
      <c r="G65" s="243" t="e">
        <f t="shared" si="8"/>
        <v>#DIV/0!</v>
      </c>
      <c r="H65" s="244"/>
      <c r="I65" s="256"/>
      <c r="J65" s="243" t="e">
        <f t="shared" si="9"/>
        <v>#DIV/0!</v>
      </c>
      <c r="K65" s="257"/>
    </row>
    <row r="66" spans="1:11" s="228" customFormat="1" ht="15.6">
      <c r="A66" s="245" t="s">
        <v>227</v>
      </c>
      <c r="B66" s="66" t="s">
        <v>201</v>
      </c>
      <c r="C66" s="240" t="s">
        <v>196</v>
      </c>
      <c r="D66" s="241"/>
      <c r="E66" s="243"/>
      <c r="F66" s="243"/>
      <c r="G66" s="243" t="e">
        <f t="shared" si="8"/>
        <v>#DIV/0!</v>
      </c>
      <c r="H66" s="244"/>
      <c r="I66" s="256"/>
      <c r="J66" s="243" t="e">
        <f t="shared" si="9"/>
        <v>#DIV/0!</v>
      </c>
      <c r="K66" s="257"/>
    </row>
    <row r="67" spans="1:11" s="228" customFormat="1" ht="15.6">
      <c r="A67" s="245"/>
      <c r="B67" s="66" t="s">
        <v>202</v>
      </c>
      <c r="C67" s="240" t="s">
        <v>191</v>
      </c>
      <c r="D67" s="241"/>
      <c r="E67" s="243"/>
      <c r="F67" s="243"/>
      <c r="G67" s="243" t="e">
        <f t="shared" si="8"/>
        <v>#DIV/0!</v>
      </c>
      <c r="H67" s="244"/>
      <c r="I67" s="256"/>
      <c r="J67" s="243" t="e">
        <f t="shared" si="9"/>
        <v>#DIV/0!</v>
      </c>
      <c r="K67" s="257"/>
    </row>
    <row r="68" spans="1:11" s="228" customFormat="1" ht="15.6">
      <c r="A68" s="245" t="s">
        <v>228</v>
      </c>
      <c r="B68" s="66" t="s">
        <v>203</v>
      </c>
      <c r="C68" s="240" t="s">
        <v>204</v>
      </c>
      <c r="D68" s="241"/>
      <c r="E68" s="243"/>
      <c r="F68" s="243"/>
      <c r="G68" s="243" t="e">
        <f t="shared" si="8"/>
        <v>#DIV/0!</v>
      </c>
      <c r="H68" s="244"/>
      <c r="I68" s="256"/>
      <c r="J68" s="243" t="e">
        <f t="shared" si="9"/>
        <v>#DIV/0!</v>
      </c>
      <c r="K68" s="257"/>
    </row>
    <row r="69" spans="1:11" s="228" customFormat="1" ht="15.6">
      <c r="A69" s="245"/>
      <c r="B69" s="66" t="s">
        <v>205</v>
      </c>
      <c r="C69" s="240" t="s">
        <v>206</v>
      </c>
      <c r="D69" s="241"/>
      <c r="E69" s="243"/>
      <c r="F69" s="243"/>
      <c r="G69" s="243" t="e">
        <f t="shared" si="8"/>
        <v>#DIV/0!</v>
      </c>
      <c r="H69" s="244"/>
      <c r="I69" s="256"/>
      <c r="J69" s="243" t="e">
        <f t="shared" si="9"/>
        <v>#DIV/0!</v>
      </c>
      <c r="K69" s="257"/>
    </row>
    <row r="70" spans="1:11" ht="15.6">
      <c r="A70" s="245"/>
      <c r="B70" s="242"/>
      <c r="C70" s="240"/>
      <c r="D70" s="46"/>
      <c r="E70" s="12"/>
      <c r="F70" s="12"/>
      <c r="G70" s="243"/>
      <c r="H70" s="46"/>
      <c r="I70" s="12"/>
      <c r="J70" s="243"/>
      <c r="K70" s="12"/>
    </row>
    <row r="71" spans="1:11" ht="15.6">
      <c r="A71" s="242">
        <v>5</v>
      </c>
      <c r="B71" s="242" t="s">
        <v>229</v>
      </c>
      <c r="C71" s="240"/>
      <c r="D71" s="46"/>
      <c r="E71" s="12"/>
      <c r="F71" s="12"/>
      <c r="G71" s="243"/>
      <c r="H71" s="46"/>
      <c r="I71" s="12"/>
      <c r="J71" s="243"/>
      <c r="K71" s="12"/>
    </row>
    <row r="72" spans="1:11" ht="15.6">
      <c r="A72" s="245">
        <v>5.0999999999999996</v>
      </c>
      <c r="B72" s="66" t="s">
        <v>64</v>
      </c>
      <c r="C72" s="240" t="s">
        <v>196</v>
      </c>
      <c r="D72" s="46"/>
      <c r="E72" s="12"/>
      <c r="F72" s="12"/>
      <c r="G72" s="243" t="e">
        <f>F72/D72*100</f>
        <v>#DIV/0!</v>
      </c>
      <c r="H72" s="46"/>
      <c r="I72" s="12"/>
      <c r="J72" s="243" t="e">
        <f>I72/H72*100</f>
        <v>#DIV/0!</v>
      </c>
      <c r="K72" s="12"/>
    </row>
    <row r="73" spans="1:11" ht="15.6">
      <c r="A73" s="245">
        <v>5.2</v>
      </c>
      <c r="B73" s="66" t="s">
        <v>65</v>
      </c>
      <c r="C73" s="240" t="s">
        <v>196</v>
      </c>
      <c r="D73" s="46"/>
      <c r="E73" s="12"/>
      <c r="F73" s="12"/>
      <c r="G73" s="243" t="e">
        <f>F73/D73*100</f>
        <v>#DIV/0!</v>
      </c>
      <c r="H73" s="46"/>
      <c r="I73" s="12"/>
      <c r="J73" s="243" t="e">
        <f>I73/H73*100</f>
        <v>#DIV/0!</v>
      </c>
      <c r="K73" s="12"/>
    </row>
    <row r="74" spans="1:11" ht="15.6">
      <c r="A74" s="245">
        <v>5.3</v>
      </c>
      <c r="B74" s="66" t="s">
        <v>218</v>
      </c>
      <c r="C74" s="240" t="s">
        <v>196</v>
      </c>
      <c r="D74" s="46"/>
      <c r="E74" s="12"/>
      <c r="F74" s="12"/>
      <c r="G74" s="243" t="e">
        <f>F74/D74*100</f>
        <v>#DIV/0!</v>
      </c>
      <c r="H74" s="46"/>
      <c r="I74" s="12"/>
      <c r="J74" s="243" t="e">
        <f>I74/H74*100</f>
        <v>#DIV/0!</v>
      </c>
      <c r="K74" s="12"/>
    </row>
    <row r="75" spans="1:11" ht="15.6">
      <c r="A75" s="242"/>
      <c r="B75" s="66" t="s">
        <v>230</v>
      </c>
      <c r="C75" s="240" t="s">
        <v>196</v>
      </c>
      <c r="D75" s="46"/>
      <c r="E75" s="12"/>
      <c r="F75" s="12"/>
      <c r="G75" s="243" t="e">
        <f>F75/D75*100</f>
        <v>#DIV/0!</v>
      </c>
      <c r="H75" s="46"/>
      <c r="I75" s="12"/>
      <c r="J75" s="243" t="e">
        <f>I75/H75*100</f>
        <v>#DIV/0!</v>
      </c>
      <c r="K75" s="12"/>
    </row>
    <row r="76" spans="1:11" ht="15.6">
      <c r="A76" s="242"/>
      <c r="B76" s="66"/>
      <c r="C76" s="240"/>
      <c r="D76" s="46"/>
      <c r="E76" s="12"/>
      <c r="F76" s="12"/>
      <c r="G76" s="243"/>
      <c r="H76" s="46"/>
      <c r="I76" s="12"/>
      <c r="J76" s="243"/>
      <c r="K76" s="12"/>
    </row>
    <row r="77" spans="1:11" ht="15.6">
      <c r="A77" s="238">
        <v>6</v>
      </c>
      <c r="B77" s="242" t="s">
        <v>231</v>
      </c>
      <c r="C77" s="241"/>
      <c r="D77" s="46"/>
      <c r="E77" s="12"/>
      <c r="F77" s="12"/>
      <c r="G77" s="243"/>
      <c r="H77" s="46"/>
      <c r="I77" s="12"/>
      <c r="J77" s="243"/>
      <c r="K77" s="12"/>
    </row>
    <row r="78" spans="1:11" ht="15.6">
      <c r="A78" s="245">
        <v>6.1</v>
      </c>
      <c r="B78" s="242" t="s">
        <v>64</v>
      </c>
      <c r="C78" s="240"/>
      <c r="D78" s="241"/>
      <c r="E78" s="12"/>
      <c r="F78" s="12"/>
      <c r="G78" s="243"/>
      <c r="H78" s="46"/>
      <c r="I78" s="12"/>
      <c r="J78" s="243"/>
      <c r="K78" s="12"/>
    </row>
    <row r="79" spans="1:11" ht="15.6">
      <c r="A79" s="245" t="s">
        <v>232</v>
      </c>
      <c r="B79" s="66" t="s">
        <v>194</v>
      </c>
      <c r="C79" s="240" t="s">
        <v>191</v>
      </c>
      <c r="D79" s="241"/>
      <c r="E79" s="12"/>
      <c r="F79" s="12"/>
      <c r="G79" s="243" t="e">
        <f t="shared" ref="G79:G85" si="10">F79/D79*100</f>
        <v>#DIV/0!</v>
      </c>
      <c r="H79" s="46"/>
      <c r="I79" s="12"/>
      <c r="J79" s="243" t="e">
        <f t="shared" ref="J79:J85" si="11">I79/H79*100</f>
        <v>#DIV/0!</v>
      </c>
      <c r="K79" s="12"/>
    </row>
    <row r="80" spans="1:11" ht="15.6">
      <c r="A80" s="245"/>
      <c r="B80" s="66" t="s">
        <v>195</v>
      </c>
      <c r="C80" s="240" t="s">
        <v>191</v>
      </c>
      <c r="D80" s="241"/>
      <c r="E80" s="12"/>
      <c r="F80" s="12"/>
      <c r="G80" s="243" t="e">
        <f t="shared" si="10"/>
        <v>#DIV/0!</v>
      </c>
      <c r="H80" s="46"/>
      <c r="I80" s="12"/>
      <c r="J80" s="243" t="e">
        <f t="shared" si="11"/>
        <v>#DIV/0!</v>
      </c>
      <c r="K80" s="12"/>
    </row>
    <row r="81" spans="1:11" ht="15.6">
      <c r="A81" s="245"/>
      <c r="B81" s="66" t="s">
        <v>20</v>
      </c>
      <c r="C81" s="240" t="s">
        <v>196</v>
      </c>
      <c r="D81" s="241"/>
      <c r="E81" s="12"/>
      <c r="F81" s="12"/>
      <c r="G81" s="243" t="e">
        <f t="shared" si="10"/>
        <v>#DIV/0!</v>
      </c>
      <c r="H81" s="46"/>
      <c r="I81" s="12"/>
      <c r="J81" s="243" t="e">
        <f t="shared" si="11"/>
        <v>#DIV/0!</v>
      </c>
      <c r="K81" s="12"/>
    </row>
    <row r="82" spans="1:11" s="228" customFormat="1" ht="15.6">
      <c r="A82" s="245" t="s">
        <v>233</v>
      </c>
      <c r="B82" s="66" t="s">
        <v>197</v>
      </c>
      <c r="C82" s="240" t="s">
        <v>196</v>
      </c>
      <c r="D82" s="241"/>
      <c r="E82" s="243"/>
      <c r="F82" s="243"/>
      <c r="G82" s="243" t="e">
        <f t="shared" si="10"/>
        <v>#DIV/0!</v>
      </c>
      <c r="H82" s="244"/>
      <c r="I82" s="256"/>
      <c r="J82" s="243" t="e">
        <f t="shared" si="11"/>
        <v>#DIV/0!</v>
      </c>
      <c r="K82" s="257"/>
    </row>
    <row r="83" spans="1:11" s="228" customFormat="1" ht="15.6">
      <c r="A83" s="245"/>
      <c r="B83" s="66" t="s">
        <v>198</v>
      </c>
      <c r="C83" s="240" t="s">
        <v>191</v>
      </c>
      <c r="D83" s="241"/>
      <c r="E83" s="243"/>
      <c r="F83" s="243"/>
      <c r="G83" s="243" t="e">
        <f t="shared" si="10"/>
        <v>#DIV/0!</v>
      </c>
      <c r="H83" s="244"/>
      <c r="I83" s="256"/>
      <c r="J83" s="243" t="e">
        <f t="shared" si="11"/>
        <v>#DIV/0!</v>
      </c>
      <c r="K83" s="257"/>
    </row>
    <row r="84" spans="1:11" s="228" customFormat="1" ht="15.6">
      <c r="A84" s="245" t="s">
        <v>234</v>
      </c>
      <c r="B84" s="66" t="s">
        <v>203</v>
      </c>
      <c r="C84" s="240" t="s">
        <v>204</v>
      </c>
      <c r="D84" s="241"/>
      <c r="E84" s="243"/>
      <c r="F84" s="243"/>
      <c r="G84" s="243" t="e">
        <f t="shared" si="10"/>
        <v>#DIV/0!</v>
      </c>
      <c r="H84" s="244"/>
      <c r="I84" s="256"/>
      <c r="J84" s="243" t="e">
        <f t="shared" si="11"/>
        <v>#DIV/0!</v>
      </c>
      <c r="K84" s="257"/>
    </row>
    <row r="85" spans="1:11" s="228" customFormat="1" ht="15.6">
      <c r="A85" s="245"/>
      <c r="B85" s="66" t="s">
        <v>205</v>
      </c>
      <c r="C85" s="240" t="s">
        <v>206</v>
      </c>
      <c r="D85" s="241"/>
      <c r="E85" s="243"/>
      <c r="F85" s="243"/>
      <c r="G85" s="243" t="e">
        <f t="shared" si="10"/>
        <v>#DIV/0!</v>
      </c>
      <c r="H85" s="244"/>
      <c r="I85" s="256"/>
      <c r="J85" s="243" t="e">
        <f t="shared" si="11"/>
        <v>#DIV/0!</v>
      </c>
      <c r="K85" s="257"/>
    </row>
    <row r="86" spans="1:11" ht="15.6">
      <c r="A86" s="245">
        <v>6.2</v>
      </c>
      <c r="B86" s="242" t="s">
        <v>65</v>
      </c>
      <c r="C86" s="240"/>
      <c r="D86" s="46"/>
      <c r="E86" s="12"/>
      <c r="F86" s="12"/>
      <c r="G86" s="243"/>
      <c r="H86" s="46"/>
      <c r="I86" s="12"/>
      <c r="J86" s="243"/>
      <c r="K86" s="12"/>
    </row>
    <row r="87" spans="1:11" ht="15.6">
      <c r="A87" s="245" t="s">
        <v>235</v>
      </c>
      <c r="B87" s="66" t="s">
        <v>194</v>
      </c>
      <c r="C87" s="240" t="s">
        <v>191</v>
      </c>
      <c r="D87" s="46"/>
      <c r="E87" s="12"/>
      <c r="F87" s="12"/>
      <c r="G87" s="243" t="e">
        <f>F87/D87*100</f>
        <v>#DIV/0!</v>
      </c>
      <c r="H87" s="46"/>
      <c r="I87" s="12"/>
      <c r="J87" s="243" t="e">
        <f>I87/H87*100</f>
        <v>#DIV/0!</v>
      </c>
      <c r="K87" s="12"/>
    </row>
    <row r="88" spans="1:11" ht="15.6">
      <c r="A88" s="245"/>
      <c r="B88" s="66" t="s">
        <v>195</v>
      </c>
      <c r="C88" s="240" t="s">
        <v>191</v>
      </c>
      <c r="D88" s="46"/>
      <c r="E88" s="12"/>
      <c r="F88" s="12"/>
      <c r="G88" s="243" t="e">
        <f>F88/D88*100</f>
        <v>#DIV/0!</v>
      </c>
      <c r="H88" s="46"/>
      <c r="I88" s="12"/>
      <c r="J88" s="243" t="e">
        <f>I88/H88*100</f>
        <v>#DIV/0!</v>
      </c>
      <c r="K88" s="12"/>
    </row>
    <row r="89" spans="1:11" ht="15.6">
      <c r="A89" s="245"/>
      <c r="B89" s="66" t="s">
        <v>20</v>
      </c>
      <c r="C89" s="240" t="s">
        <v>196</v>
      </c>
      <c r="D89" s="46"/>
      <c r="E89" s="12"/>
      <c r="F89" s="12"/>
      <c r="G89" s="243" t="e">
        <f>F89/D89*100</f>
        <v>#DIV/0!</v>
      </c>
      <c r="H89" s="46"/>
      <c r="I89" s="12"/>
      <c r="J89" s="243" t="e">
        <f>I89/H89*100</f>
        <v>#DIV/0!</v>
      </c>
      <c r="K89" s="12"/>
    </row>
    <row r="90" spans="1:11" s="228" customFormat="1" ht="15.6">
      <c r="A90" s="245" t="s">
        <v>236</v>
      </c>
      <c r="B90" s="66" t="s">
        <v>199</v>
      </c>
      <c r="C90" s="240" t="s">
        <v>196</v>
      </c>
      <c r="D90" s="241"/>
      <c r="E90" s="243"/>
      <c r="F90" s="243"/>
      <c r="G90" s="243" t="e">
        <f>F90/D90*100</f>
        <v>#DIV/0!</v>
      </c>
      <c r="H90" s="244"/>
      <c r="I90" s="256"/>
      <c r="J90" s="243" t="e">
        <f>I90/H90*100</f>
        <v>#DIV/0!</v>
      </c>
      <c r="K90" s="257"/>
    </row>
    <row r="91" spans="1:11" s="228" customFormat="1" ht="15.6">
      <c r="A91" s="245"/>
      <c r="B91" s="66" t="s">
        <v>200</v>
      </c>
      <c r="C91" s="240" t="s">
        <v>191</v>
      </c>
      <c r="D91" s="241"/>
      <c r="E91" s="243"/>
      <c r="F91" s="243"/>
      <c r="G91" s="243" t="e">
        <f>F91/D91*100</f>
        <v>#DIV/0!</v>
      </c>
      <c r="H91" s="244"/>
      <c r="I91" s="256"/>
      <c r="J91" s="243" t="e">
        <f>I91/H91*100</f>
        <v>#DIV/0!</v>
      </c>
      <c r="K91" s="257"/>
    </row>
    <row r="92" spans="1:11" ht="15.6">
      <c r="A92" s="245">
        <v>6.3</v>
      </c>
      <c r="B92" s="242" t="s">
        <v>218</v>
      </c>
      <c r="C92" s="240"/>
      <c r="D92" s="46"/>
      <c r="E92" s="12"/>
      <c r="F92" s="12"/>
      <c r="G92" s="243"/>
      <c r="H92" s="46"/>
      <c r="I92" s="12"/>
      <c r="J92" s="243"/>
      <c r="K92" s="12"/>
    </row>
    <row r="93" spans="1:11" ht="15.6">
      <c r="A93" s="245" t="s">
        <v>237</v>
      </c>
      <c r="B93" s="66" t="s">
        <v>194</v>
      </c>
      <c r="C93" s="240" t="s">
        <v>191</v>
      </c>
      <c r="D93" s="46"/>
      <c r="E93" s="12"/>
      <c r="F93" s="12"/>
      <c r="G93" s="243" t="e">
        <f t="shared" ref="G93:G99" si="12">F93/D93*100</f>
        <v>#DIV/0!</v>
      </c>
      <c r="H93" s="46"/>
      <c r="I93" s="12"/>
      <c r="J93" s="243" t="e">
        <f t="shared" ref="J93:J99" si="13">I93/H93*100</f>
        <v>#DIV/0!</v>
      </c>
      <c r="K93" s="12"/>
    </row>
    <row r="94" spans="1:11" ht="15.6">
      <c r="A94" s="245"/>
      <c r="B94" s="66" t="s">
        <v>195</v>
      </c>
      <c r="C94" s="240" t="s">
        <v>191</v>
      </c>
      <c r="D94" s="46"/>
      <c r="E94" s="12"/>
      <c r="F94" s="12"/>
      <c r="G94" s="243" t="e">
        <f t="shared" si="12"/>
        <v>#DIV/0!</v>
      </c>
      <c r="H94" s="46"/>
      <c r="I94" s="12"/>
      <c r="J94" s="243" t="e">
        <f t="shared" si="13"/>
        <v>#DIV/0!</v>
      </c>
      <c r="K94" s="12"/>
    </row>
    <row r="95" spans="1:11" ht="15.6">
      <c r="A95" s="245"/>
      <c r="B95" s="66" t="s">
        <v>20</v>
      </c>
      <c r="C95" s="240" t="s">
        <v>196</v>
      </c>
      <c r="D95" s="46"/>
      <c r="E95" s="12"/>
      <c r="F95" s="12"/>
      <c r="G95" s="243" t="e">
        <f t="shared" si="12"/>
        <v>#DIV/0!</v>
      </c>
      <c r="H95" s="46"/>
      <c r="I95" s="12"/>
      <c r="J95" s="243" t="e">
        <f t="shared" si="13"/>
        <v>#DIV/0!</v>
      </c>
      <c r="K95" s="12"/>
    </row>
    <row r="96" spans="1:11" s="228" customFormat="1" ht="15.6">
      <c r="A96" s="245" t="s">
        <v>238</v>
      </c>
      <c r="B96" s="66" t="s">
        <v>201</v>
      </c>
      <c r="C96" s="240" t="s">
        <v>196</v>
      </c>
      <c r="D96" s="241"/>
      <c r="E96" s="243"/>
      <c r="F96" s="243"/>
      <c r="G96" s="243" t="e">
        <f t="shared" si="12"/>
        <v>#DIV/0!</v>
      </c>
      <c r="H96" s="244"/>
      <c r="I96" s="256"/>
      <c r="J96" s="243" t="e">
        <f t="shared" si="13"/>
        <v>#DIV/0!</v>
      </c>
      <c r="K96" s="257"/>
    </row>
    <row r="97" spans="1:11" s="228" customFormat="1" ht="15.6">
      <c r="A97" s="245"/>
      <c r="B97" s="66" t="s">
        <v>202</v>
      </c>
      <c r="C97" s="240" t="s">
        <v>191</v>
      </c>
      <c r="D97" s="241"/>
      <c r="E97" s="243"/>
      <c r="F97" s="243"/>
      <c r="G97" s="243" t="e">
        <f t="shared" si="12"/>
        <v>#DIV/0!</v>
      </c>
      <c r="H97" s="244"/>
      <c r="I97" s="256"/>
      <c r="J97" s="243" t="e">
        <f t="shared" si="13"/>
        <v>#DIV/0!</v>
      </c>
      <c r="K97" s="257"/>
    </row>
    <row r="98" spans="1:11" s="228" customFormat="1" ht="15.6">
      <c r="A98" s="245" t="s">
        <v>239</v>
      </c>
      <c r="B98" s="66" t="s">
        <v>203</v>
      </c>
      <c r="C98" s="240" t="s">
        <v>204</v>
      </c>
      <c r="D98" s="241"/>
      <c r="E98" s="243"/>
      <c r="F98" s="243"/>
      <c r="G98" s="243" t="e">
        <f t="shared" si="12"/>
        <v>#DIV/0!</v>
      </c>
      <c r="H98" s="244"/>
      <c r="I98" s="256"/>
      <c r="J98" s="243" t="e">
        <f t="shared" si="13"/>
        <v>#DIV/0!</v>
      </c>
      <c r="K98" s="257"/>
    </row>
    <row r="99" spans="1:11" s="228" customFormat="1" ht="15.6">
      <c r="A99" s="245"/>
      <c r="B99" s="66" t="s">
        <v>205</v>
      </c>
      <c r="C99" s="240" t="s">
        <v>206</v>
      </c>
      <c r="D99" s="241"/>
      <c r="E99" s="243"/>
      <c r="F99" s="243"/>
      <c r="G99" s="243" t="e">
        <f t="shared" si="12"/>
        <v>#DIV/0!</v>
      </c>
      <c r="H99" s="244"/>
      <c r="I99" s="256"/>
      <c r="J99" s="243" t="e">
        <f t="shared" si="13"/>
        <v>#DIV/0!</v>
      </c>
      <c r="K99" s="257"/>
    </row>
    <row r="100" spans="1:11" ht="15.6">
      <c r="A100" s="245"/>
      <c r="B100" s="258"/>
      <c r="C100" s="240"/>
      <c r="D100" s="46"/>
      <c r="E100" s="12"/>
      <c r="F100" s="12"/>
      <c r="G100" s="12"/>
      <c r="H100" s="46"/>
      <c r="I100" s="12"/>
      <c r="J100" s="12"/>
      <c r="K100" s="12"/>
    </row>
    <row r="101" spans="1:11" ht="15.6">
      <c r="A101" s="242">
        <v>7</v>
      </c>
      <c r="B101" s="242" t="s">
        <v>240</v>
      </c>
      <c r="C101" s="240"/>
      <c r="D101" s="46"/>
      <c r="E101" s="12"/>
      <c r="F101" s="12"/>
      <c r="G101" s="12"/>
      <c r="H101" s="46"/>
      <c r="I101" s="12"/>
      <c r="J101" s="12"/>
      <c r="K101" s="12"/>
    </row>
    <row r="102" spans="1:11" ht="15.6">
      <c r="A102" s="66">
        <v>7.1</v>
      </c>
      <c r="B102" s="66" t="s">
        <v>241</v>
      </c>
      <c r="C102" s="240"/>
      <c r="D102" s="46"/>
      <c r="E102" s="12"/>
      <c r="F102" s="12"/>
      <c r="G102" s="12"/>
      <c r="H102" s="46"/>
      <c r="I102" s="12"/>
      <c r="J102" s="12"/>
      <c r="K102" s="12"/>
    </row>
    <row r="103" spans="1:11" ht="15.6">
      <c r="A103" s="245">
        <v>7.2</v>
      </c>
      <c r="B103" s="66" t="s">
        <v>242</v>
      </c>
      <c r="C103" s="240"/>
      <c r="D103" s="46"/>
      <c r="E103" s="12"/>
      <c r="F103" s="12"/>
      <c r="G103" s="12"/>
      <c r="H103" s="46"/>
      <c r="I103" s="12"/>
      <c r="J103" s="12"/>
      <c r="K103" s="12"/>
    </row>
    <row r="104" spans="1:11" ht="15.6">
      <c r="A104" s="245">
        <v>7.3</v>
      </c>
      <c r="B104" s="66" t="s">
        <v>243</v>
      </c>
      <c r="C104" s="240"/>
      <c r="D104" s="46"/>
      <c r="E104" s="12"/>
      <c r="F104" s="12"/>
      <c r="G104" s="12"/>
      <c r="H104" s="46"/>
      <c r="I104" s="12"/>
      <c r="J104" s="12"/>
      <c r="K104" s="12"/>
    </row>
    <row r="105" spans="1:11" ht="15.6">
      <c r="A105" s="245"/>
      <c r="B105" s="242"/>
      <c r="C105" s="240"/>
      <c r="D105" s="46"/>
      <c r="E105" s="12"/>
      <c r="F105" s="12"/>
      <c r="G105" s="12"/>
      <c r="H105" s="46"/>
      <c r="I105" s="12"/>
      <c r="J105" s="12"/>
      <c r="K105" s="12"/>
    </row>
    <row r="106" spans="1:11">
      <c r="A106" s="238" t="s">
        <v>244</v>
      </c>
      <c r="B106" s="242" t="s">
        <v>245</v>
      </c>
      <c r="C106" s="698" t="s">
        <v>359</v>
      </c>
      <c r="D106" s="698"/>
      <c r="E106" s="698"/>
      <c r="F106" s="698"/>
      <c r="G106" s="698"/>
      <c r="H106" s="698"/>
      <c r="I106" s="698"/>
      <c r="J106" s="698"/>
      <c r="K106" s="698"/>
    </row>
    <row r="107" spans="1:11">
      <c r="A107" s="238">
        <v>1</v>
      </c>
      <c r="B107" s="242" t="s">
        <v>247</v>
      </c>
      <c r="C107" s="698" t="s">
        <v>248</v>
      </c>
      <c r="D107" s="698"/>
      <c r="E107" s="698"/>
      <c r="F107" s="698"/>
      <c r="G107" s="698"/>
      <c r="H107" s="698"/>
      <c r="I107" s="698"/>
      <c r="J107" s="698"/>
      <c r="K107" s="698"/>
    </row>
    <row r="108" spans="1:11">
      <c r="A108" s="238">
        <v>2</v>
      </c>
      <c r="B108" s="242" t="s">
        <v>249</v>
      </c>
      <c r="C108" s="698" t="s">
        <v>250</v>
      </c>
      <c r="D108" s="698"/>
      <c r="E108" s="698"/>
      <c r="F108" s="698"/>
      <c r="G108" s="698"/>
      <c r="H108" s="698"/>
      <c r="I108" s="698"/>
      <c r="J108" s="698"/>
      <c r="K108" s="698"/>
    </row>
    <row r="109" spans="1:11">
      <c r="A109" s="238">
        <v>3</v>
      </c>
      <c r="B109" s="242" t="s">
        <v>251</v>
      </c>
      <c r="C109" s="698" t="s">
        <v>250</v>
      </c>
      <c r="D109" s="698"/>
      <c r="E109" s="698"/>
      <c r="F109" s="698"/>
      <c r="G109" s="698"/>
      <c r="H109" s="698"/>
      <c r="I109" s="698"/>
      <c r="J109" s="698"/>
      <c r="K109" s="698"/>
    </row>
    <row r="110" spans="1:11">
      <c r="A110" s="238">
        <v>4</v>
      </c>
      <c r="B110" s="242" t="s">
        <v>252</v>
      </c>
      <c r="C110" s="698" t="s">
        <v>250</v>
      </c>
      <c r="D110" s="698"/>
      <c r="E110" s="698"/>
      <c r="F110" s="698"/>
      <c r="G110" s="698"/>
      <c r="H110" s="698"/>
      <c r="I110" s="698"/>
      <c r="J110" s="698"/>
      <c r="K110" s="698"/>
    </row>
    <row r="111" spans="1:11">
      <c r="A111" s="238">
        <v>5</v>
      </c>
      <c r="B111" s="242" t="s">
        <v>253</v>
      </c>
      <c r="C111" s="698" t="s">
        <v>250</v>
      </c>
      <c r="D111" s="698"/>
      <c r="E111" s="698"/>
      <c r="F111" s="698"/>
      <c r="G111" s="698"/>
      <c r="H111" s="698"/>
      <c r="I111" s="698"/>
      <c r="J111" s="698"/>
      <c r="K111" s="698"/>
    </row>
    <row r="112" spans="1:11">
      <c r="A112" s="238"/>
      <c r="B112" s="242" t="s">
        <v>254</v>
      </c>
      <c r="C112" s="698"/>
      <c r="D112" s="698"/>
      <c r="E112" s="698"/>
      <c r="F112" s="698"/>
      <c r="G112" s="698"/>
      <c r="H112" s="698"/>
      <c r="I112" s="698"/>
      <c r="J112" s="698"/>
      <c r="K112" s="698"/>
    </row>
  </sheetData>
  <mergeCells count="10">
    <mergeCell ref="C108:K108"/>
    <mergeCell ref="C109:K109"/>
    <mergeCell ref="C110:K110"/>
    <mergeCell ref="C111:K111"/>
    <mergeCell ref="C112:K112"/>
    <mergeCell ref="A1:K1"/>
    <mergeCell ref="A2:K2"/>
    <mergeCell ref="A3:E3"/>
    <mergeCell ref="C106:K106"/>
    <mergeCell ref="C107:K107"/>
  </mergeCells>
  <phoneticPr fontId="54" type="noConversion"/>
  <pageMargins left="0.69930555555555596" right="0.69930555555555596" top="0.75" bottom="0.75" header="0.3" footer="0.3"/>
  <pageSetup paperSize="9" orientation="portrait"/>
  <headerFooter alignWithMargins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>
    <tabColor rgb="FFFF00FF"/>
    <pageSetUpPr fitToPage="1"/>
  </sheetPr>
  <dimension ref="A1:O28"/>
  <sheetViews>
    <sheetView workbookViewId="0">
      <selection activeCell="C5" sqref="C5"/>
    </sheetView>
  </sheetViews>
  <sheetFormatPr defaultColWidth="9" defaultRowHeight="14.4"/>
  <cols>
    <col min="2" max="5" width="12.6640625" customWidth="1"/>
    <col min="6" max="6" width="11" customWidth="1"/>
    <col min="7" max="7" width="11.21875" customWidth="1"/>
    <col min="8" max="13" width="12.6640625" customWidth="1"/>
    <col min="15" max="15" width="14.6640625" customWidth="1"/>
  </cols>
  <sheetData>
    <row r="1" spans="1:13" ht="21" customHeight="1">
      <c r="A1" s="774" t="s">
        <v>292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</row>
    <row r="2" spans="1:13">
      <c r="A2" s="210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800"/>
      <c r="M2" s="801"/>
    </row>
    <row r="3" spans="1:13" ht="13.5" customHeight="1">
      <c r="A3" s="802" t="s">
        <v>360</v>
      </c>
      <c r="B3" s="802" t="s">
        <v>361</v>
      </c>
      <c r="C3" s="802" t="s">
        <v>48</v>
      </c>
      <c r="D3" s="802" t="s">
        <v>362</v>
      </c>
      <c r="E3" s="802" t="s">
        <v>50</v>
      </c>
      <c r="F3" s="802" t="s">
        <v>38</v>
      </c>
      <c r="G3" s="802"/>
      <c r="H3" s="802"/>
      <c r="I3" s="802"/>
      <c r="J3" s="802" t="s">
        <v>109</v>
      </c>
      <c r="K3" s="802"/>
      <c r="L3" s="802"/>
      <c r="M3" s="802"/>
    </row>
    <row r="4" spans="1:13" ht="13.5" customHeight="1">
      <c r="A4" s="802"/>
      <c r="B4" s="802"/>
      <c r="C4" s="802"/>
      <c r="D4" s="802"/>
      <c r="E4" s="802"/>
      <c r="F4" s="211" t="s">
        <v>62</v>
      </c>
      <c r="G4" s="211" t="s">
        <v>6</v>
      </c>
      <c r="H4" s="211" t="s">
        <v>7</v>
      </c>
      <c r="I4" s="211" t="s">
        <v>363</v>
      </c>
      <c r="J4" s="211" t="s">
        <v>364</v>
      </c>
      <c r="K4" s="211" t="s">
        <v>365</v>
      </c>
      <c r="L4" s="211" t="s">
        <v>366</v>
      </c>
      <c r="M4" s="211" t="s">
        <v>367</v>
      </c>
    </row>
    <row r="5" spans="1:13" ht="13.5" customHeight="1">
      <c r="A5" s="802" t="s">
        <v>9</v>
      </c>
      <c r="B5" s="212" t="s">
        <v>368</v>
      </c>
      <c r="C5" s="213">
        <f>'日报表 (3%)'!I39</f>
        <v>7277.8</v>
      </c>
      <c r="D5" s="214"/>
      <c r="E5" s="214"/>
      <c r="F5" s="214"/>
      <c r="G5" s="214"/>
      <c r="H5" s="214"/>
      <c r="I5" s="214"/>
      <c r="J5" s="214"/>
      <c r="K5" s="214"/>
      <c r="L5" s="214"/>
      <c r="M5" s="214"/>
    </row>
    <row r="6" spans="1:13" ht="13.5" customHeight="1">
      <c r="A6" s="802"/>
      <c r="B6" s="212" t="s">
        <v>369</v>
      </c>
      <c r="C6" s="215">
        <f>出厂铅精!E228</f>
        <v>0</v>
      </c>
      <c r="D6" s="215" t="e">
        <f>出厂铅精!F228</f>
        <v>#DIV/0!</v>
      </c>
      <c r="E6" s="215">
        <f>出厂铅精!G228</f>
        <v>0</v>
      </c>
      <c r="F6" s="215" t="e">
        <f>出厂铅精!H228</f>
        <v>#DIV/0!</v>
      </c>
      <c r="G6" s="215" t="e">
        <f>出厂铅精!I228</f>
        <v>#DIV/0!</v>
      </c>
      <c r="H6" s="215" t="e">
        <f>出厂铅精!J228</f>
        <v>#DIV/0!</v>
      </c>
      <c r="I6" s="215" t="e">
        <f>出厂铅精!K228</f>
        <v>#DIV/0!</v>
      </c>
      <c r="J6" s="215" t="e">
        <f>E6*F6/100</f>
        <v>#DIV/0!</v>
      </c>
      <c r="K6" s="215" t="e">
        <f>E6*G6/100</f>
        <v>#DIV/0!</v>
      </c>
      <c r="L6" s="215" t="e">
        <f>E6*H6/100</f>
        <v>#DIV/0!</v>
      </c>
      <c r="M6" s="215" t="e">
        <f>E6*I6/1000</f>
        <v>#DIV/0!</v>
      </c>
    </row>
    <row r="7" spans="1:13" ht="13.5" customHeight="1">
      <c r="A7" s="802"/>
      <c r="B7" s="212" t="s">
        <v>370</v>
      </c>
      <c r="C7" s="214">
        <f>C5-C6</f>
        <v>7277.8</v>
      </c>
      <c r="D7" s="214" t="e">
        <f>D6</f>
        <v>#DIV/0!</v>
      </c>
      <c r="E7" s="214" t="e">
        <f>C7*(100-D7)/100</f>
        <v>#DIV/0!</v>
      </c>
      <c r="F7" s="214"/>
      <c r="G7" s="214" t="e">
        <f>G6</f>
        <v>#DIV/0!</v>
      </c>
      <c r="H7" s="214"/>
      <c r="I7" s="214" t="e">
        <f>I6</f>
        <v>#DIV/0!</v>
      </c>
      <c r="J7" s="214"/>
      <c r="K7" s="214" t="e">
        <f>E7*G7/100</f>
        <v>#DIV/0!</v>
      </c>
      <c r="L7" s="214"/>
      <c r="M7" s="214" t="e">
        <f>E7*I7/1000</f>
        <v>#DIV/0!</v>
      </c>
    </row>
    <row r="8" spans="1:13" ht="13.5" customHeight="1">
      <c r="A8" s="802"/>
      <c r="B8" s="212" t="s">
        <v>371</v>
      </c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</row>
    <row r="9" spans="1:13" ht="13.5" customHeight="1">
      <c r="A9" s="802"/>
      <c r="B9" s="212" t="s">
        <v>372</v>
      </c>
      <c r="C9" s="216">
        <v>150</v>
      </c>
      <c r="D9" s="214" t="e">
        <f>D6</f>
        <v>#DIV/0!</v>
      </c>
      <c r="E9" s="214" t="e">
        <f>C9*(100-D9)/100</f>
        <v>#DIV/0!</v>
      </c>
      <c r="F9" s="214"/>
      <c r="G9" s="214" t="e">
        <f>G6</f>
        <v>#DIV/0!</v>
      </c>
      <c r="H9" s="214"/>
      <c r="I9" s="214" t="e">
        <f>I6</f>
        <v>#DIV/0!</v>
      </c>
      <c r="J9" s="214"/>
      <c r="K9" s="214" t="e">
        <f>E9*G9/100</f>
        <v>#DIV/0!</v>
      </c>
      <c r="L9" s="214"/>
      <c r="M9" s="214" t="e">
        <f>E9*I9/1000</f>
        <v>#DIV/0!</v>
      </c>
    </row>
    <row r="10" spans="1:13" ht="13.5" customHeight="1">
      <c r="A10" s="802"/>
      <c r="B10" s="212" t="s">
        <v>373</v>
      </c>
      <c r="C10" s="217">
        <v>0</v>
      </c>
      <c r="D10" s="214" t="e">
        <f>D7</f>
        <v>#DIV/0!</v>
      </c>
      <c r="E10" s="214" t="e">
        <f>C10*(100-D10)/100</f>
        <v>#DIV/0!</v>
      </c>
      <c r="F10" s="214"/>
      <c r="G10" s="214" t="e">
        <f>G6</f>
        <v>#DIV/0!</v>
      </c>
      <c r="H10" s="214"/>
      <c r="I10" s="214" t="e">
        <f>I6</f>
        <v>#DIV/0!</v>
      </c>
      <c r="J10" s="214"/>
      <c r="K10" s="214" t="e">
        <f>E10*G10/100</f>
        <v>#DIV/0!</v>
      </c>
      <c r="L10" s="214"/>
      <c r="M10" s="214" t="e">
        <f>E10*I10/1000</f>
        <v>#DIV/0!</v>
      </c>
    </row>
    <row r="11" spans="1:13" ht="13.5" customHeight="1">
      <c r="A11" s="802"/>
      <c r="B11" s="212" t="s">
        <v>343</v>
      </c>
      <c r="C11" s="217">
        <f>C6+C7+C9+C10</f>
        <v>7427.8</v>
      </c>
      <c r="D11" s="214" t="e">
        <f>(C11-E11)/C11*100</f>
        <v>#DIV/0!</v>
      </c>
      <c r="E11" s="214" t="e">
        <f>E6+E7+E9+E10</f>
        <v>#DIV/0!</v>
      </c>
      <c r="F11" s="214"/>
      <c r="G11" s="214" t="e">
        <f>G6</f>
        <v>#DIV/0!</v>
      </c>
      <c r="H11" s="214"/>
      <c r="I11" s="214" t="e">
        <f>I6</f>
        <v>#DIV/0!</v>
      </c>
      <c r="J11" s="214"/>
      <c r="K11" s="217" t="e">
        <f>E11*G11/100</f>
        <v>#DIV/0!</v>
      </c>
      <c r="L11" s="217"/>
      <c r="M11" s="217" t="e">
        <f>E11*I11/1000</f>
        <v>#DIV/0!</v>
      </c>
    </row>
    <row r="12" spans="1:13" ht="13.5" customHeight="1">
      <c r="A12" s="802"/>
      <c r="B12" s="212" t="s">
        <v>374</v>
      </c>
      <c r="C12" s="214"/>
      <c r="D12" s="214"/>
      <c r="E12" s="218">
        <f>'班组统计台账（3%）日累'!L16</f>
        <v>14.392796291791658</v>
      </c>
      <c r="F12" s="215"/>
      <c r="G12" s="215">
        <f>'班组统计台账（3%）日累'!M16</f>
        <v>65.670862584895232</v>
      </c>
      <c r="H12" s="215">
        <f>'班组统计台账（3%）日累'!N16</f>
        <v>0</v>
      </c>
      <c r="I12" s="215">
        <f>'班组统计台账（3%）日累'!O16</f>
        <v>3366.5768212689172</v>
      </c>
      <c r="J12" s="222"/>
      <c r="K12" s="218">
        <f>'班组统计台账（3%）日累'!P16</f>
        <v>9.451873474906396</v>
      </c>
      <c r="L12" s="222">
        <f>'班组统计台账（3%）日累'!Q16</f>
        <v>0</v>
      </c>
      <c r="M12" s="218">
        <f>'班组统计台账（3%）日累'!R16</f>
        <v>48.454454389191021</v>
      </c>
    </row>
    <row r="13" spans="1:13" ht="13.5" customHeight="1">
      <c r="A13" s="802"/>
      <c r="B13" s="212" t="s">
        <v>375</v>
      </c>
      <c r="C13" s="214"/>
      <c r="D13" s="214"/>
      <c r="E13" s="219" t="e">
        <f>K13/G6*100</f>
        <v>#DIV/0!</v>
      </c>
      <c r="F13" s="214"/>
      <c r="G13" s="217" t="e">
        <f>G11-G12</f>
        <v>#DIV/0!</v>
      </c>
      <c r="H13" s="217" t="e">
        <f>H6-H12</f>
        <v>#DIV/0!</v>
      </c>
      <c r="I13" s="225" t="e">
        <f>I11-I12</f>
        <v>#DIV/0!</v>
      </c>
      <c r="J13" s="214"/>
      <c r="K13" s="217" t="e">
        <f>K11-K12</f>
        <v>#DIV/0!</v>
      </c>
      <c r="L13" s="214"/>
      <c r="M13" s="217" t="e">
        <f>M11-M12</f>
        <v>#DIV/0!</v>
      </c>
    </row>
    <row r="14" spans="1:13" ht="13.5" customHeight="1">
      <c r="A14" s="220"/>
      <c r="B14" s="212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</row>
    <row r="15" spans="1:13" ht="13.5" customHeight="1">
      <c r="A15" s="802" t="s">
        <v>265</v>
      </c>
      <c r="B15" s="212" t="s">
        <v>368</v>
      </c>
      <c r="C15" s="213" t="e">
        <f>'日报表 (3%)'!#REF!</f>
        <v>#REF!</v>
      </c>
      <c r="D15" s="214"/>
      <c r="E15" s="214"/>
      <c r="F15" s="214"/>
      <c r="G15" s="214"/>
      <c r="H15" s="214"/>
      <c r="I15" s="214"/>
      <c r="J15" s="214"/>
      <c r="K15" s="214"/>
      <c r="L15" s="214"/>
      <c r="M15" s="214"/>
    </row>
    <row r="16" spans="1:13" ht="13.5" customHeight="1">
      <c r="A16" s="802"/>
      <c r="B16" s="212" t="s">
        <v>369</v>
      </c>
      <c r="C16" s="215">
        <f>出厂锌精!E948</f>
        <v>0</v>
      </c>
      <c r="D16" s="215" t="e">
        <f>出厂锌精!F948</f>
        <v>#DIV/0!</v>
      </c>
      <c r="E16" s="215">
        <f>出厂锌精!G948</f>
        <v>0</v>
      </c>
      <c r="F16" s="215" t="e">
        <f>出厂锌精!H948</f>
        <v>#DIV/0!</v>
      </c>
      <c r="G16" s="215" t="e">
        <f>出厂锌精!I948</f>
        <v>#DIV/0!</v>
      </c>
      <c r="H16" s="215" t="e">
        <f>出厂锌精!J948</f>
        <v>#DIV/0!</v>
      </c>
      <c r="I16" s="215" t="e">
        <f>出厂锌精!K948</f>
        <v>#DIV/0!</v>
      </c>
      <c r="J16" s="215">
        <f>出厂锌精!L948</f>
        <v>0</v>
      </c>
      <c r="K16" s="215">
        <f>出厂锌精!M948</f>
        <v>0</v>
      </c>
      <c r="L16" s="215">
        <f>出厂锌精!N948</f>
        <v>0</v>
      </c>
      <c r="M16" s="215">
        <f>出厂锌精!O948</f>
        <v>0</v>
      </c>
    </row>
    <row r="17" spans="1:15" ht="13.5" customHeight="1">
      <c r="A17" s="802"/>
      <c r="B17" s="212" t="s">
        <v>370</v>
      </c>
      <c r="C17" s="214" t="e">
        <f>C15-C16</f>
        <v>#REF!</v>
      </c>
      <c r="D17" s="214" t="e">
        <f>D16</f>
        <v>#DIV/0!</v>
      </c>
      <c r="E17" s="214" t="e">
        <f>C17*(100-D17)/100</f>
        <v>#REF!</v>
      </c>
      <c r="F17" s="214"/>
      <c r="G17" s="214"/>
      <c r="H17" s="214" t="e">
        <f>H16</f>
        <v>#DIV/0!</v>
      </c>
      <c r="I17" s="214"/>
      <c r="J17" s="214"/>
      <c r="K17" s="214"/>
      <c r="L17" s="214" t="e">
        <f>E17*H17/100</f>
        <v>#REF!</v>
      </c>
      <c r="M17" s="214"/>
    </row>
    <row r="18" spans="1:15" ht="13.5" customHeight="1">
      <c r="A18" s="802"/>
      <c r="B18" s="212" t="s">
        <v>371</v>
      </c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</row>
    <row r="19" spans="1:15" ht="13.5" customHeight="1">
      <c r="A19" s="802"/>
      <c r="B19" s="212" t="s">
        <v>372</v>
      </c>
      <c r="C19" s="216"/>
      <c r="D19" s="214" t="e">
        <f>D16</f>
        <v>#DIV/0!</v>
      </c>
      <c r="E19" s="214" t="e">
        <f>C19*(100-D19)/100</f>
        <v>#DIV/0!</v>
      </c>
      <c r="F19" s="214"/>
      <c r="G19" s="214"/>
      <c r="H19" s="214" t="e">
        <f>H16</f>
        <v>#DIV/0!</v>
      </c>
      <c r="I19" s="214"/>
      <c r="J19" s="214"/>
      <c r="K19" s="214"/>
      <c r="L19" s="214" t="e">
        <f>E19*H19/100</f>
        <v>#DIV/0!</v>
      </c>
      <c r="M19" s="214"/>
    </row>
    <row r="20" spans="1:15" ht="13.5" customHeight="1">
      <c r="A20" s="802"/>
      <c r="B20" s="212" t="s">
        <v>373</v>
      </c>
      <c r="C20" s="221">
        <v>60</v>
      </c>
      <c r="D20" s="214" t="e">
        <f>D17</f>
        <v>#DIV/0!</v>
      </c>
      <c r="E20" s="214" t="e">
        <f>C20*(100-D20)/100</f>
        <v>#DIV/0!</v>
      </c>
      <c r="F20" s="214"/>
      <c r="G20" s="214"/>
      <c r="H20" s="214" t="e">
        <f>H16</f>
        <v>#DIV/0!</v>
      </c>
      <c r="I20" s="214"/>
      <c r="J20" s="214"/>
      <c r="K20" s="214"/>
      <c r="L20" s="214" t="e">
        <f>E20*H20/100</f>
        <v>#DIV/0!</v>
      </c>
      <c r="M20" s="214"/>
    </row>
    <row r="21" spans="1:15" ht="13.5" customHeight="1">
      <c r="A21" s="802"/>
      <c r="B21" s="212" t="s">
        <v>343</v>
      </c>
      <c r="C21" s="217" t="e">
        <f>C16+C17+C19+C20</f>
        <v>#REF!</v>
      </c>
      <c r="D21" s="214" t="e">
        <f>(C21-E21)/C21*100</f>
        <v>#REF!</v>
      </c>
      <c r="E21" s="214" t="e">
        <f>E16+E17+E19+E20</f>
        <v>#REF!</v>
      </c>
      <c r="F21" s="214"/>
      <c r="G21" s="214"/>
      <c r="H21" s="214" t="e">
        <f>H16</f>
        <v>#DIV/0!</v>
      </c>
      <c r="I21" s="214"/>
      <c r="J21" s="214"/>
      <c r="K21" s="214"/>
      <c r="L21" s="217" t="e">
        <f>E21*H21/100</f>
        <v>#REF!</v>
      </c>
      <c r="M21" s="214"/>
    </row>
    <row r="22" spans="1:15" ht="13.5" customHeight="1">
      <c r="A22" s="802"/>
      <c r="B22" s="212" t="s">
        <v>374</v>
      </c>
      <c r="C22" s="214"/>
      <c r="D22" s="214"/>
      <c r="E22" s="222">
        <f>'班组统计台账（3%）日累'!S16</f>
        <v>0</v>
      </c>
      <c r="F22" s="215"/>
      <c r="G22" s="215" t="str">
        <f>'班组统计台账（3%）日累'!T16</f>
        <v>0.00</v>
      </c>
      <c r="H22" s="215" t="str">
        <f>'班组统计台账（3%）日累'!U16</f>
        <v>0.00</v>
      </c>
      <c r="I22" s="215" t="str">
        <f>'班组统计台账（3%）日累'!V16</f>
        <v>0</v>
      </c>
      <c r="J22" s="222"/>
      <c r="K22" s="222">
        <f>'班组统计台账（3%）日累'!W16</f>
        <v>0</v>
      </c>
      <c r="L22" s="218">
        <f>'班组统计台账（3%）日累'!X16</f>
        <v>0</v>
      </c>
      <c r="M22" s="218">
        <f>'班组统计台账（3%）日累'!Y16</f>
        <v>0</v>
      </c>
      <c r="O22" t="s">
        <v>0</v>
      </c>
    </row>
    <row r="23" spans="1:15" ht="13.5" customHeight="1">
      <c r="A23" s="802"/>
      <c r="B23" s="212" t="s">
        <v>375</v>
      </c>
      <c r="C23" s="214"/>
      <c r="D23" s="214"/>
      <c r="E23" s="219" t="e">
        <f>L23/H16*100</f>
        <v>#REF!</v>
      </c>
      <c r="F23" s="214"/>
      <c r="G23" s="217" t="e">
        <f>G16-G22</f>
        <v>#DIV/0!</v>
      </c>
      <c r="H23" s="217" t="e">
        <f>H21-H22</f>
        <v>#DIV/0!</v>
      </c>
      <c r="I23" s="225" t="e">
        <f>I16-I22</f>
        <v>#DIV/0!</v>
      </c>
      <c r="J23" s="214"/>
      <c r="K23" s="214"/>
      <c r="L23" s="217" t="e">
        <f>L21-L22</f>
        <v>#REF!</v>
      </c>
      <c r="M23" s="214"/>
    </row>
    <row r="24" spans="1:15" ht="13.5" customHeight="1">
      <c r="A24" s="220"/>
      <c r="B24" s="212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</row>
    <row r="25" spans="1:15" ht="13.5" customHeight="1">
      <c r="A25" s="799" t="s">
        <v>376</v>
      </c>
      <c r="B25" s="799"/>
      <c r="C25" s="214"/>
      <c r="D25" s="214"/>
      <c r="E25" s="223">
        <f>'班组统计台账（3%）日累'!D16</f>
        <v>248.32</v>
      </c>
      <c r="F25" s="223"/>
      <c r="G25" s="223">
        <f>'班组统计台账（3%）日累'!E16</f>
        <v>3.91</v>
      </c>
      <c r="H25" s="223">
        <f>'班组统计台账（3%）日累'!F16</f>
        <v>0</v>
      </c>
      <c r="I25" s="223">
        <f>'班组统计台账（3%）日累'!G16</f>
        <v>195.5</v>
      </c>
      <c r="J25" s="223"/>
      <c r="K25" s="226">
        <f>'班组统计台账（3%）日累'!H16</f>
        <v>9.7093120000000006</v>
      </c>
      <c r="L25" s="226">
        <f>'班组统计台账（3%）日累'!I16</f>
        <v>0</v>
      </c>
      <c r="M25" s="226">
        <f>'班组统计台账（3%）日累'!J16</f>
        <v>48.546559999999999</v>
      </c>
    </row>
    <row r="26" spans="1:15" ht="13.5" customHeight="1">
      <c r="A26" s="799" t="s">
        <v>229</v>
      </c>
      <c r="B26" s="799"/>
      <c r="C26" s="798"/>
      <c r="D26" s="798"/>
      <c r="E26" s="798"/>
      <c r="F26" s="217"/>
      <c r="G26" s="217" t="e">
        <f>K11/K25*100</f>
        <v>#DIV/0!</v>
      </c>
      <c r="H26" s="217" t="e">
        <f>L21/L25*100</f>
        <v>#REF!</v>
      </c>
      <c r="I26" s="217" t="e">
        <f>(M11)/M25*100</f>
        <v>#DIV/0!</v>
      </c>
      <c r="J26" s="798"/>
      <c r="K26" s="798"/>
      <c r="L26" s="798"/>
      <c r="M26" s="798"/>
    </row>
    <row r="27" spans="1:15" ht="13.5" customHeight="1">
      <c r="A27" s="799" t="s">
        <v>377</v>
      </c>
      <c r="B27" s="799"/>
      <c r="C27" s="798"/>
      <c r="D27" s="798"/>
      <c r="E27" s="798"/>
      <c r="F27" s="217"/>
      <c r="G27" s="217">
        <f>'班组统计台账（3%）日累'!AH16</f>
        <v>97.348539988275135</v>
      </c>
      <c r="H27" s="217" t="str">
        <f>'班组统计台账（3%）日累'!AI16</f>
        <v>0.00</v>
      </c>
      <c r="I27" s="217">
        <f>'班组统计台账（3%）日累'!AJ16</f>
        <v>99.810273661390255</v>
      </c>
      <c r="J27" s="798"/>
      <c r="K27" s="798"/>
      <c r="L27" s="798"/>
      <c r="M27" s="798"/>
    </row>
    <row r="28" spans="1:15" ht="13.5" customHeight="1">
      <c r="A28" s="799" t="s">
        <v>378</v>
      </c>
      <c r="B28" s="799"/>
      <c r="C28" s="803"/>
      <c r="D28" s="803"/>
      <c r="E28" s="803"/>
      <c r="F28" s="224"/>
      <c r="G28" s="224" t="e">
        <f>G26-G27</f>
        <v>#DIV/0!</v>
      </c>
      <c r="H28" s="224" t="e">
        <f>H26-H27</f>
        <v>#REF!</v>
      </c>
      <c r="I28" s="224" t="e">
        <f>I26-I27</f>
        <v>#DIV/0!</v>
      </c>
      <c r="J28" s="214"/>
      <c r="K28" s="214"/>
      <c r="L28" s="214"/>
      <c r="M28" s="214"/>
    </row>
  </sheetData>
  <mergeCells count="20">
    <mergeCell ref="A28:B28"/>
    <mergeCell ref="C28:E28"/>
    <mergeCell ref="A3:A4"/>
    <mergeCell ref="A5:A13"/>
    <mergeCell ref="A15:A23"/>
    <mergeCell ref="B3:B4"/>
    <mergeCell ref="C3:C4"/>
    <mergeCell ref="D3:D4"/>
    <mergeCell ref="E3:E4"/>
    <mergeCell ref="A26:B26"/>
    <mergeCell ref="C26:E26"/>
    <mergeCell ref="J26:M26"/>
    <mergeCell ref="A27:B27"/>
    <mergeCell ref="C27:E27"/>
    <mergeCell ref="J27:M27"/>
    <mergeCell ref="A1:M1"/>
    <mergeCell ref="L2:M2"/>
    <mergeCell ref="F3:I3"/>
    <mergeCell ref="J3:M3"/>
    <mergeCell ref="A25:B25"/>
  </mergeCells>
  <phoneticPr fontId="54" type="noConversion"/>
  <pageMargins left="0.70866141732283505" right="0.70866141732283505" top="0.74803149606299202" bottom="0.74803149606299202" header="0.31496062992126" footer="0.31496062992126"/>
  <pageSetup paperSize="9" scale="73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7">
    <tabColor rgb="FF7030A0"/>
    <pageSetUpPr fitToPage="1"/>
  </sheetPr>
  <dimension ref="A1:L25"/>
  <sheetViews>
    <sheetView zoomScale="90" zoomScaleNormal="90" workbookViewId="0">
      <selection activeCell="C7" sqref="C7"/>
    </sheetView>
  </sheetViews>
  <sheetFormatPr defaultColWidth="9" defaultRowHeight="14.4"/>
  <cols>
    <col min="1" max="1" width="16" style="157" customWidth="1"/>
    <col min="2" max="11" width="12.6640625" customWidth="1"/>
    <col min="12" max="12" width="10.33203125" customWidth="1"/>
  </cols>
  <sheetData>
    <row r="1" spans="1:12" ht="21" customHeight="1">
      <c r="A1" s="774" t="s">
        <v>379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</row>
    <row r="2" spans="1:12" ht="13.5" customHeight="1">
      <c r="A2" s="775"/>
      <c r="B2" s="776"/>
      <c r="C2" s="776"/>
      <c r="D2" s="776"/>
      <c r="E2" s="776"/>
      <c r="F2" s="776"/>
      <c r="G2" s="776"/>
      <c r="H2" s="776"/>
      <c r="I2" s="776"/>
      <c r="J2" s="776"/>
      <c r="K2" s="776"/>
    </row>
    <row r="3" spans="1:12" ht="20.100000000000001" customHeight="1">
      <c r="A3" s="778">
        <f>基础数据!A2</f>
        <v>45836</v>
      </c>
      <c r="B3" s="158"/>
      <c r="C3" s="777" t="s">
        <v>293</v>
      </c>
      <c r="D3" s="777"/>
      <c r="E3" s="777"/>
      <c r="F3" s="777" t="s">
        <v>261</v>
      </c>
      <c r="G3" s="777"/>
      <c r="H3" s="777"/>
      <c r="I3" s="777" t="s">
        <v>380</v>
      </c>
      <c r="J3" s="777"/>
      <c r="K3" s="777"/>
      <c r="L3" s="201" t="s">
        <v>381</v>
      </c>
    </row>
    <row r="4" spans="1:12" ht="20.100000000000001" customHeight="1">
      <c r="A4" s="779"/>
      <c r="B4" s="159"/>
      <c r="C4" s="160" t="s">
        <v>296</v>
      </c>
      <c r="D4" s="160" t="s">
        <v>154</v>
      </c>
      <c r="E4" s="160" t="s">
        <v>297</v>
      </c>
      <c r="F4" s="160" t="s">
        <v>299</v>
      </c>
      <c r="G4" s="160" t="s">
        <v>300</v>
      </c>
      <c r="H4" s="160" t="s">
        <v>301</v>
      </c>
      <c r="I4" s="160" t="s">
        <v>299</v>
      </c>
      <c r="J4" s="160" t="s">
        <v>300</v>
      </c>
      <c r="K4" s="160" t="s">
        <v>301</v>
      </c>
      <c r="L4" s="201"/>
    </row>
    <row r="5" spans="1:12" s="153" customFormat="1" ht="20.100000000000001" customHeight="1">
      <c r="A5" s="780" t="s">
        <v>382</v>
      </c>
      <c r="B5" s="161" t="s">
        <v>64</v>
      </c>
      <c r="C5" s="162"/>
      <c r="D5" s="162"/>
      <c r="E5" s="163"/>
      <c r="F5" s="164"/>
      <c r="G5" s="164"/>
      <c r="H5" s="162"/>
      <c r="I5" s="162"/>
      <c r="J5" s="162"/>
      <c r="K5" s="162"/>
      <c r="L5" s="202"/>
    </row>
    <row r="6" spans="1:12" s="154" customFormat="1" ht="20.100000000000001" customHeight="1">
      <c r="A6" s="781"/>
      <c r="B6" s="165" t="s">
        <v>65</v>
      </c>
      <c r="C6" s="162"/>
      <c r="D6" s="162"/>
      <c r="E6" s="163"/>
      <c r="F6" s="164"/>
      <c r="G6" s="164"/>
      <c r="H6" s="162"/>
      <c r="I6" s="162"/>
      <c r="J6" s="162"/>
      <c r="K6" s="162"/>
      <c r="L6" s="202"/>
    </row>
    <row r="7" spans="1:12" ht="20.100000000000001" customHeight="1">
      <c r="A7" s="783" t="s">
        <v>383</v>
      </c>
      <c r="B7" s="167" t="s">
        <v>64</v>
      </c>
      <c r="C7" s="168">
        <f>E7/(100-D7)*100</f>
        <v>15.956536908859931</v>
      </c>
      <c r="D7" s="168">
        <v>9.8000000000000007</v>
      </c>
      <c r="E7" s="169">
        <f>'班组统计台账（3%）日累'!L15</f>
        <v>14.392796291791658</v>
      </c>
      <c r="F7" s="169">
        <f>'班组统计台账（3%）日累'!M15</f>
        <v>65.670862584895232</v>
      </c>
      <c r="G7" s="169">
        <f>'班组统计台账（3%）日累'!N15</f>
        <v>0</v>
      </c>
      <c r="H7" s="169">
        <f>'班组统计台账（3%）日累'!O15</f>
        <v>3366.5768212689172</v>
      </c>
      <c r="I7" s="169">
        <f>'班组统计台账（3%）日累'!P15</f>
        <v>9.451873474906396</v>
      </c>
      <c r="J7" s="169">
        <f>'班组统计台账（3%）日累'!Q15</f>
        <v>0</v>
      </c>
      <c r="K7" s="169">
        <f>'班组统计台账（3%）日累'!R15</f>
        <v>48.454454389191021</v>
      </c>
      <c r="L7" s="201"/>
    </row>
    <row r="8" spans="1:12" ht="20.100000000000001" customHeight="1">
      <c r="A8" s="783"/>
      <c r="B8" s="167" t="s">
        <v>65</v>
      </c>
      <c r="C8" s="168">
        <f>E8/(100-D8)*100</f>
        <v>0</v>
      </c>
      <c r="D8" s="168">
        <v>9.8000000000000007</v>
      </c>
      <c r="E8" s="168">
        <f>'班组统计台账（3%）日累'!S15</f>
        <v>0</v>
      </c>
      <c r="F8" s="168" t="str">
        <f>'班组统计台账（3%）日累'!T15</f>
        <v>0.00</v>
      </c>
      <c r="G8" s="168" t="str">
        <f>'班组统计台账（3%）日累'!U15</f>
        <v>0.00</v>
      </c>
      <c r="H8" s="168" t="str">
        <f>'班组统计台账（3%）日累'!V15</f>
        <v>0</v>
      </c>
      <c r="I8" s="168">
        <f>'班组统计台账（3%）日累'!W15</f>
        <v>0</v>
      </c>
      <c r="J8" s="168">
        <f>'班组统计台账（3%）日累'!X15</f>
        <v>0</v>
      </c>
      <c r="K8" s="168">
        <f>'班组统计台账（3%）日累'!Y15</f>
        <v>0</v>
      </c>
      <c r="L8" s="201"/>
    </row>
    <row r="9" spans="1:12" ht="20.100000000000001" customHeight="1">
      <c r="A9" s="166" t="s">
        <v>384</v>
      </c>
      <c r="B9" s="167" t="s">
        <v>385</v>
      </c>
      <c r="C9" s="170">
        <f>E9/(100-D9)*100</f>
        <v>256</v>
      </c>
      <c r="D9" s="170">
        <f>'班组统计台账（3%）日累'!B53</f>
        <v>3.0000000000000027</v>
      </c>
      <c r="E9" s="170">
        <f>'班组统计台账（3%）日累'!D15</f>
        <v>248.32</v>
      </c>
      <c r="F9" s="170">
        <f>'班组统计台账（3%）日累'!E15</f>
        <v>3.91</v>
      </c>
      <c r="G9" s="170">
        <f>'班组统计台账（3%）日累'!F15</f>
        <v>0</v>
      </c>
      <c r="H9" s="170">
        <f>'班组统计台账（3%）日累'!G15</f>
        <v>195.5</v>
      </c>
      <c r="I9" s="170">
        <f>'班组统计台账（3%）日累'!H15</f>
        <v>9.7093120000000006</v>
      </c>
      <c r="J9" s="170">
        <f>'班组统计台账（3%）日累'!I15</f>
        <v>0</v>
      </c>
      <c r="K9" s="170">
        <f>'班组统计台账（3%）日累'!J15</f>
        <v>48.546559999999999</v>
      </c>
      <c r="L9" s="201"/>
    </row>
    <row r="10" spans="1:12" ht="19.5" customHeight="1">
      <c r="A10" s="780" t="s">
        <v>386</v>
      </c>
      <c r="B10" s="171" t="s">
        <v>318</v>
      </c>
      <c r="C10" s="172">
        <f>E10/0.9</f>
        <v>15.991995879768508</v>
      </c>
      <c r="D10" s="172">
        <v>10</v>
      </c>
      <c r="E10" s="172">
        <f t="shared" ref="E10:K10" si="0">E7</f>
        <v>14.392796291791658</v>
      </c>
      <c r="F10" s="173">
        <f t="shared" si="0"/>
        <v>65.670862584895232</v>
      </c>
      <c r="G10" s="170">
        <f t="shared" si="0"/>
        <v>0</v>
      </c>
      <c r="H10" s="172">
        <f t="shared" si="0"/>
        <v>3366.5768212689172</v>
      </c>
      <c r="I10" s="172">
        <f t="shared" si="0"/>
        <v>9.451873474906396</v>
      </c>
      <c r="J10" s="172">
        <f t="shared" si="0"/>
        <v>0</v>
      </c>
      <c r="K10" s="172">
        <f t="shared" si="0"/>
        <v>48.454454389191021</v>
      </c>
      <c r="L10" s="201"/>
    </row>
    <row r="11" spans="1:12" s="153" customFormat="1" ht="20.100000000000001" customHeight="1">
      <c r="A11" s="781"/>
      <c r="B11" s="174" t="s">
        <v>319</v>
      </c>
      <c r="C11" s="175" t="e">
        <f>出厂铅精!#REF!</f>
        <v>#REF!</v>
      </c>
      <c r="D11" s="175" t="e">
        <f>出厂铅精!#REF!</f>
        <v>#REF!</v>
      </c>
      <c r="E11" s="175" t="e">
        <f>出厂铅精!#REF!</f>
        <v>#REF!</v>
      </c>
      <c r="F11" s="175" t="e">
        <f>出厂铅精!#REF!</f>
        <v>#REF!</v>
      </c>
      <c r="G11" s="175" t="e">
        <f>出厂铅精!#REF!</f>
        <v>#REF!</v>
      </c>
      <c r="H11" s="175" t="e">
        <f>出厂铅精!#REF!</f>
        <v>#REF!</v>
      </c>
      <c r="I11" s="175" t="e">
        <f>出厂铅精!#REF!</f>
        <v>#REF!</v>
      </c>
      <c r="J11" s="175" t="e">
        <f>出厂铅精!#REF!</f>
        <v>#REF!</v>
      </c>
      <c r="K11" s="175" t="e">
        <f>出厂铅精!#REF!</f>
        <v>#REF!</v>
      </c>
      <c r="L11" s="203"/>
    </row>
    <row r="12" spans="1:12" ht="20.100000000000001" customHeight="1">
      <c r="A12" s="781"/>
      <c r="B12" s="171" t="s">
        <v>320</v>
      </c>
      <c r="C12" s="176"/>
      <c r="D12" s="177"/>
      <c r="E12" s="176"/>
      <c r="F12" s="178" t="e">
        <f>F10-F11</f>
        <v>#REF!</v>
      </c>
      <c r="G12" s="178" t="e">
        <f>G10-G11</f>
        <v>#REF!</v>
      </c>
      <c r="H12" s="178" t="e">
        <f>H10-H11</f>
        <v>#REF!</v>
      </c>
      <c r="I12" s="176"/>
      <c r="J12" s="176"/>
      <c r="K12" s="176"/>
      <c r="L12" s="201"/>
    </row>
    <row r="13" spans="1:12" s="155" customFormat="1" ht="20.100000000000001" customHeight="1">
      <c r="A13" s="781"/>
      <c r="B13" s="179" t="s">
        <v>321</v>
      </c>
      <c r="C13" s="180">
        <f>E13/0.907</f>
        <v>0</v>
      </c>
      <c r="D13" s="180">
        <v>9.5</v>
      </c>
      <c r="E13" s="180">
        <f t="shared" ref="E13:K13" si="1">E8</f>
        <v>0</v>
      </c>
      <c r="F13" s="180" t="str">
        <f t="shared" si="1"/>
        <v>0.00</v>
      </c>
      <c r="G13" s="181" t="str">
        <f t="shared" si="1"/>
        <v>0.00</v>
      </c>
      <c r="H13" s="180" t="str">
        <f t="shared" si="1"/>
        <v>0</v>
      </c>
      <c r="I13" s="180">
        <f t="shared" si="1"/>
        <v>0</v>
      </c>
      <c r="J13" s="180">
        <f t="shared" si="1"/>
        <v>0</v>
      </c>
      <c r="K13" s="180">
        <f t="shared" si="1"/>
        <v>0</v>
      </c>
      <c r="L13" s="204"/>
    </row>
    <row r="14" spans="1:12" s="156" customFormat="1" ht="20.100000000000001" customHeight="1">
      <c r="A14" s="781"/>
      <c r="B14" s="182" t="s">
        <v>322</v>
      </c>
      <c r="C14" s="183" t="e">
        <f>出厂锌精!E947</f>
        <v>#REF!</v>
      </c>
      <c r="D14" s="183" t="e">
        <f>出厂锌精!F947</f>
        <v>#REF!</v>
      </c>
      <c r="E14" s="183" t="e">
        <f>出厂锌精!G947</f>
        <v>#REF!</v>
      </c>
      <c r="F14" s="183" t="e">
        <f>出厂锌精!I947</f>
        <v>#REF!</v>
      </c>
      <c r="G14" s="183" t="e">
        <f>出厂锌精!J947</f>
        <v>#REF!</v>
      </c>
      <c r="H14" s="183" t="e">
        <f>出厂锌精!K947</f>
        <v>#REF!</v>
      </c>
      <c r="I14" s="183" t="e">
        <f>出厂锌精!M947</f>
        <v>#REF!</v>
      </c>
      <c r="J14" s="183" t="e">
        <f>出厂锌精!N947</f>
        <v>#REF!</v>
      </c>
      <c r="K14" s="183" t="e">
        <f>出厂锌精!O947</f>
        <v>#REF!</v>
      </c>
      <c r="L14" s="205"/>
    </row>
    <row r="15" spans="1:12" s="155" customFormat="1" ht="20.100000000000001" customHeight="1">
      <c r="A15" s="781"/>
      <c r="B15" s="184" t="s">
        <v>323</v>
      </c>
      <c r="C15" s="185"/>
      <c r="D15" s="185"/>
      <c r="E15" s="185"/>
      <c r="F15" s="186" t="e">
        <f>F13-F14</f>
        <v>#REF!</v>
      </c>
      <c r="G15" s="186" t="e">
        <f>G13-G14</f>
        <v>#REF!</v>
      </c>
      <c r="H15" s="186" t="e">
        <f>H13-H14</f>
        <v>#REF!</v>
      </c>
      <c r="I15" s="206"/>
      <c r="J15" s="206"/>
      <c r="K15" s="206"/>
      <c r="L15" s="204"/>
    </row>
    <row r="16" spans="1:12" ht="20.100000000000001" customHeight="1">
      <c r="A16" s="784" t="s">
        <v>328</v>
      </c>
      <c r="B16" s="187" t="s">
        <v>64</v>
      </c>
      <c r="C16" s="188" t="e">
        <f>C11+C5</f>
        <v>#REF!</v>
      </c>
      <c r="D16" s="188" t="e">
        <f>(1-(E16/C16))*100</f>
        <v>#REF!</v>
      </c>
      <c r="E16" s="188" t="e">
        <f>E11+E5</f>
        <v>#REF!</v>
      </c>
      <c r="F16" s="189" t="e">
        <f>I16/E16*100</f>
        <v>#REF!</v>
      </c>
      <c r="G16" s="189" t="e">
        <f>J16/E16*100</f>
        <v>#REF!</v>
      </c>
      <c r="H16" s="189" t="e">
        <f>K16/E16*1000</f>
        <v>#REF!</v>
      </c>
      <c r="I16" s="188" t="e">
        <f>I11+I5</f>
        <v>#REF!</v>
      </c>
      <c r="J16" s="188" t="e">
        <f>J11+J5</f>
        <v>#REF!</v>
      </c>
      <c r="K16" s="188" t="e">
        <f>K11+K5</f>
        <v>#REF!</v>
      </c>
      <c r="L16" s="201"/>
    </row>
    <row r="17" spans="1:12" ht="20.100000000000001" customHeight="1">
      <c r="A17" s="785"/>
      <c r="B17" s="187" t="s">
        <v>65</v>
      </c>
      <c r="C17" s="188" t="e">
        <f>C14+C6</f>
        <v>#REF!</v>
      </c>
      <c r="D17" s="188" t="e">
        <f>(1-(E17/C17))*100</f>
        <v>#REF!</v>
      </c>
      <c r="E17" s="188" t="e">
        <f>E14+E6</f>
        <v>#REF!</v>
      </c>
      <c r="F17" s="189" t="e">
        <f>I17/E17*100</f>
        <v>#REF!</v>
      </c>
      <c r="G17" s="189" t="e">
        <f>J17/E17*100</f>
        <v>#REF!</v>
      </c>
      <c r="H17" s="189" t="e">
        <f>K17/E17*1000</f>
        <v>#REF!</v>
      </c>
      <c r="I17" s="188" t="e">
        <f>I14+I6</f>
        <v>#REF!</v>
      </c>
      <c r="J17" s="188" t="e">
        <f>J14+J6</f>
        <v>#REF!</v>
      </c>
      <c r="K17" s="188" t="e">
        <f>K14+K6</f>
        <v>#REF!</v>
      </c>
      <c r="L17" s="201"/>
    </row>
    <row r="18" spans="1:12" s="153" customFormat="1" ht="18.75" customHeight="1">
      <c r="A18" s="782" t="s">
        <v>329</v>
      </c>
      <c r="B18" s="190" t="s">
        <v>64</v>
      </c>
      <c r="C18" s="191"/>
      <c r="D18" s="192" t="e">
        <f>D11</f>
        <v>#REF!</v>
      </c>
      <c r="E18" s="192" t="e">
        <f>C18*(100-D18)/100</f>
        <v>#REF!</v>
      </c>
      <c r="F18" s="192" t="e">
        <f>F11</f>
        <v>#REF!</v>
      </c>
      <c r="G18" s="192" t="e">
        <f>G11</f>
        <v>#REF!</v>
      </c>
      <c r="H18" s="192" t="e">
        <f>H11</f>
        <v>#REF!</v>
      </c>
      <c r="I18" s="192" t="e">
        <f>E18*F18/100</f>
        <v>#REF!</v>
      </c>
      <c r="J18" s="192" t="e">
        <f>E18*G18/100</f>
        <v>#REF!</v>
      </c>
      <c r="K18" s="192" t="e">
        <f>E18*H18/1000</f>
        <v>#REF!</v>
      </c>
      <c r="L18" s="203"/>
    </row>
    <row r="19" spans="1:12" s="154" customFormat="1" ht="20.100000000000001" customHeight="1">
      <c r="A19" s="783"/>
      <c r="B19" s="193" t="s">
        <v>65</v>
      </c>
      <c r="C19" s="191"/>
      <c r="D19" s="194" t="e">
        <f>D14</f>
        <v>#REF!</v>
      </c>
      <c r="E19" s="194" t="e">
        <f>C19*(100-D19)/100</f>
        <v>#REF!</v>
      </c>
      <c r="F19" s="194" t="e">
        <f>F14</f>
        <v>#REF!</v>
      </c>
      <c r="G19" s="194" t="e">
        <f>G14</f>
        <v>#REF!</v>
      </c>
      <c r="H19" s="194" t="e">
        <f>H14</f>
        <v>#REF!</v>
      </c>
      <c r="I19" s="194" t="e">
        <f>E19*F19/100</f>
        <v>#REF!</v>
      </c>
      <c r="J19" s="194" t="e">
        <f>E19*G19/100</f>
        <v>#REF!</v>
      </c>
      <c r="K19" s="194" t="e">
        <f>E19*H19/1000</f>
        <v>#REF!</v>
      </c>
      <c r="L19" s="207"/>
    </row>
    <row r="20" spans="1:12" s="154" customFormat="1" ht="32.1" customHeight="1">
      <c r="A20" s="787" t="s">
        <v>330</v>
      </c>
      <c r="B20" s="195" t="s">
        <v>64</v>
      </c>
      <c r="C20" s="169" t="e">
        <f>C18+C11-C5</f>
        <v>#REF!</v>
      </c>
      <c r="D20" s="169" t="e">
        <f>D11</f>
        <v>#REF!</v>
      </c>
      <c r="E20" s="194" t="e">
        <f>C20*(100-D20)/100</f>
        <v>#REF!</v>
      </c>
      <c r="F20" s="169" t="e">
        <f>I20/E20*100</f>
        <v>#REF!</v>
      </c>
      <c r="G20" s="169" t="e">
        <f>J20/E20*100</f>
        <v>#REF!</v>
      </c>
      <c r="H20" s="169" t="e">
        <f>K20/E20*1000</f>
        <v>#REF!</v>
      </c>
      <c r="I20" s="208" t="e">
        <f>I18+I11-I5</f>
        <v>#REF!</v>
      </c>
      <c r="J20" s="169" t="e">
        <f>J18+J11-J5</f>
        <v>#REF!</v>
      </c>
      <c r="K20" s="169" t="e">
        <f>K18+K11-K5</f>
        <v>#REF!</v>
      </c>
      <c r="L20" s="207"/>
    </row>
    <row r="21" spans="1:12" ht="36.9" customHeight="1">
      <c r="A21" s="788"/>
      <c r="B21" s="196" t="s">
        <v>65</v>
      </c>
      <c r="C21" s="169" t="e">
        <f>C19+C14-C6</f>
        <v>#REF!</v>
      </c>
      <c r="D21" s="169" t="e">
        <f>D14</f>
        <v>#REF!</v>
      </c>
      <c r="E21" s="194" t="e">
        <f>C21*(100-D21)/100</f>
        <v>#REF!</v>
      </c>
      <c r="F21" s="169" t="e">
        <f>I21/E21*100</f>
        <v>#REF!</v>
      </c>
      <c r="G21" s="169" t="e">
        <f>J21/E21*100</f>
        <v>#REF!</v>
      </c>
      <c r="H21" s="169" t="e">
        <f>K21/E21*1000</f>
        <v>#REF!</v>
      </c>
      <c r="I21" s="169" t="e">
        <f>I19+I14-I6</f>
        <v>#REF!</v>
      </c>
      <c r="J21" s="209" t="e">
        <f>J19+J14-J6</f>
        <v>#REF!</v>
      </c>
      <c r="K21" s="169" t="e">
        <f>K19+K14-K6</f>
        <v>#REF!</v>
      </c>
      <c r="L21" s="201"/>
    </row>
    <row r="22" spans="1:12" ht="20.100000000000001" customHeight="1">
      <c r="A22" s="197" t="s">
        <v>333</v>
      </c>
      <c r="B22" s="198"/>
      <c r="C22" s="199"/>
      <c r="D22" s="199"/>
      <c r="E22" s="199"/>
      <c r="F22" s="200">
        <f>I7/I9*100</f>
        <v>97.348539988275135</v>
      </c>
      <c r="G22" s="200" t="e">
        <f>J8/J9*100</f>
        <v>#DIV/0!</v>
      </c>
      <c r="H22" s="200">
        <f>((K7)/K9)*100</f>
        <v>99.810273661390255</v>
      </c>
      <c r="I22" s="199"/>
      <c r="J22" s="199"/>
      <c r="K22" s="199"/>
      <c r="L22" s="201"/>
    </row>
    <row r="23" spans="1:12" ht="20.100000000000001" customHeight="1">
      <c r="A23" s="197" t="s">
        <v>334</v>
      </c>
      <c r="B23" s="198"/>
      <c r="C23" s="199"/>
      <c r="D23" s="199"/>
      <c r="E23" s="199"/>
      <c r="F23" s="200" t="e">
        <f>I20/I9*100</f>
        <v>#REF!</v>
      </c>
      <c r="G23" s="200" t="e">
        <f>J21/J9*100</f>
        <v>#REF!</v>
      </c>
      <c r="H23" s="200" t="e">
        <f>(K20)/K9*100</f>
        <v>#REF!</v>
      </c>
      <c r="I23" s="199"/>
      <c r="J23" s="199"/>
      <c r="K23" s="199"/>
      <c r="L23" s="201"/>
    </row>
    <row r="25" spans="1:12">
      <c r="C25" t="s">
        <v>0</v>
      </c>
    </row>
  </sheetData>
  <mergeCells count="12">
    <mergeCell ref="A20:A21"/>
    <mergeCell ref="A5:A6"/>
    <mergeCell ref="A7:A8"/>
    <mergeCell ref="A10:A15"/>
    <mergeCell ref="A16:A17"/>
    <mergeCell ref="A18:A19"/>
    <mergeCell ref="A1:K1"/>
    <mergeCell ref="A2:K2"/>
    <mergeCell ref="C3:E3"/>
    <mergeCell ref="F3:H3"/>
    <mergeCell ref="I3:K3"/>
    <mergeCell ref="A3:A4"/>
  </mergeCells>
  <phoneticPr fontId="54" type="noConversion"/>
  <pageMargins left="1.0263888888888899" right="0.75138888888888899" top="0.21249999999999999" bottom="0.21249999999999999" header="0.51180555555555596" footer="0.51180555555555596"/>
  <pageSetup paperSize="9" scale="84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1"/>
  <dimension ref="A1:O242"/>
  <sheetViews>
    <sheetView workbookViewId="0">
      <selection activeCell="C5" sqref="C5"/>
    </sheetView>
  </sheetViews>
  <sheetFormatPr defaultColWidth="9" defaultRowHeight="15.6"/>
  <cols>
    <col min="1" max="1" width="9.109375" style="36" customWidth="1"/>
    <col min="2" max="2" width="10.44140625" style="37" customWidth="1"/>
    <col min="3" max="3" width="12" style="100" customWidth="1"/>
    <col min="4" max="4" width="17.109375" style="39" customWidth="1"/>
    <col min="5" max="5" width="9.6640625" style="40" customWidth="1"/>
    <col min="6" max="6" width="9.77734375" style="86" customWidth="1"/>
    <col min="7" max="7" width="10" style="36" customWidth="1"/>
    <col min="8" max="11" width="9.5546875" style="36" customWidth="1"/>
    <col min="12" max="12" width="10.109375" style="36" customWidth="1"/>
    <col min="13" max="13" width="11.77734375" style="36" customWidth="1"/>
    <col min="14" max="14" width="11.6640625" style="36" customWidth="1"/>
    <col min="15" max="15" width="12.6640625" style="36" customWidth="1"/>
    <col min="16" max="16384" width="9" style="36"/>
  </cols>
  <sheetData>
    <row r="1" spans="1:15" ht="34.049999999999997" customHeight="1">
      <c r="A1" s="804" t="s">
        <v>768</v>
      </c>
      <c r="B1" s="804"/>
      <c r="C1" s="805"/>
      <c r="D1" s="804"/>
      <c r="E1" s="806"/>
      <c r="F1" s="806"/>
      <c r="G1" s="804"/>
      <c r="H1" s="804"/>
      <c r="I1" s="804"/>
      <c r="J1" s="804"/>
      <c r="K1" s="804"/>
      <c r="L1" s="804"/>
      <c r="M1" s="804"/>
      <c r="N1" s="804"/>
      <c r="O1" s="804"/>
    </row>
    <row r="2" spans="1:15" ht="15.75" customHeight="1">
      <c r="A2" s="814" t="s">
        <v>388</v>
      </c>
      <c r="B2" s="816" t="s">
        <v>177</v>
      </c>
      <c r="C2" s="818" t="s">
        <v>389</v>
      </c>
      <c r="D2" s="820" t="s">
        <v>390</v>
      </c>
      <c r="E2" s="807" t="s">
        <v>293</v>
      </c>
      <c r="F2" s="807"/>
      <c r="G2" s="808"/>
      <c r="H2" s="808" t="s">
        <v>294</v>
      </c>
      <c r="I2" s="808"/>
      <c r="J2" s="808"/>
      <c r="K2" s="808"/>
      <c r="L2" s="808" t="s">
        <v>295</v>
      </c>
      <c r="M2" s="808"/>
      <c r="N2" s="808"/>
      <c r="O2" s="809"/>
    </row>
    <row r="3" spans="1:15" ht="17.25" customHeight="1">
      <c r="A3" s="815"/>
      <c r="B3" s="817"/>
      <c r="C3" s="819"/>
      <c r="D3" s="821"/>
      <c r="E3" s="47" t="s">
        <v>296</v>
      </c>
      <c r="F3" s="47" t="s">
        <v>154</v>
      </c>
      <c r="G3" s="46" t="s">
        <v>297</v>
      </c>
      <c r="H3" s="46" t="s">
        <v>62</v>
      </c>
      <c r="I3" s="46" t="s">
        <v>6</v>
      </c>
      <c r="J3" s="46" t="s">
        <v>7</v>
      </c>
      <c r="K3" s="46" t="s">
        <v>51</v>
      </c>
      <c r="L3" s="46" t="s">
        <v>298</v>
      </c>
      <c r="M3" s="46" t="s">
        <v>299</v>
      </c>
      <c r="N3" s="46" t="s">
        <v>300</v>
      </c>
      <c r="O3" s="56" t="s">
        <v>301</v>
      </c>
    </row>
    <row r="4" spans="1:15" ht="15.9" customHeight="1">
      <c r="A4" s="101"/>
      <c r="B4" s="102"/>
      <c r="C4" s="103"/>
      <c r="D4" s="104"/>
      <c r="E4" s="105"/>
      <c r="F4" s="11"/>
      <c r="G4" s="52"/>
      <c r="H4" s="11"/>
      <c r="I4" s="11"/>
      <c r="J4" s="11"/>
      <c r="K4" s="57"/>
      <c r="L4" s="58"/>
      <c r="M4" s="58"/>
      <c r="N4" s="58"/>
      <c r="O4" s="58"/>
    </row>
    <row r="5" spans="1:15" ht="15.9" customHeight="1">
      <c r="A5" s="101"/>
      <c r="B5" s="102"/>
      <c r="C5" s="103"/>
      <c r="D5" s="104"/>
      <c r="E5" s="105"/>
      <c r="F5" s="11"/>
      <c r="G5" s="52"/>
      <c r="H5" s="11"/>
      <c r="I5" s="11"/>
      <c r="J5" s="11"/>
      <c r="K5" s="57"/>
      <c r="L5" s="58"/>
      <c r="M5" s="58"/>
      <c r="N5" s="58"/>
      <c r="O5" s="58"/>
    </row>
    <row r="6" spans="1:15" ht="15.9" customHeight="1">
      <c r="A6" s="101"/>
      <c r="B6" s="102"/>
      <c r="C6" s="103"/>
      <c r="D6" s="104"/>
      <c r="E6" s="105"/>
      <c r="F6" s="11"/>
      <c r="G6" s="52"/>
      <c r="H6" s="11"/>
      <c r="I6" s="11"/>
      <c r="J6" s="11"/>
      <c r="K6" s="57"/>
      <c r="L6" s="58"/>
      <c r="M6" s="58"/>
      <c r="N6" s="58"/>
      <c r="O6" s="58"/>
    </row>
    <row r="7" spans="1:15" ht="15.9" customHeight="1">
      <c r="A7" s="101"/>
      <c r="B7" s="102"/>
      <c r="C7" s="103"/>
      <c r="D7" s="104"/>
      <c r="E7" s="105"/>
      <c r="F7" s="11"/>
      <c r="G7" s="52"/>
      <c r="H7" s="11"/>
      <c r="I7" s="11"/>
      <c r="J7" s="11"/>
      <c r="K7" s="57"/>
      <c r="L7" s="58"/>
      <c r="M7" s="58"/>
      <c r="N7" s="58"/>
      <c r="O7" s="58"/>
    </row>
    <row r="8" spans="1:15" ht="15.9" customHeight="1">
      <c r="A8" s="101"/>
      <c r="B8" s="102"/>
      <c r="C8" s="103"/>
      <c r="D8" s="104"/>
      <c r="E8" s="105"/>
      <c r="F8" s="11"/>
      <c r="G8" s="52"/>
      <c r="H8" s="11"/>
      <c r="I8" s="11"/>
      <c r="J8" s="11"/>
      <c r="K8" s="57"/>
      <c r="L8" s="58"/>
      <c r="M8" s="58"/>
      <c r="N8" s="58"/>
      <c r="O8" s="58"/>
    </row>
    <row r="9" spans="1:15" ht="15.9" customHeight="1">
      <c r="A9" s="101"/>
      <c r="B9" s="102"/>
      <c r="C9" s="103"/>
      <c r="D9" s="104"/>
      <c r="E9" s="105"/>
      <c r="F9" s="11"/>
      <c r="G9" s="52"/>
      <c r="H9" s="11"/>
      <c r="I9" s="11"/>
      <c r="J9" s="11"/>
      <c r="K9" s="57"/>
      <c r="L9" s="58"/>
      <c r="M9" s="58"/>
      <c r="N9" s="58"/>
      <c r="O9" s="58"/>
    </row>
    <row r="10" spans="1:15" ht="15.9" customHeight="1">
      <c r="A10" s="101"/>
      <c r="B10" s="102"/>
      <c r="C10" s="103"/>
      <c r="D10" s="104"/>
      <c r="E10" s="105"/>
      <c r="F10" s="11"/>
      <c r="G10" s="52"/>
      <c r="H10" s="11"/>
      <c r="I10" s="11"/>
      <c r="J10" s="11"/>
      <c r="K10" s="57"/>
      <c r="L10" s="58"/>
      <c r="M10" s="58"/>
      <c r="N10" s="58"/>
      <c r="O10" s="58"/>
    </row>
    <row r="11" spans="1:15" ht="15.9" customHeight="1">
      <c r="A11" s="101"/>
      <c r="B11" s="102"/>
      <c r="C11" s="103"/>
      <c r="D11" s="104"/>
      <c r="E11" s="105"/>
      <c r="F11" s="11"/>
      <c r="G11" s="52"/>
      <c r="H11" s="11"/>
      <c r="I11" s="11"/>
      <c r="J11" s="11"/>
      <c r="K11" s="57"/>
      <c r="L11" s="58"/>
      <c r="M11" s="58"/>
      <c r="N11" s="58"/>
      <c r="O11" s="58"/>
    </row>
    <row r="12" spans="1:15" ht="15.9" customHeight="1">
      <c r="A12" s="101"/>
      <c r="B12" s="102"/>
      <c r="C12" s="103"/>
      <c r="D12" s="104"/>
      <c r="E12" s="105"/>
      <c r="F12" s="11"/>
      <c r="G12" s="52"/>
      <c r="H12" s="11"/>
      <c r="I12" s="11"/>
      <c r="J12" s="11"/>
      <c r="K12" s="57"/>
      <c r="L12" s="58"/>
      <c r="M12" s="58"/>
      <c r="N12" s="58"/>
      <c r="O12" s="58"/>
    </row>
    <row r="13" spans="1:15" ht="15.9" customHeight="1">
      <c r="A13" s="101"/>
      <c r="B13" s="102"/>
      <c r="C13" s="103"/>
      <c r="D13" s="104"/>
      <c r="E13" s="105"/>
      <c r="F13" s="11"/>
      <c r="G13" s="52"/>
      <c r="H13" s="11"/>
      <c r="I13" s="11"/>
      <c r="J13" s="11"/>
      <c r="K13" s="57"/>
      <c r="L13" s="58"/>
      <c r="M13" s="58"/>
      <c r="N13" s="58"/>
      <c r="O13" s="58"/>
    </row>
    <row r="14" spans="1:15" ht="15.9" customHeight="1">
      <c r="A14" s="101"/>
      <c r="B14" s="102"/>
      <c r="C14" s="103"/>
      <c r="D14" s="104"/>
      <c r="E14" s="105"/>
      <c r="F14" s="11"/>
      <c r="G14" s="52"/>
      <c r="H14" s="11"/>
      <c r="I14" s="11"/>
      <c r="J14" s="11"/>
      <c r="K14" s="57"/>
      <c r="L14" s="58"/>
      <c r="M14" s="58"/>
      <c r="N14" s="58"/>
      <c r="O14" s="58"/>
    </row>
    <row r="15" spans="1:15" ht="15.9" customHeight="1">
      <c r="A15" s="101"/>
      <c r="B15" s="102"/>
      <c r="C15" s="103"/>
      <c r="D15" s="104"/>
      <c r="E15" s="105"/>
      <c r="F15" s="11"/>
      <c r="G15" s="52"/>
      <c r="H15" s="11"/>
      <c r="I15" s="11"/>
      <c r="J15" s="11"/>
      <c r="K15" s="57"/>
      <c r="L15" s="58"/>
      <c r="M15" s="58"/>
      <c r="N15" s="58"/>
      <c r="O15" s="58"/>
    </row>
    <row r="16" spans="1:15" ht="15.9" customHeight="1">
      <c r="A16" s="101"/>
      <c r="B16" s="102"/>
      <c r="C16" s="103"/>
      <c r="D16" s="104"/>
      <c r="E16" s="105"/>
      <c r="F16" s="11"/>
      <c r="G16" s="52"/>
      <c r="H16" s="11"/>
      <c r="I16" s="11"/>
      <c r="J16" s="11"/>
      <c r="K16" s="57"/>
      <c r="L16" s="58"/>
      <c r="M16" s="58"/>
      <c r="N16" s="58"/>
      <c r="O16" s="58"/>
    </row>
    <row r="17" spans="1:15" ht="15.9" customHeight="1">
      <c r="A17" s="101"/>
      <c r="B17" s="102"/>
      <c r="C17" s="103"/>
      <c r="D17" s="104"/>
      <c r="E17" s="105"/>
      <c r="F17" s="11"/>
      <c r="G17" s="52"/>
      <c r="H17" s="11"/>
      <c r="I17" s="11"/>
      <c r="J17" s="11"/>
      <c r="K17" s="57"/>
      <c r="L17" s="58"/>
      <c r="M17" s="58"/>
      <c r="N17" s="58"/>
      <c r="O17" s="58"/>
    </row>
    <row r="18" spans="1:15" ht="15.9" customHeight="1">
      <c r="A18" s="101"/>
      <c r="B18" s="102"/>
      <c r="C18" s="106"/>
      <c r="D18" s="104"/>
      <c r="E18" s="11"/>
      <c r="F18" s="11"/>
      <c r="G18" s="52"/>
      <c r="H18" s="11"/>
      <c r="I18" s="11"/>
      <c r="J18" s="11"/>
      <c r="K18" s="57"/>
      <c r="L18" s="58"/>
      <c r="M18" s="58"/>
      <c r="N18" s="58"/>
      <c r="O18" s="58"/>
    </row>
    <row r="19" spans="1:15" ht="15.9" customHeight="1">
      <c r="A19" s="101"/>
      <c r="B19" s="102"/>
      <c r="C19" s="106"/>
      <c r="D19" s="104"/>
      <c r="E19" s="11"/>
      <c r="F19" s="11"/>
      <c r="G19" s="52"/>
      <c r="H19" s="11"/>
      <c r="I19" s="11"/>
      <c r="J19" s="11"/>
      <c r="K19" s="57"/>
      <c r="L19" s="58"/>
      <c r="M19" s="58"/>
      <c r="N19" s="58"/>
      <c r="O19" s="58"/>
    </row>
    <row r="20" spans="1:15" ht="15.9" customHeight="1">
      <c r="A20" s="101"/>
      <c r="B20" s="102"/>
      <c r="C20" s="106"/>
      <c r="D20" s="104"/>
      <c r="E20" s="11"/>
      <c r="F20" s="11"/>
      <c r="G20" s="52"/>
      <c r="H20" s="11"/>
      <c r="I20" s="11"/>
      <c r="J20" s="11"/>
      <c r="K20" s="57"/>
      <c r="L20" s="58"/>
      <c r="M20" s="58"/>
      <c r="N20" s="58"/>
      <c r="O20" s="58"/>
    </row>
    <row r="21" spans="1:15" ht="15.9" customHeight="1">
      <c r="A21" s="101"/>
      <c r="B21" s="102"/>
      <c r="C21" s="106"/>
      <c r="D21" s="107"/>
      <c r="E21" s="11"/>
      <c r="F21" s="11"/>
      <c r="G21" s="52"/>
      <c r="H21" s="11"/>
      <c r="I21" s="11"/>
      <c r="J21" s="11"/>
      <c r="K21" s="57"/>
      <c r="L21" s="58"/>
      <c r="M21" s="58"/>
      <c r="N21" s="58"/>
      <c r="O21" s="58"/>
    </row>
    <row r="22" spans="1:15" ht="15.9" customHeight="1">
      <c r="A22" s="101"/>
      <c r="B22" s="102"/>
      <c r="C22" s="106"/>
      <c r="D22" s="107"/>
      <c r="E22" s="11"/>
      <c r="F22" s="11"/>
      <c r="G22" s="52"/>
      <c r="H22" s="11"/>
      <c r="I22" s="11"/>
      <c r="J22" s="11"/>
      <c r="K22" s="57"/>
      <c r="L22" s="58"/>
      <c r="M22" s="58"/>
      <c r="N22" s="58"/>
      <c r="O22" s="58"/>
    </row>
    <row r="23" spans="1:15" ht="15.9" customHeight="1">
      <c r="A23" s="101"/>
      <c r="B23" s="102"/>
      <c r="C23" s="106"/>
      <c r="D23" s="107"/>
      <c r="E23" s="11"/>
      <c r="F23" s="11"/>
      <c r="G23" s="52"/>
      <c r="H23" s="11"/>
      <c r="I23" s="11"/>
      <c r="J23" s="11"/>
      <c r="K23" s="57"/>
      <c r="L23" s="58"/>
      <c r="M23" s="58"/>
      <c r="N23" s="58"/>
      <c r="O23" s="58"/>
    </row>
    <row r="24" spans="1:15" ht="15.9" customHeight="1">
      <c r="A24" s="101"/>
      <c r="B24" s="102"/>
      <c r="C24" s="106"/>
      <c r="D24" s="107"/>
      <c r="E24" s="11"/>
      <c r="F24" s="11"/>
      <c r="G24" s="52"/>
      <c r="H24" s="11"/>
      <c r="I24" s="11"/>
      <c r="J24" s="11"/>
      <c r="K24" s="57"/>
      <c r="L24" s="58"/>
      <c r="M24" s="58"/>
      <c r="N24" s="58"/>
      <c r="O24" s="58"/>
    </row>
    <row r="25" spans="1:15" ht="15.9" customHeight="1">
      <c r="A25" s="101"/>
      <c r="B25" s="102"/>
      <c r="C25" s="106"/>
      <c r="D25" s="107"/>
      <c r="E25" s="11"/>
      <c r="F25" s="11"/>
      <c r="G25" s="52"/>
      <c r="H25" s="11"/>
      <c r="I25" s="11"/>
      <c r="J25" s="11"/>
      <c r="K25" s="57"/>
      <c r="L25" s="58"/>
      <c r="M25" s="58"/>
      <c r="N25" s="58"/>
      <c r="O25" s="58"/>
    </row>
    <row r="26" spans="1:15" ht="15.9" customHeight="1">
      <c r="A26" s="101"/>
      <c r="B26" s="102"/>
      <c r="C26" s="106"/>
      <c r="D26" s="107"/>
      <c r="E26" s="105"/>
      <c r="F26" s="11"/>
      <c r="G26" s="52"/>
      <c r="H26" s="11"/>
      <c r="I26" s="11"/>
      <c r="J26" s="11"/>
      <c r="K26" s="57"/>
      <c r="L26" s="58"/>
      <c r="M26" s="58"/>
      <c r="N26" s="58"/>
      <c r="O26" s="58"/>
    </row>
    <row r="27" spans="1:15" ht="15.9" customHeight="1">
      <c r="A27" s="101"/>
      <c r="B27" s="102"/>
      <c r="C27" s="106"/>
      <c r="D27" s="107"/>
      <c r="E27" s="105"/>
      <c r="F27" s="11"/>
      <c r="G27" s="52"/>
      <c r="H27" s="11"/>
      <c r="I27" s="11"/>
      <c r="J27" s="11"/>
      <c r="K27" s="57"/>
      <c r="L27" s="58"/>
      <c r="M27" s="58"/>
      <c r="N27" s="58"/>
      <c r="O27" s="58"/>
    </row>
    <row r="28" spans="1:15" ht="15.9" customHeight="1">
      <c r="A28" s="101"/>
      <c r="B28" s="102"/>
      <c r="C28" s="106"/>
      <c r="D28" s="107"/>
      <c r="E28" s="105"/>
      <c r="F28" s="11"/>
      <c r="G28" s="52"/>
      <c r="H28" s="11"/>
      <c r="I28" s="11"/>
      <c r="J28" s="11"/>
      <c r="K28" s="57"/>
      <c r="L28" s="58"/>
      <c r="M28" s="58"/>
      <c r="N28" s="58"/>
      <c r="O28" s="58"/>
    </row>
    <row r="29" spans="1:15" ht="15.9" customHeight="1">
      <c r="A29" s="101"/>
      <c r="B29" s="102"/>
      <c r="C29" s="106"/>
      <c r="D29" s="107"/>
      <c r="E29" s="105"/>
      <c r="F29" s="11"/>
      <c r="G29" s="52"/>
      <c r="H29" s="11"/>
      <c r="I29" s="11"/>
      <c r="J29" s="11"/>
      <c r="K29" s="57"/>
      <c r="L29" s="58"/>
      <c r="M29" s="58"/>
      <c r="N29" s="58"/>
      <c r="O29" s="58"/>
    </row>
    <row r="30" spans="1:15" ht="15.9" customHeight="1">
      <c r="A30" s="101"/>
      <c r="B30" s="102"/>
      <c r="C30" s="106"/>
      <c r="D30" s="107"/>
      <c r="E30" s="105"/>
      <c r="F30" s="11"/>
      <c r="G30" s="52"/>
      <c r="H30" s="11"/>
      <c r="I30" s="11"/>
      <c r="J30" s="11"/>
      <c r="K30" s="57"/>
      <c r="L30" s="58"/>
      <c r="M30" s="58"/>
      <c r="N30" s="58"/>
      <c r="O30" s="58"/>
    </row>
    <row r="31" spans="1:15" ht="15.9" customHeight="1">
      <c r="A31" s="101"/>
      <c r="B31" s="102"/>
      <c r="C31" s="106"/>
      <c r="D31" s="107"/>
      <c r="E31" s="105"/>
      <c r="F31" s="11"/>
      <c r="G31" s="52"/>
      <c r="H31" s="11"/>
      <c r="I31" s="11"/>
      <c r="J31" s="11"/>
      <c r="K31" s="57"/>
      <c r="L31" s="58"/>
      <c r="M31" s="58"/>
      <c r="N31" s="58"/>
      <c r="O31" s="58"/>
    </row>
    <row r="32" spans="1:15" ht="15.9" customHeight="1">
      <c r="A32" s="101"/>
      <c r="B32" s="102"/>
      <c r="C32" s="106"/>
      <c r="D32" s="107"/>
      <c r="E32" s="105"/>
      <c r="F32" s="11"/>
      <c r="G32" s="52"/>
      <c r="H32" s="11"/>
      <c r="I32" s="11"/>
      <c r="J32" s="11"/>
      <c r="K32" s="57"/>
      <c r="L32" s="58"/>
      <c r="M32" s="58"/>
      <c r="N32" s="58"/>
      <c r="O32" s="58"/>
    </row>
    <row r="33" spans="1:15" ht="15.9" customHeight="1">
      <c r="A33" s="101"/>
      <c r="B33" s="102"/>
      <c r="C33" s="106"/>
      <c r="D33" s="107"/>
      <c r="E33" s="105"/>
      <c r="F33" s="11"/>
      <c r="G33" s="52"/>
      <c r="H33" s="11"/>
      <c r="I33" s="11"/>
      <c r="J33" s="11"/>
      <c r="K33" s="57"/>
      <c r="L33" s="58"/>
      <c r="M33" s="58"/>
      <c r="N33" s="58"/>
      <c r="O33" s="58"/>
    </row>
    <row r="34" spans="1:15" ht="15.9" customHeight="1">
      <c r="A34" s="101"/>
      <c r="B34" s="102"/>
      <c r="C34" s="106"/>
      <c r="D34" s="107"/>
      <c r="E34" s="105"/>
      <c r="F34" s="11"/>
      <c r="G34" s="52"/>
      <c r="H34" s="11"/>
      <c r="I34" s="11"/>
      <c r="J34" s="11"/>
      <c r="K34" s="57"/>
      <c r="L34" s="58"/>
      <c r="M34" s="58"/>
      <c r="N34" s="58"/>
      <c r="O34" s="58"/>
    </row>
    <row r="35" spans="1:15" ht="15.9" customHeight="1">
      <c r="A35" s="101"/>
      <c r="B35" s="102"/>
      <c r="C35" s="106"/>
      <c r="D35" s="107"/>
      <c r="E35" s="105"/>
      <c r="F35" s="11"/>
      <c r="G35" s="52"/>
      <c r="H35" s="11"/>
      <c r="I35" s="11"/>
      <c r="J35" s="11"/>
      <c r="K35" s="57"/>
      <c r="L35" s="58"/>
      <c r="M35" s="58"/>
      <c r="N35" s="58"/>
      <c r="O35" s="58"/>
    </row>
    <row r="36" spans="1:15" ht="15.9" customHeight="1">
      <c r="A36" s="101"/>
      <c r="B36" s="102"/>
      <c r="C36" s="106"/>
      <c r="D36" s="107"/>
      <c r="E36" s="105"/>
      <c r="F36" s="11"/>
      <c r="G36" s="52"/>
      <c r="H36" s="11"/>
      <c r="I36" s="11"/>
      <c r="J36" s="11"/>
      <c r="K36" s="57"/>
      <c r="L36" s="58"/>
      <c r="M36" s="58"/>
      <c r="N36" s="58"/>
      <c r="O36" s="58"/>
    </row>
    <row r="37" spans="1:15" ht="15.9" customHeight="1">
      <c r="A37" s="101"/>
      <c r="B37" s="102"/>
      <c r="C37" s="106"/>
      <c r="D37" s="107"/>
      <c r="E37" s="105"/>
      <c r="F37" s="11"/>
      <c r="G37" s="52"/>
      <c r="H37" s="11"/>
      <c r="I37" s="11"/>
      <c r="J37" s="11"/>
      <c r="K37" s="57"/>
      <c r="L37" s="58"/>
      <c r="M37" s="58"/>
      <c r="N37" s="58"/>
      <c r="O37" s="58"/>
    </row>
    <row r="38" spans="1:15" ht="15.9" customHeight="1">
      <c r="A38" s="101"/>
      <c r="B38" s="102"/>
      <c r="C38" s="106"/>
      <c r="D38" s="107"/>
      <c r="E38" s="105"/>
      <c r="F38" s="11"/>
      <c r="G38" s="52"/>
      <c r="H38" s="11"/>
      <c r="I38" s="11"/>
      <c r="J38" s="11"/>
      <c r="K38" s="57"/>
      <c r="L38" s="58"/>
      <c r="M38" s="58"/>
      <c r="N38" s="58"/>
      <c r="O38" s="58"/>
    </row>
    <row r="39" spans="1:15" ht="15.9" customHeight="1">
      <c r="A39" s="101"/>
      <c r="B39" s="102"/>
      <c r="C39" s="106"/>
      <c r="D39" s="107"/>
      <c r="E39" s="105"/>
      <c r="F39" s="11"/>
      <c r="G39" s="52"/>
      <c r="H39" s="11"/>
      <c r="I39" s="11"/>
      <c r="J39" s="11"/>
      <c r="K39" s="57"/>
      <c r="L39" s="58"/>
      <c r="M39" s="58"/>
      <c r="N39" s="58"/>
      <c r="O39" s="58"/>
    </row>
    <row r="40" spans="1:15" ht="15.9" customHeight="1">
      <c r="A40" s="101"/>
      <c r="B40" s="102"/>
      <c r="C40" s="106"/>
      <c r="D40" s="107"/>
      <c r="E40" s="105"/>
      <c r="F40" s="11"/>
      <c r="G40" s="52"/>
      <c r="H40" s="11"/>
      <c r="I40" s="11"/>
      <c r="J40" s="11"/>
      <c r="K40" s="57"/>
      <c r="L40" s="58"/>
      <c r="M40" s="58"/>
      <c r="N40" s="58"/>
      <c r="O40" s="58"/>
    </row>
    <row r="41" spans="1:15" ht="15.9" customHeight="1">
      <c r="A41" s="101"/>
      <c r="B41" s="102"/>
      <c r="C41" s="106"/>
      <c r="D41" s="107"/>
      <c r="E41" s="105"/>
      <c r="F41" s="11"/>
      <c r="G41" s="52"/>
      <c r="H41" s="11"/>
      <c r="I41" s="11"/>
      <c r="J41" s="11"/>
      <c r="K41" s="57"/>
      <c r="L41" s="58"/>
      <c r="M41" s="58"/>
      <c r="N41" s="58"/>
      <c r="O41" s="58"/>
    </row>
    <row r="42" spans="1:15" ht="15.9" customHeight="1">
      <c r="A42" s="101"/>
      <c r="B42" s="102"/>
      <c r="C42" s="106"/>
      <c r="D42" s="107"/>
      <c r="E42" s="105"/>
      <c r="F42" s="11"/>
      <c r="G42" s="52"/>
      <c r="H42" s="11"/>
      <c r="I42" s="11"/>
      <c r="J42" s="11"/>
      <c r="K42" s="57"/>
      <c r="L42" s="58"/>
      <c r="M42" s="58"/>
      <c r="N42" s="58"/>
      <c r="O42" s="58"/>
    </row>
    <row r="43" spans="1:15" ht="15.9" customHeight="1">
      <c r="A43" s="101"/>
      <c r="B43" s="102"/>
      <c r="C43" s="106"/>
      <c r="D43" s="107"/>
      <c r="E43" s="105"/>
      <c r="F43" s="11"/>
      <c r="G43" s="52"/>
      <c r="H43" s="11"/>
      <c r="I43" s="11"/>
      <c r="J43" s="11"/>
      <c r="K43" s="57"/>
      <c r="L43" s="58"/>
      <c r="M43" s="58"/>
      <c r="N43" s="58"/>
      <c r="O43" s="58"/>
    </row>
    <row r="44" spans="1:15" ht="15.9" customHeight="1">
      <c r="A44" s="101"/>
      <c r="B44" s="102"/>
      <c r="C44" s="106"/>
      <c r="D44" s="107"/>
      <c r="E44" s="105"/>
      <c r="F44" s="11"/>
      <c r="G44" s="52"/>
      <c r="H44" s="11"/>
      <c r="I44" s="11"/>
      <c r="J44" s="11"/>
      <c r="K44" s="57"/>
      <c r="L44" s="58"/>
      <c r="M44" s="58"/>
      <c r="N44" s="58"/>
      <c r="O44" s="58"/>
    </row>
    <row r="45" spans="1:15" ht="15.9" customHeight="1">
      <c r="A45" s="101"/>
      <c r="B45" s="102"/>
      <c r="C45" s="106"/>
      <c r="D45" s="107"/>
      <c r="E45" s="105"/>
      <c r="F45" s="11"/>
      <c r="G45" s="52"/>
      <c r="H45" s="11"/>
      <c r="I45" s="11"/>
      <c r="J45" s="11"/>
      <c r="K45" s="57"/>
      <c r="L45" s="58"/>
      <c r="M45" s="58"/>
      <c r="N45" s="58"/>
      <c r="O45" s="58"/>
    </row>
    <row r="46" spans="1:15" ht="15.9" customHeight="1">
      <c r="A46" s="101"/>
      <c r="B46" s="102"/>
      <c r="C46" s="106"/>
      <c r="D46" s="107"/>
      <c r="E46" s="105"/>
      <c r="F46" s="11"/>
      <c r="G46" s="52"/>
      <c r="H46" s="11"/>
      <c r="I46" s="11"/>
      <c r="J46" s="11"/>
      <c r="K46" s="57"/>
      <c r="L46" s="58"/>
      <c r="M46" s="58"/>
      <c r="N46" s="58"/>
      <c r="O46" s="58"/>
    </row>
    <row r="47" spans="1:15" ht="15.9" customHeight="1">
      <c r="A47" s="101"/>
      <c r="B47" s="102"/>
      <c r="C47" s="106"/>
      <c r="D47" s="107"/>
      <c r="E47" s="105"/>
      <c r="F47" s="11"/>
      <c r="G47" s="52"/>
      <c r="H47" s="11"/>
      <c r="I47" s="11"/>
      <c r="J47" s="11"/>
      <c r="K47" s="57"/>
      <c r="L47" s="58"/>
      <c r="M47" s="58"/>
      <c r="N47" s="58"/>
      <c r="O47" s="58"/>
    </row>
    <row r="48" spans="1:15" ht="15.9" customHeight="1">
      <c r="A48" s="101"/>
      <c r="B48" s="102"/>
      <c r="C48" s="106"/>
      <c r="D48" s="107"/>
      <c r="E48" s="105"/>
      <c r="F48" s="11"/>
      <c r="G48" s="52"/>
      <c r="H48" s="11"/>
      <c r="I48" s="11"/>
      <c r="J48" s="11"/>
      <c r="K48" s="57"/>
      <c r="L48" s="58"/>
      <c r="M48" s="58"/>
      <c r="N48" s="58"/>
      <c r="O48" s="58"/>
    </row>
    <row r="49" spans="1:15" ht="15.9" customHeight="1">
      <c r="A49" s="101"/>
      <c r="B49" s="102"/>
      <c r="C49" s="106"/>
      <c r="D49" s="107"/>
      <c r="E49" s="105"/>
      <c r="F49" s="11"/>
      <c r="G49" s="52"/>
      <c r="H49" s="11"/>
      <c r="I49" s="11"/>
      <c r="J49" s="11"/>
      <c r="K49" s="57"/>
      <c r="L49" s="58"/>
      <c r="M49" s="58"/>
      <c r="N49" s="58"/>
      <c r="O49" s="58"/>
    </row>
    <row r="50" spans="1:15" ht="15.9" customHeight="1">
      <c r="A50" s="101"/>
      <c r="B50" s="102"/>
      <c r="C50" s="106"/>
      <c r="D50" s="107"/>
      <c r="E50" s="105"/>
      <c r="F50" s="11"/>
      <c r="G50" s="52"/>
      <c r="H50" s="11"/>
      <c r="I50" s="11"/>
      <c r="J50" s="11"/>
      <c r="K50" s="57"/>
      <c r="L50" s="58"/>
      <c r="M50" s="58"/>
      <c r="N50" s="58"/>
      <c r="O50" s="58"/>
    </row>
    <row r="51" spans="1:15" ht="15.9" customHeight="1">
      <c r="A51" s="101"/>
      <c r="B51" s="102"/>
      <c r="C51" s="106"/>
      <c r="D51" s="107"/>
      <c r="E51" s="105"/>
      <c r="F51" s="11"/>
      <c r="G51" s="52"/>
      <c r="H51" s="11"/>
      <c r="I51" s="11"/>
      <c r="J51" s="11"/>
      <c r="K51" s="57"/>
      <c r="L51" s="58"/>
      <c r="M51" s="58"/>
      <c r="N51" s="58"/>
      <c r="O51" s="58"/>
    </row>
    <row r="52" spans="1:15" ht="15.9" customHeight="1">
      <c r="A52" s="101"/>
      <c r="B52" s="102"/>
      <c r="C52" s="106"/>
      <c r="D52" s="107"/>
      <c r="E52" s="105"/>
      <c r="F52" s="11"/>
      <c r="G52" s="52"/>
      <c r="H52" s="11"/>
      <c r="I52" s="11"/>
      <c r="J52" s="11"/>
      <c r="K52" s="57"/>
      <c r="L52" s="58"/>
      <c r="M52" s="58"/>
      <c r="N52" s="58"/>
      <c r="O52" s="58"/>
    </row>
    <row r="53" spans="1:15" ht="15.9" customHeight="1">
      <c r="A53" s="101"/>
      <c r="B53" s="102"/>
      <c r="C53" s="106"/>
      <c r="D53" s="107"/>
      <c r="E53" s="105"/>
      <c r="F53" s="11"/>
      <c r="G53" s="52"/>
      <c r="H53" s="11"/>
      <c r="I53" s="11"/>
      <c r="J53" s="11"/>
      <c r="K53" s="57"/>
      <c r="L53" s="58"/>
      <c r="M53" s="58"/>
      <c r="N53" s="58"/>
      <c r="O53" s="58"/>
    </row>
    <row r="54" spans="1:15" ht="15.9" customHeight="1">
      <c r="A54" s="101"/>
      <c r="B54" s="102"/>
      <c r="C54" s="106"/>
      <c r="D54" s="107"/>
      <c r="E54" s="105"/>
      <c r="F54" s="11"/>
      <c r="G54" s="52"/>
      <c r="H54" s="11"/>
      <c r="I54" s="11"/>
      <c r="J54" s="11"/>
      <c r="K54" s="57"/>
      <c r="L54" s="58"/>
      <c r="M54" s="58"/>
      <c r="N54" s="58"/>
      <c r="O54" s="58"/>
    </row>
    <row r="55" spans="1:15" ht="15.9" customHeight="1">
      <c r="A55" s="101"/>
      <c r="B55" s="102"/>
      <c r="C55" s="106"/>
      <c r="D55" s="107"/>
      <c r="E55" s="105"/>
      <c r="F55" s="11"/>
      <c r="G55" s="52"/>
      <c r="H55" s="11"/>
      <c r="I55" s="11"/>
      <c r="J55" s="11"/>
      <c r="K55" s="57"/>
      <c r="L55" s="58"/>
      <c r="M55" s="58"/>
      <c r="N55" s="58"/>
      <c r="O55" s="58"/>
    </row>
    <row r="56" spans="1:15" ht="15.9" customHeight="1">
      <c r="A56" s="101"/>
      <c r="B56" s="102"/>
      <c r="C56" s="106"/>
      <c r="D56" s="107"/>
      <c r="E56" s="105"/>
      <c r="F56" s="11"/>
      <c r="G56" s="52"/>
      <c r="H56" s="11"/>
      <c r="I56" s="11"/>
      <c r="J56" s="11"/>
      <c r="K56" s="57"/>
      <c r="L56" s="58"/>
      <c r="M56" s="58"/>
      <c r="N56" s="58"/>
      <c r="O56" s="58"/>
    </row>
    <row r="57" spans="1:15" ht="15.9" customHeight="1">
      <c r="A57" s="101"/>
      <c r="B57" s="102"/>
      <c r="C57" s="106"/>
      <c r="D57" s="107"/>
      <c r="E57" s="105"/>
      <c r="F57" s="11"/>
      <c r="G57" s="52"/>
      <c r="H57" s="11"/>
      <c r="I57" s="11"/>
      <c r="J57" s="11"/>
      <c r="K57" s="57"/>
      <c r="L57" s="58"/>
      <c r="M57" s="58"/>
      <c r="N57" s="58"/>
      <c r="O57" s="58"/>
    </row>
    <row r="58" spans="1:15" ht="15.9" customHeight="1">
      <c r="A58" s="101"/>
      <c r="B58" s="102"/>
      <c r="C58" s="106"/>
      <c r="D58" s="107"/>
      <c r="E58" s="105"/>
      <c r="F58" s="11"/>
      <c r="G58" s="52"/>
      <c r="H58" s="11"/>
      <c r="I58" s="11"/>
      <c r="J58" s="11"/>
      <c r="K58" s="57"/>
      <c r="L58" s="58"/>
      <c r="M58" s="58"/>
      <c r="N58" s="58"/>
      <c r="O58" s="58"/>
    </row>
    <row r="59" spans="1:15" ht="15.9" customHeight="1">
      <c r="A59" s="101"/>
      <c r="B59" s="102"/>
      <c r="C59" s="106"/>
      <c r="D59" s="107"/>
      <c r="E59" s="105"/>
      <c r="F59" s="11"/>
      <c r="G59" s="52"/>
      <c r="H59" s="11"/>
      <c r="I59" s="11"/>
      <c r="J59" s="11"/>
      <c r="K59" s="57"/>
      <c r="L59" s="58"/>
      <c r="M59" s="58"/>
      <c r="N59" s="58"/>
      <c r="O59" s="58"/>
    </row>
    <row r="60" spans="1:15" ht="15.9" customHeight="1">
      <c r="A60" s="101"/>
      <c r="B60" s="102"/>
      <c r="C60" s="106"/>
      <c r="D60" s="107"/>
      <c r="E60" s="105"/>
      <c r="F60" s="11"/>
      <c r="G60" s="52"/>
      <c r="H60" s="11"/>
      <c r="I60" s="11"/>
      <c r="J60" s="11"/>
      <c r="K60" s="57"/>
      <c r="L60" s="58"/>
      <c r="M60" s="58"/>
      <c r="N60" s="58"/>
      <c r="O60" s="58"/>
    </row>
    <row r="61" spans="1:15" ht="15.9" customHeight="1">
      <c r="A61" s="101"/>
      <c r="B61" s="102"/>
      <c r="C61" s="106"/>
      <c r="D61" s="107"/>
      <c r="E61" s="105"/>
      <c r="F61" s="11"/>
      <c r="G61" s="52"/>
      <c r="H61" s="11"/>
      <c r="I61" s="11"/>
      <c r="J61" s="11"/>
      <c r="K61" s="57"/>
      <c r="L61" s="58"/>
      <c r="M61" s="58"/>
      <c r="N61" s="58"/>
      <c r="O61" s="58"/>
    </row>
    <row r="62" spans="1:15" ht="15.9" customHeight="1">
      <c r="A62" s="101"/>
      <c r="B62" s="102"/>
      <c r="C62" s="106"/>
      <c r="D62" s="107"/>
      <c r="E62" s="105"/>
      <c r="F62" s="11"/>
      <c r="G62" s="52"/>
      <c r="H62" s="11"/>
      <c r="I62" s="11"/>
      <c r="J62" s="11"/>
      <c r="K62" s="57"/>
      <c r="L62" s="58"/>
      <c r="M62" s="58"/>
      <c r="N62" s="58"/>
      <c r="O62" s="58"/>
    </row>
    <row r="63" spans="1:15" ht="15.9" customHeight="1">
      <c r="A63" s="101"/>
      <c r="B63" s="102"/>
      <c r="C63" s="106"/>
      <c r="D63" s="107"/>
      <c r="E63" s="105"/>
      <c r="F63" s="11"/>
      <c r="G63" s="52"/>
      <c r="H63" s="11"/>
      <c r="I63" s="11"/>
      <c r="J63" s="11"/>
      <c r="K63" s="57"/>
      <c r="L63" s="58"/>
      <c r="M63" s="58"/>
      <c r="N63" s="58"/>
      <c r="O63" s="58"/>
    </row>
    <row r="64" spans="1:15" ht="15.9" customHeight="1">
      <c r="A64" s="101"/>
      <c r="B64" s="102"/>
      <c r="C64" s="106"/>
      <c r="D64" s="107"/>
      <c r="E64" s="105"/>
      <c r="F64" s="11"/>
      <c r="G64" s="52"/>
      <c r="H64" s="11"/>
      <c r="I64" s="11"/>
      <c r="J64" s="11"/>
      <c r="K64" s="57"/>
      <c r="L64" s="58"/>
      <c r="M64" s="58"/>
      <c r="N64" s="58"/>
      <c r="O64" s="58"/>
    </row>
    <row r="65" spans="1:15" ht="15.9" customHeight="1">
      <c r="A65" s="101"/>
      <c r="B65" s="102"/>
      <c r="C65" s="106"/>
      <c r="D65" s="107"/>
      <c r="E65" s="105"/>
      <c r="F65" s="11"/>
      <c r="G65" s="52"/>
      <c r="H65" s="11"/>
      <c r="I65" s="11"/>
      <c r="J65" s="11"/>
      <c r="K65" s="57"/>
      <c r="L65" s="58"/>
      <c r="M65" s="58"/>
      <c r="N65" s="58"/>
      <c r="O65" s="58"/>
    </row>
    <row r="66" spans="1:15" ht="15.9" customHeight="1">
      <c r="A66" s="101"/>
      <c r="B66" s="102"/>
      <c r="C66" s="106"/>
      <c r="D66" s="107"/>
      <c r="E66" s="105"/>
      <c r="F66" s="11"/>
      <c r="G66" s="52"/>
      <c r="H66" s="11"/>
      <c r="I66" s="11"/>
      <c r="J66" s="11"/>
      <c r="K66" s="57"/>
      <c r="L66" s="58"/>
      <c r="M66" s="58"/>
      <c r="N66" s="58"/>
      <c r="O66" s="58"/>
    </row>
    <row r="67" spans="1:15" ht="15.9" customHeight="1">
      <c r="A67" s="101"/>
      <c r="B67" s="102"/>
      <c r="C67" s="106"/>
      <c r="D67" s="107"/>
      <c r="E67" s="105"/>
      <c r="F67" s="11"/>
      <c r="G67" s="52"/>
      <c r="H67" s="11"/>
      <c r="I67" s="11"/>
      <c r="J67" s="11"/>
      <c r="K67" s="57"/>
      <c r="L67" s="58"/>
      <c r="M67" s="58"/>
      <c r="N67" s="58"/>
      <c r="O67" s="58"/>
    </row>
    <row r="68" spans="1:15" ht="15.9" customHeight="1">
      <c r="A68" s="101"/>
      <c r="B68" s="102"/>
      <c r="C68" s="106"/>
      <c r="D68" s="107"/>
      <c r="E68" s="105"/>
      <c r="F68" s="11"/>
      <c r="G68" s="52"/>
      <c r="H68" s="11"/>
      <c r="I68" s="11"/>
      <c r="J68" s="11"/>
      <c r="K68" s="57"/>
      <c r="L68" s="58"/>
      <c r="M68" s="58"/>
      <c r="N68" s="58"/>
      <c r="O68" s="58"/>
    </row>
    <row r="69" spans="1:15" ht="15.9" customHeight="1">
      <c r="A69" s="101"/>
      <c r="B69" s="102"/>
      <c r="C69" s="106"/>
      <c r="D69" s="107"/>
      <c r="E69" s="105"/>
      <c r="F69" s="11"/>
      <c r="G69" s="52"/>
      <c r="H69" s="11"/>
      <c r="I69" s="11"/>
      <c r="J69" s="11"/>
      <c r="K69" s="57"/>
      <c r="L69" s="58"/>
      <c r="M69" s="58"/>
      <c r="N69" s="58"/>
      <c r="O69" s="58"/>
    </row>
    <row r="70" spans="1:15" ht="15.9" customHeight="1">
      <c r="A70" s="101"/>
      <c r="B70" s="102"/>
      <c r="C70" s="106"/>
      <c r="D70" s="107"/>
      <c r="E70" s="105"/>
      <c r="F70" s="11"/>
      <c r="G70" s="52"/>
      <c r="H70" s="11"/>
      <c r="I70" s="11"/>
      <c r="J70" s="11"/>
      <c r="K70" s="57"/>
      <c r="L70" s="58"/>
      <c r="M70" s="58"/>
      <c r="N70" s="58"/>
      <c r="O70" s="58"/>
    </row>
    <row r="71" spans="1:15" ht="15.9" customHeight="1">
      <c r="A71" s="101"/>
      <c r="B71" s="102"/>
      <c r="C71" s="106"/>
      <c r="D71" s="107"/>
      <c r="E71" s="105"/>
      <c r="F71" s="11"/>
      <c r="G71" s="52"/>
      <c r="H71" s="11"/>
      <c r="I71" s="11"/>
      <c r="J71" s="11"/>
      <c r="K71" s="57"/>
      <c r="L71" s="58"/>
      <c r="M71" s="58"/>
      <c r="N71" s="58"/>
      <c r="O71" s="58"/>
    </row>
    <row r="72" spans="1:15" ht="15.9" customHeight="1">
      <c r="A72" s="101"/>
      <c r="B72" s="102"/>
      <c r="C72" s="106"/>
      <c r="D72" s="107"/>
      <c r="E72" s="105"/>
      <c r="F72" s="11"/>
      <c r="G72" s="52"/>
      <c r="H72" s="11"/>
      <c r="I72" s="11"/>
      <c r="J72" s="11"/>
      <c r="K72" s="57"/>
      <c r="L72" s="58"/>
      <c r="M72" s="58"/>
      <c r="N72" s="58"/>
      <c r="O72" s="58"/>
    </row>
    <row r="73" spans="1:15" ht="15.9" customHeight="1">
      <c r="A73" s="101"/>
      <c r="B73" s="102"/>
      <c r="C73" s="106"/>
      <c r="D73" s="107"/>
      <c r="E73" s="105"/>
      <c r="F73" s="11"/>
      <c r="G73" s="52"/>
      <c r="H73" s="11"/>
      <c r="I73" s="11"/>
      <c r="J73" s="11"/>
      <c r="K73" s="57"/>
      <c r="L73" s="58"/>
      <c r="M73" s="58"/>
      <c r="N73" s="58"/>
      <c r="O73" s="58"/>
    </row>
    <row r="74" spans="1:15" ht="15.9" customHeight="1">
      <c r="A74" s="101"/>
      <c r="B74" s="102"/>
      <c r="C74" s="106"/>
      <c r="D74" s="107"/>
      <c r="E74" s="105"/>
      <c r="F74" s="11"/>
      <c r="G74" s="52"/>
      <c r="H74" s="11"/>
      <c r="I74" s="11"/>
      <c r="J74" s="11"/>
      <c r="K74" s="57"/>
      <c r="L74" s="58"/>
      <c r="M74" s="58"/>
      <c r="N74" s="58"/>
      <c r="O74" s="58"/>
    </row>
    <row r="75" spans="1:15" ht="15.9" customHeight="1">
      <c r="A75" s="101"/>
      <c r="B75" s="102"/>
      <c r="C75" s="106"/>
      <c r="D75" s="107"/>
      <c r="E75" s="105"/>
      <c r="F75" s="11"/>
      <c r="G75" s="52"/>
      <c r="H75" s="11"/>
      <c r="I75" s="11"/>
      <c r="J75" s="11"/>
      <c r="K75" s="57"/>
      <c r="L75" s="58"/>
      <c r="M75" s="58"/>
      <c r="N75" s="58"/>
      <c r="O75" s="58"/>
    </row>
    <row r="76" spans="1:15" ht="15.9" customHeight="1">
      <c r="A76" s="101"/>
      <c r="B76" s="102"/>
      <c r="C76" s="106"/>
      <c r="D76" s="107"/>
      <c r="E76" s="105"/>
      <c r="F76" s="11"/>
      <c r="G76" s="52"/>
      <c r="H76" s="11"/>
      <c r="I76" s="11"/>
      <c r="J76" s="11"/>
      <c r="K76" s="57"/>
      <c r="L76" s="58"/>
      <c r="M76" s="58"/>
      <c r="N76" s="58"/>
      <c r="O76" s="58"/>
    </row>
    <row r="77" spans="1:15" ht="15.9" customHeight="1">
      <c r="A77" s="101"/>
      <c r="B77" s="102"/>
      <c r="C77" s="106"/>
      <c r="D77" s="107"/>
      <c r="E77" s="105"/>
      <c r="F77" s="11"/>
      <c r="G77" s="52"/>
      <c r="H77" s="11"/>
      <c r="I77" s="11"/>
      <c r="J77" s="11"/>
      <c r="K77" s="57"/>
      <c r="L77" s="58"/>
      <c r="M77" s="58"/>
      <c r="N77" s="58"/>
      <c r="O77" s="58"/>
    </row>
    <row r="78" spans="1:15" ht="15.9" customHeight="1">
      <c r="A78" s="101"/>
      <c r="B78" s="102"/>
      <c r="C78" s="106"/>
      <c r="D78" s="107"/>
      <c r="E78" s="105"/>
      <c r="F78" s="11"/>
      <c r="G78" s="52"/>
      <c r="H78" s="11"/>
      <c r="I78" s="11"/>
      <c r="J78" s="11"/>
      <c r="K78" s="57"/>
      <c r="L78" s="58"/>
      <c r="M78" s="58"/>
      <c r="N78" s="58"/>
      <c r="O78" s="58"/>
    </row>
    <row r="79" spans="1:15" ht="15.9" customHeight="1">
      <c r="A79" s="101"/>
      <c r="B79" s="102"/>
      <c r="C79" s="106"/>
      <c r="D79" s="107"/>
      <c r="E79" s="105"/>
      <c r="F79" s="11"/>
      <c r="G79" s="52"/>
      <c r="H79" s="11"/>
      <c r="I79" s="11"/>
      <c r="J79" s="11"/>
      <c r="K79" s="57"/>
      <c r="L79" s="58"/>
      <c r="M79" s="58"/>
      <c r="N79" s="58"/>
      <c r="O79" s="58"/>
    </row>
    <row r="80" spans="1:15" ht="15.9" customHeight="1">
      <c r="A80" s="101"/>
      <c r="B80" s="102"/>
      <c r="C80" s="106"/>
      <c r="D80" s="107"/>
      <c r="E80" s="105"/>
      <c r="F80" s="11"/>
      <c r="G80" s="52"/>
      <c r="H80" s="11"/>
      <c r="I80" s="11"/>
      <c r="J80" s="11"/>
      <c r="K80" s="57"/>
      <c r="L80" s="58"/>
      <c r="M80" s="58"/>
      <c r="N80" s="58"/>
      <c r="O80" s="58"/>
    </row>
    <row r="81" spans="1:15" ht="15.9" customHeight="1">
      <c r="A81" s="101"/>
      <c r="B81" s="102"/>
      <c r="C81" s="106"/>
      <c r="D81" s="107"/>
      <c r="E81" s="105"/>
      <c r="F81" s="11"/>
      <c r="G81" s="52"/>
      <c r="H81" s="11"/>
      <c r="I81" s="11"/>
      <c r="J81" s="11"/>
      <c r="K81" s="57"/>
      <c r="L81" s="58"/>
      <c r="M81" s="58"/>
      <c r="N81" s="58"/>
      <c r="O81" s="58"/>
    </row>
    <row r="82" spans="1:15" ht="15.9" customHeight="1">
      <c r="A82" s="101"/>
      <c r="B82" s="102"/>
      <c r="C82" s="106"/>
      <c r="D82" s="107"/>
      <c r="E82" s="105"/>
      <c r="F82" s="11"/>
      <c r="G82" s="52"/>
      <c r="H82" s="11"/>
      <c r="I82" s="11"/>
      <c r="J82" s="11"/>
      <c r="K82" s="57"/>
      <c r="L82" s="58"/>
      <c r="M82" s="58"/>
      <c r="N82" s="58"/>
      <c r="O82" s="58"/>
    </row>
    <row r="83" spans="1:15" ht="15.9" customHeight="1">
      <c r="A83" s="101"/>
      <c r="B83" s="102"/>
      <c r="C83" s="106"/>
      <c r="D83" s="107"/>
      <c r="E83" s="105"/>
      <c r="F83" s="11"/>
      <c r="G83" s="52"/>
      <c r="H83" s="11"/>
      <c r="I83" s="11"/>
      <c r="J83" s="11"/>
      <c r="K83" s="57"/>
      <c r="L83" s="58"/>
      <c r="M83" s="58"/>
      <c r="N83" s="58"/>
      <c r="O83" s="58"/>
    </row>
    <row r="84" spans="1:15" ht="15.9" customHeight="1">
      <c r="A84" s="101"/>
      <c r="B84" s="102"/>
      <c r="C84" s="106"/>
      <c r="D84" s="107"/>
      <c r="E84" s="105"/>
      <c r="F84" s="11"/>
      <c r="G84" s="52"/>
      <c r="H84" s="11"/>
      <c r="I84" s="11"/>
      <c r="J84" s="11"/>
      <c r="K84" s="57"/>
      <c r="L84" s="58"/>
      <c r="M84" s="58"/>
      <c r="N84" s="58"/>
      <c r="O84" s="58"/>
    </row>
    <row r="85" spans="1:15" ht="15.9" customHeight="1">
      <c r="A85" s="101"/>
      <c r="B85" s="102"/>
      <c r="C85" s="106"/>
      <c r="D85" s="107"/>
      <c r="E85" s="105"/>
      <c r="F85" s="11"/>
      <c r="G85" s="52"/>
      <c r="H85" s="11"/>
      <c r="I85" s="11"/>
      <c r="J85" s="11"/>
      <c r="K85" s="57"/>
      <c r="L85" s="58"/>
      <c r="M85" s="58"/>
      <c r="N85" s="58"/>
      <c r="O85" s="58"/>
    </row>
    <row r="86" spans="1:15" ht="15.9" customHeight="1">
      <c r="A86" s="101"/>
      <c r="B86" s="102"/>
      <c r="C86" s="106"/>
      <c r="D86" s="107"/>
      <c r="E86" s="105"/>
      <c r="F86" s="11"/>
      <c r="G86" s="52"/>
      <c r="H86" s="11"/>
      <c r="I86" s="11"/>
      <c r="J86" s="11"/>
      <c r="K86" s="57"/>
      <c r="L86" s="58"/>
      <c r="M86" s="58"/>
      <c r="N86" s="58"/>
      <c r="O86" s="58"/>
    </row>
    <row r="87" spans="1:15" ht="15.9" customHeight="1">
      <c r="A87" s="101"/>
      <c r="B87" s="102"/>
      <c r="C87" s="106"/>
      <c r="D87" s="107"/>
      <c r="E87" s="105"/>
      <c r="F87" s="11"/>
      <c r="G87" s="52"/>
      <c r="H87" s="11"/>
      <c r="I87" s="11"/>
      <c r="J87" s="11"/>
      <c r="K87" s="57"/>
      <c r="L87" s="58"/>
      <c r="M87" s="58"/>
      <c r="N87" s="58"/>
      <c r="O87" s="58"/>
    </row>
    <row r="88" spans="1:15" ht="15.9" customHeight="1">
      <c r="A88" s="101"/>
      <c r="B88" s="102"/>
      <c r="C88" s="106"/>
      <c r="D88" s="107"/>
      <c r="E88" s="105"/>
      <c r="F88" s="11"/>
      <c r="G88" s="52"/>
      <c r="H88" s="11"/>
      <c r="I88" s="11"/>
      <c r="J88" s="11"/>
      <c r="K88" s="57"/>
      <c r="L88" s="58"/>
      <c r="M88" s="58"/>
      <c r="N88" s="58"/>
      <c r="O88" s="58"/>
    </row>
    <row r="89" spans="1:15" ht="15.9" customHeight="1">
      <c r="A89" s="101"/>
      <c r="B89" s="102"/>
      <c r="C89" s="106"/>
      <c r="D89" s="107"/>
      <c r="E89" s="105"/>
      <c r="F89" s="11"/>
      <c r="G89" s="52"/>
      <c r="H89" s="11"/>
      <c r="I89" s="11"/>
      <c r="J89" s="11"/>
      <c r="K89" s="57"/>
      <c r="L89" s="58"/>
      <c r="M89" s="58"/>
      <c r="N89" s="58"/>
      <c r="O89" s="58"/>
    </row>
    <row r="90" spans="1:15" ht="15.9" customHeight="1">
      <c r="A90" s="101"/>
      <c r="B90" s="102"/>
      <c r="C90" s="106"/>
      <c r="D90" s="107"/>
      <c r="E90" s="105"/>
      <c r="F90" s="11"/>
      <c r="G90" s="52"/>
      <c r="H90" s="11"/>
      <c r="I90" s="11"/>
      <c r="J90" s="11"/>
      <c r="K90" s="57"/>
      <c r="L90" s="58"/>
      <c r="M90" s="58"/>
      <c r="N90" s="58"/>
      <c r="O90" s="58"/>
    </row>
    <row r="91" spans="1:15" ht="15.9" customHeight="1">
      <c r="A91" s="101"/>
      <c r="B91" s="102"/>
      <c r="C91" s="106"/>
      <c r="D91" s="107"/>
      <c r="E91" s="105"/>
      <c r="F91" s="11"/>
      <c r="G91" s="52"/>
      <c r="H91" s="11"/>
      <c r="I91" s="11"/>
      <c r="J91" s="11"/>
      <c r="K91" s="57"/>
      <c r="L91" s="58"/>
      <c r="M91" s="58"/>
      <c r="N91" s="58"/>
      <c r="O91" s="58"/>
    </row>
    <row r="92" spans="1:15" ht="15.9" customHeight="1">
      <c r="A92" s="101"/>
      <c r="B92" s="102"/>
      <c r="C92" s="106"/>
      <c r="D92" s="107"/>
      <c r="E92" s="105"/>
      <c r="F92" s="11"/>
      <c r="G92" s="52"/>
      <c r="H92" s="11"/>
      <c r="I92" s="11"/>
      <c r="J92" s="11"/>
      <c r="K92" s="57"/>
      <c r="L92" s="58"/>
      <c r="M92" s="58"/>
      <c r="N92" s="58"/>
      <c r="O92" s="58"/>
    </row>
    <row r="93" spans="1:15" ht="15.9" customHeight="1">
      <c r="A93" s="101"/>
      <c r="B93" s="102"/>
      <c r="C93" s="106"/>
      <c r="D93" s="107"/>
      <c r="E93" s="105"/>
      <c r="F93" s="11"/>
      <c r="G93" s="52"/>
      <c r="H93" s="11"/>
      <c r="I93" s="11"/>
      <c r="J93" s="11"/>
      <c r="K93" s="57"/>
      <c r="L93" s="58"/>
      <c r="M93" s="58"/>
      <c r="N93" s="58"/>
      <c r="O93" s="58"/>
    </row>
    <row r="94" spans="1:15" ht="15.9" customHeight="1">
      <c r="A94" s="101"/>
      <c r="B94" s="102"/>
      <c r="C94" s="106"/>
      <c r="D94" s="107"/>
      <c r="E94" s="105"/>
      <c r="F94" s="11"/>
      <c r="G94" s="52"/>
      <c r="H94" s="11"/>
      <c r="I94" s="11"/>
      <c r="J94" s="11"/>
      <c r="K94" s="57"/>
      <c r="L94" s="58"/>
      <c r="M94" s="58"/>
      <c r="N94" s="58"/>
      <c r="O94" s="58"/>
    </row>
    <row r="95" spans="1:15" ht="15.9" customHeight="1">
      <c r="A95" s="101"/>
      <c r="B95" s="102"/>
      <c r="C95" s="106"/>
      <c r="D95" s="107"/>
      <c r="E95" s="105"/>
      <c r="F95" s="11"/>
      <c r="G95" s="52"/>
      <c r="H95" s="11"/>
      <c r="I95" s="11"/>
      <c r="J95" s="11"/>
      <c r="K95" s="57"/>
      <c r="L95" s="58"/>
      <c r="M95" s="58"/>
      <c r="N95" s="58"/>
      <c r="O95" s="58"/>
    </row>
    <row r="96" spans="1:15" ht="15.9" customHeight="1">
      <c r="A96" s="101"/>
      <c r="B96" s="102"/>
      <c r="C96" s="106"/>
      <c r="D96" s="107"/>
      <c r="E96" s="105"/>
      <c r="F96" s="11"/>
      <c r="G96" s="52"/>
      <c r="H96" s="11"/>
      <c r="I96" s="11"/>
      <c r="J96" s="11"/>
      <c r="K96" s="57"/>
      <c r="L96" s="58"/>
      <c r="M96" s="58"/>
      <c r="N96" s="58"/>
      <c r="O96" s="58"/>
    </row>
    <row r="97" spans="1:15" ht="15.9" customHeight="1">
      <c r="A97" s="101"/>
      <c r="B97" s="102"/>
      <c r="C97" s="106"/>
      <c r="D97" s="107"/>
      <c r="E97" s="105"/>
      <c r="F97" s="11"/>
      <c r="G97" s="52"/>
      <c r="H97" s="11"/>
      <c r="I97" s="11"/>
      <c r="J97" s="11"/>
      <c r="K97" s="57"/>
      <c r="L97" s="58"/>
      <c r="M97" s="58"/>
      <c r="N97" s="58"/>
      <c r="O97" s="58"/>
    </row>
    <row r="98" spans="1:15" ht="15.9" customHeight="1">
      <c r="A98" s="101"/>
      <c r="B98" s="102"/>
      <c r="C98" s="106"/>
      <c r="D98" s="107"/>
      <c r="E98" s="105"/>
      <c r="F98" s="11"/>
      <c r="G98" s="52"/>
      <c r="H98" s="11"/>
      <c r="I98" s="11"/>
      <c r="J98" s="11"/>
      <c r="K98" s="57"/>
      <c r="L98" s="58"/>
      <c r="M98" s="58"/>
      <c r="N98" s="58"/>
      <c r="O98" s="58"/>
    </row>
    <row r="99" spans="1:15" ht="15.9" customHeight="1">
      <c r="A99" s="101"/>
      <c r="B99" s="102"/>
      <c r="C99" s="106"/>
      <c r="D99" s="107"/>
      <c r="E99" s="105"/>
      <c r="F99" s="11"/>
      <c r="G99" s="52"/>
      <c r="H99" s="11"/>
      <c r="I99" s="11"/>
      <c r="J99" s="11"/>
      <c r="K99" s="57"/>
      <c r="L99" s="58"/>
      <c r="M99" s="58"/>
      <c r="N99" s="58"/>
      <c r="O99" s="58"/>
    </row>
    <row r="100" spans="1:15" ht="15.9" customHeight="1">
      <c r="A100" s="101"/>
      <c r="B100" s="102"/>
      <c r="C100" s="106"/>
      <c r="D100" s="107"/>
      <c r="E100" s="105"/>
      <c r="F100" s="11"/>
      <c r="G100" s="52"/>
      <c r="H100" s="11"/>
      <c r="I100" s="11"/>
      <c r="J100" s="11"/>
      <c r="K100" s="57"/>
      <c r="L100" s="58"/>
      <c r="M100" s="58"/>
      <c r="N100" s="58"/>
      <c r="O100" s="58"/>
    </row>
    <row r="101" spans="1:15" ht="15.9" customHeight="1">
      <c r="A101" s="101"/>
      <c r="B101" s="102"/>
      <c r="C101" s="106"/>
      <c r="D101" s="107"/>
      <c r="E101" s="105"/>
      <c r="F101" s="11"/>
      <c r="G101" s="52"/>
      <c r="H101" s="11"/>
      <c r="I101" s="11"/>
      <c r="J101" s="11"/>
      <c r="K101" s="57"/>
      <c r="L101" s="58"/>
      <c r="M101" s="58"/>
      <c r="N101" s="58"/>
      <c r="O101" s="58"/>
    </row>
    <row r="102" spans="1:15" ht="15.9" customHeight="1">
      <c r="A102" s="101"/>
      <c r="B102" s="102"/>
      <c r="C102" s="106"/>
      <c r="D102" s="107"/>
      <c r="E102" s="105"/>
      <c r="F102" s="11"/>
      <c r="G102" s="52"/>
      <c r="H102" s="11"/>
      <c r="I102" s="11"/>
      <c r="J102" s="11"/>
      <c r="K102" s="57"/>
      <c r="L102" s="58"/>
      <c r="M102" s="58"/>
      <c r="N102" s="58"/>
      <c r="O102" s="58"/>
    </row>
    <row r="103" spans="1:15" ht="15.9" customHeight="1">
      <c r="A103" s="101"/>
      <c r="B103" s="102"/>
      <c r="C103" s="106"/>
      <c r="D103" s="107"/>
      <c r="E103" s="105"/>
      <c r="F103" s="11"/>
      <c r="G103" s="52"/>
      <c r="H103" s="11"/>
      <c r="I103" s="11"/>
      <c r="J103" s="11"/>
      <c r="K103" s="57"/>
      <c r="L103" s="58"/>
      <c r="M103" s="58"/>
      <c r="N103" s="58"/>
      <c r="O103" s="58"/>
    </row>
    <row r="104" spans="1:15" ht="15.9" customHeight="1">
      <c r="A104" s="101"/>
      <c r="B104" s="102"/>
      <c r="C104" s="106"/>
      <c r="D104" s="107"/>
      <c r="E104" s="105"/>
      <c r="F104" s="11"/>
      <c r="G104" s="52"/>
      <c r="H104" s="11"/>
      <c r="I104" s="11"/>
      <c r="J104" s="11"/>
      <c r="K104" s="57"/>
      <c r="L104" s="58"/>
      <c r="M104" s="58"/>
      <c r="N104" s="58"/>
      <c r="O104" s="58"/>
    </row>
    <row r="105" spans="1:15" ht="15.9" customHeight="1">
      <c r="A105" s="101"/>
      <c r="B105" s="102"/>
      <c r="C105" s="106"/>
      <c r="D105" s="107"/>
      <c r="E105" s="105"/>
      <c r="F105" s="11"/>
      <c r="G105" s="52"/>
      <c r="H105" s="11"/>
      <c r="I105" s="11"/>
      <c r="J105" s="11"/>
      <c r="K105" s="57"/>
      <c r="L105" s="58"/>
      <c r="M105" s="58"/>
      <c r="N105" s="58"/>
      <c r="O105" s="58"/>
    </row>
    <row r="106" spans="1:15" ht="15.9" customHeight="1">
      <c r="A106" s="101"/>
      <c r="B106" s="102"/>
      <c r="C106" s="106"/>
      <c r="D106" s="107"/>
      <c r="E106" s="105"/>
      <c r="F106" s="11"/>
      <c r="G106" s="52"/>
      <c r="H106" s="11"/>
      <c r="I106" s="11"/>
      <c r="J106" s="11"/>
      <c r="K106" s="57"/>
      <c r="L106" s="58"/>
      <c r="M106" s="58"/>
      <c r="N106" s="58"/>
      <c r="O106" s="58"/>
    </row>
    <row r="107" spans="1:15" ht="15.9" customHeight="1">
      <c r="A107" s="101"/>
      <c r="B107" s="102"/>
      <c r="C107" s="106"/>
      <c r="D107" s="107"/>
      <c r="E107" s="105"/>
      <c r="F107" s="11"/>
      <c r="G107" s="52"/>
      <c r="H107" s="11"/>
      <c r="I107" s="11"/>
      <c r="J107" s="11"/>
      <c r="K107" s="57"/>
      <c r="L107" s="58"/>
      <c r="M107" s="58"/>
      <c r="N107" s="58"/>
      <c r="O107" s="58"/>
    </row>
    <row r="108" spans="1:15" ht="15.9" customHeight="1">
      <c r="A108" s="101"/>
      <c r="B108" s="102"/>
      <c r="C108" s="106"/>
      <c r="D108" s="107"/>
      <c r="E108" s="105"/>
      <c r="F108" s="11"/>
      <c r="G108" s="52"/>
      <c r="H108" s="11"/>
      <c r="I108" s="11"/>
      <c r="J108" s="11"/>
      <c r="K108" s="57"/>
      <c r="L108" s="58"/>
      <c r="M108" s="58"/>
      <c r="N108" s="58"/>
      <c r="O108" s="58"/>
    </row>
    <row r="109" spans="1:15" ht="15.9" customHeight="1">
      <c r="A109" s="101"/>
      <c r="B109" s="102"/>
      <c r="C109" s="106"/>
      <c r="D109" s="107"/>
      <c r="E109" s="105"/>
      <c r="F109" s="11"/>
      <c r="G109" s="52"/>
      <c r="H109" s="11"/>
      <c r="I109" s="11"/>
      <c r="J109" s="11"/>
      <c r="K109" s="57"/>
      <c r="L109" s="58"/>
      <c r="M109" s="58"/>
      <c r="N109" s="58"/>
      <c r="O109" s="58"/>
    </row>
    <row r="110" spans="1:15" ht="15.9" customHeight="1">
      <c r="A110" s="101"/>
      <c r="B110" s="102"/>
      <c r="C110" s="106"/>
      <c r="D110" s="107"/>
      <c r="E110" s="105"/>
      <c r="F110" s="11"/>
      <c r="G110" s="52"/>
      <c r="H110" s="11"/>
      <c r="I110" s="11"/>
      <c r="J110" s="11"/>
      <c r="K110" s="57"/>
      <c r="L110" s="58"/>
      <c r="M110" s="58"/>
      <c r="N110" s="58"/>
      <c r="O110" s="58"/>
    </row>
    <row r="111" spans="1:15" ht="15.9" customHeight="1">
      <c r="A111" s="101"/>
      <c r="B111" s="102"/>
      <c r="C111" s="106"/>
      <c r="D111" s="107"/>
      <c r="E111" s="105"/>
      <c r="F111" s="11"/>
      <c r="G111" s="52"/>
      <c r="H111" s="11"/>
      <c r="I111" s="11"/>
      <c r="J111" s="11"/>
      <c r="K111" s="57"/>
      <c r="L111" s="58"/>
      <c r="M111" s="58"/>
      <c r="N111" s="58"/>
      <c r="O111" s="58"/>
    </row>
    <row r="112" spans="1:15" ht="15.9" customHeight="1">
      <c r="A112" s="101"/>
      <c r="B112" s="102"/>
      <c r="C112" s="106"/>
      <c r="D112" s="107"/>
      <c r="E112" s="105"/>
      <c r="F112" s="11"/>
      <c r="G112" s="52"/>
      <c r="H112" s="11"/>
      <c r="I112" s="11"/>
      <c r="J112" s="11"/>
      <c r="K112" s="57"/>
      <c r="L112" s="58"/>
      <c r="M112" s="58"/>
      <c r="N112" s="58"/>
      <c r="O112" s="58"/>
    </row>
    <row r="113" spans="1:15" ht="15.9" customHeight="1">
      <c r="A113" s="101"/>
      <c r="B113" s="102"/>
      <c r="C113" s="106"/>
      <c r="D113" s="107"/>
      <c r="E113" s="105"/>
      <c r="F113" s="11"/>
      <c r="G113" s="52"/>
      <c r="H113" s="11"/>
      <c r="I113" s="11"/>
      <c r="J113" s="11"/>
      <c r="K113" s="57"/>
      <c r="L113" s="58"/>
      <c r="M113" s="58"/>
      <c r="N113" s="58"/>
      <c r="O113" s="58"/>
    </row>
    <row r="114" spans="1:15" ht="15.9" customHeight="1">
      <c r="A114" s="101"/>
      <c r="B114" s="102"/>
      <c r="C114" s="106"/>
      <c r="D114" s="107"/>
      <c r="E114" s="105"/>
      <c r="F114" s="11"/>
      <c r="G114" s="52"/>
      <c r="H114" s="11"/>
      <c r="I114" s="11"/>
      <c r="J114" s="11"/>
      <c r="K114" s="57"/>
      <c r="L114" s="58"/>
      <c r="M114" s="58"/>
      <c r="N114" s="58"/>
      <c r="O114" s="58"/>
    </row>
    <row r="115" spans="1:15" ht="15.9" customHeight="1">
      <c r="A115" s="101"/>
      <c r="B115" s="102"/>
      <c r="C115" s="106"/>
      <c r="D115" s="107"/>
      <c r="E115" s="105"/>
      <c r="F115" s="11"/>
      <c r="G115" s="52"/>
      <c r="H115" s="11"/>
      <c r="I115" s="11"/>
      <c r="J115" s="11"/>
      <c r="K115" s="57"/>
      <c r="L115" s="58"/>
      <c r="M115" s="58"/>
      <c r="N115" s="58"/>
      <c r="O115" s="58"/>
    </row>
    <row r="116" spans="1:15" ht="15.9" customHeight="1">
      <c r="A116" s="101"/>
      <c r="B116" s="102"/>
      <c r="C116" s="106"/>
      <c r="D116" s="107"/>
      <c r="E116" s="105"/>
      <c r="F116" s="11"/>
      <c r="G116" s="52"/>
      <c r="H116" s="11"/>
      <c r="I116" s="11"/>
      <c r="J116" s="11"/>
      <c r="K116" s="57"/>
      <c r="L116" s="58"/>
      <c r="M116" s="58"/>
      <c r="N116" s="58"/>
      <c r="O116" s="58"/>
    </row>
    <row r="117" spans="1:15" ht="15.9" customHeight="1">
      <c r="A117" s="101"/>
      <c r="B117" s="102"/>
      <c r="C117" s="106"/>
      <c r="D117" s="107"/>
      <c r="E117" s="105"/>
      <c r="F117" s="11"/>
      <c r="G117" s="52"/>
      <c r="H117" s="11"/>
      <c r="I117" s="11"/>
      <c r="J117" s="11"/>
      <c r="K117" s="57"/>
      <c r="L117" s="58"/>
      <c r="M117" s="58"/>
      <c r="N117" s="58"/>
      <c r="O117" s="58"/>
    </row>
    <row r="118" spans="1:15" ht="15.9" customHeight="1">
      <c r="A118" s="101"/>
      <c r="B118" s="102"/>
      <c r="C118" s="106"/>
      <c r="D118" s="107"/>
      <c r="E118" s="105"/>
      <c r="F118" s="11"/>
      <c r="G118" s="52"/>
      <c r="H118" s="11"/>
      <c r="I118" s="11"/>
      <c r="J118" s="11"/>
      <c r="K118" s="57"/>
      <c r="L118" s="58"/>
      <c r="M118" s="58"/>
      <c r="N118" s="58"/>
      <c r="O118" s="58"/>
    </row>
    <row r="119" spans="1:15" ht="15.9" customHeight="1">
      <c r="A119" s="101"/>
      <c r="B119" s="102"/>
      <c r="C119" s="106"/>
      <c r="D119" s="107"/>
      <c r="E119" s="105"/>
      <c r="F119" s="11"/>
      <c r="G119" s="52"/>
      <c r="H119" s="11"/>
      <c r="I119" s="11"/>
      <c r="J119" s="11"/>
      <c r="K119" s="57"/>
      <c r="L119" s="58"/>
      <c r="M119" s="58"/>
      <c r="N119" s="58"/>
      <c r="O119" s="58"/>
    </row>
    <row r="120" spans="1:15" ht="15.9" customHeight="1">
      <c r="A120" s="101"/>
      <c r="B120" s="102"/>
      <c r="C120" s="106"/>
      <c r="D120" s="107"/>
      <c r="E120" s="105"/>
      <c r="F120" s="11"/>
      <c r="G120" s="52"/>
      <c r="H120" s="11"/>
      <c r="I120" s="11"/>
      <c r="J120" s="11"/>
      <c r="K120" s="57"/>
      <c r="L120" s="58"/>
      <c r="M120" s="58"/>
      <c r="N120" s="58"/>
      <c r="O120" s="58"/>
    </row>
    <row r="121" spans="1:15" ht="15.9" customHeight="1">
      <c r="A121" s="101"/>
      <c r="B121" s="102"/>
      <c r="C121" s="106"/>
      <c r="D121" s="107"/>
      <c r="E121" s="105"/>
      <c r="F121" s="11"/>
      <c r="G121" s="52"/>
      <c r="H121" s="11"/>
      <c r="I121" s="11"/>
      <c r="J121" s="11"/>
      <c r="K121" s="57"/>
      <c r="L121" s="58"/>
      <c r="M121" s="58"/>
      <c r="N121" s="58"/>
      <c r="O121" s="58"/>
    </row>
    <row r="122" spans="1:15" ht="15.9" customHeight="1">
      <c r="A122" s="101"/>
      <c r="B122" s="102"/>
      <c r="C122" s="106"/>
      <c r="D122" s="107"/>
      <c r="E122" s="105"/>
      <c r="F122" s="11"/>
      <c r="G122" s="52"/>
      <c r="H122" s="11"/>
      <c r="I122" s="11"/>
      <c r="J122" s="11"/>
      <c r="K122" s="57"/>
      <c r="L122" s="58"/>
      <c r="M122" s="58"/>
      <c r="N122" s="58"/>
      <c r="O122" s="58"/>
    </row>
    <row r="123" spans="1:15" ht="15.9" customHeight="1">
      <c r="A123" s="101"/>
      <c r="B123" s="102"/>
      <c r="C123" s="106"/>
      <c r="D123" s="107"/>
      <c r="E123" s="105"/>
      <c r="F123" s="11"/>
      <c r="G123" s="52"/>
      <c r="H123" s="11"/>
      <c r="I123" s="11"/>
      <c r="J123" s="11"/>
      <c r="K123" s="57"/>
      <c r="L123" s="58"/>
      <c r="M123" s="58"/>
      <c r="N123" s="58"/>
      <c r="O123" s="58"/>
    </row>
    <row r="124" spans="1:15" ht="15.9" customHeight="1">
      <c r="A124" s="101"/>
      <c r="B124" s="102"/>
      <c r="C124" s="106"/>
      <c r="D124" s="107"/>
      <c r="E124" s="105"/>
      <c r="F124" s="11"/>
      <c r="G124" s="52"/>
      <c r="H124" s="11"/>
      <c r="I124" s="11"/>
      <c r="J124" s="11"/>
      <c r="K124" s="57"/>
      <c r="L124" s="58"/>
      <c r="M124" s="58"/>
      <c r="N124" s="58"/>
      <c r="O124" s="58"/>
    </row>
    <row r="125" spans="1:15" ht="15.9" customHeight="1">
      <c r="A125" s="101"/>
      <c r="B125" s="102"/>
      <c r="C125" s="106"/>
      <c r="D125" s="107"/>
      <c r="E125" s="105"/>
      <c r="F125" s="11"/>
      <c r="G125" s="52"/>
      <c r="H125" s="11"/>
      <c r="I125" s="11"/>
      <c r="J125" s="11"/>
      <c r="K125" s="57"/>
      <c r="L125" s="58"/>
      <c r="M125" s="58"/>
      <c r="N125" s="58"/>
      <c r="O125" s="58"/>
    </row>
    <row r="126" spans="1:15" ht="15.9" customHeight="1">
      <c r="A126" s="101"/>
      <c r="B126" s="102"/>
      <c r="C126" s="106"/>
      <c r="D126" s="107"/>
      <c r="E126" s="105"/>
      <c r="F126" s="11"/>
      <c r="G126" s="52"/>
      <c r="H126" s="11"/>
      <c r="I126" s="11"/>
      <c r="J126" s="11"/>
      <c r="K126" s="57"/>
      <c r="L126" s="58"/>
      <c r="M126" s="58"/>
      <c r="N126" s="58"/>
      <c r="O126" s="58"/>
    </row>
    <row r="127" spans="1:15" ht="15.9" customHeight="1">
      <c r="A127" s="101"/>
      <c r="B127" s="102"/>
      <c r="C127" s="106"/>
      <c r="D127" s="107"/>
      <c r="E127" s="105"/>
      <c r="F127" s="11"/>
      <c r="G127" s="52"/>
      <c r="H127" s="11"/>
      <c r="I127" s="11"/>
      <c r="J127" s="11"/>
      <c r="K127" s="57"/>
      <c r="L127" s="58"/>
      <c r="M127" s="58"/>
      <c r="N127" s="58"/>
      <c r="O127" s="58"/>
    </row>
    <row r="128" spans="1:15" ht="15.9" customHeight="1">
      <c r="A128" s="101"/>
      <c r="B128" s="102"/>
      <c r="C128" s="106"/>
      <c r="D128" s="107"/>
      <c r="E128" s="105"/>
      <c r="F128" s="11"/>
      <c r="G128" s="52"/>
      <c r="H128" s="11"/>
      <c r="I128" s="11"/>
      <c r="J128" s="11"/>
      <c r="K128" s="57"/>
      <c r="L128" s="58"/>
      <c r="M128" s="58"/>
      <c r="N128" s="58"/>
      <c r="O128" s="58"/>
    </row>
    <row r="129" spans="1:15" ht="15.9" customHeight="1">
      <c r="A129" s="101"/>
      <c r="B129" s="102"/>
      <c r="C129" s="106"/>
      <c r="D129" s="107"/>
      <c r="E129" s="105"/>
      <c r="F129" s="11"/>
      <c r="G129" s="52"/>
      <c r="H129" s="11"/>
      <c r="I129" s="11"/>
      <c r="J129" s="11"/>
      <c r="K129" s="57"/>
      <c r="L129" s="58"/>
      <c r="M129" s="58"/>
      <c r="N129" s="58"/>
      <c r="O129" s="58"/>
    </row>
    <row r="130" spans="1:15" ht="15.9" customHeight="1">
      <c r="A130" s="101"/>
      <c r="B130" s="102"/>
      <c r="C130" s="106"/>
      <c r="D130" s="107"/>
      <c r="E130" s="105"/>
      <c r="F130" s="11"/>
      <c r="G130" s="52"/>
      <c r="H130" s="11"/>
      <c r="I130" s="11"/>
      <c r="J130" s="11"/>
      <c r="K130" s="57"/>
      <c r="L130" s="58"/>
      <c r="M130" s="58"/>
      <c r="N130" s="58"/>
      <c r="O130" s="58"/>
    </row>
    <row r="131" spans="1:15" ht="15.9" customHeight="1">
      <c r="A131" s="101"/>
      <c r="B131" s="102"/>
      <c r="C131" s="106"/>
      <c r="D131" s="107"/>
      <c r="E131" s="105"/>
      <c r="F131" s="11"/>
      <c r="G131" s="52"/>
      <c r="H131" s="11"/>
      <c r="I131" s="11"/>
      <c r="J131" s="11"/>
      <c r="K131" s="57"/>
      <c r="L131" s="58"/>
      <c r="M131" s="58"/>
      <c r="N131" s="58"/>
      <c r="O131" s="58"/>
    </row>
    <row r="132" spans="1:15" ht="15.9" customHeight="1">
      <c r="A132" s="101"/>
      <c r="B132" s="102"/>
      <c r="C132" s="106"/>
      <c r="D132" s="107"/>
      <c r="E132" s="105"/>
      <c r="F132" s="11"/>
      <c r="G132" s="52"/>
      <c r="H132" s="11"/>
      <c r="I132" s="11"/>
      <c r="J132" s="11"/>
      <c r="K132" s="57"/>
      <c r="L132" s="58"/>
      <c r="M132" s="58"/>
      <c r="N132" s="58"/>
      <c r="O132" s="58"/>
    </row>
    <row r="133" spans="1:15" ht="15.9" customHeight="1">
      <c r="A133" s="101"/>
      <c r="B133" s="102"/>
      <c r="C133" s="106"/>
      <c r="D133" s="107"/>
      <c r="E133" s="105"/>
      <c r="F133" s="11"/>
      <c r="G133" s="52"/>
      <c r="H133" s="11"/>
      <c r="I133" s="11"/>
      <c r="J133" s="11"/>
      <c r="K133" s="57"/>
      <c r="L133" s="58"/>
      <c r="M133" s="58"/>
      <c r="N133" s="58"/>
      <c r="O133" s="58"/>
    </row>
    <row r="134" spans="1:15" ht="15.9" customHeight="1">
      <c r="A134" s="101"/>
      <c r="B134" s="102"/>
      <c r="C134" s="106"/>
      <c r="D134" s="107"/>
      <c r="E134" s="105"/>
      <c r="F134" s="11"/>
      <c r="G134" s="52"/>
      <c r="H134" s="11"/>
      <c r="I134" s="11"/>
      <c r="J134" s="11"/>
      <c r="K134" s="57"/>
      <c r="L134" s="58"/>
      <c r="M134" s="58"/>
      <c r="N134" s="58"/>
      <c r="O134" s="58"/>
    </row>
    <row r="135" spans="1:15" ht="15.9" customHeight="1">
      <c r="A135" s="101"/>
      <c r="B135" s="102"/>
      <c r="C135" s="106"/>
      <c r="D135" s="107"/>
      <c r="E135" s="105"/>
      <c r="F135" s="11"/>
      <c r="G135" s="52"/>
      <c r="H135" s="11"/>
      <c r="I135" s="11"/>
      <c r="J135" s="11"/>
      <c r="K135" s="57"/>
      <c r="L135" s="58"/>
      <c r="M135" s="58"/>
      <c r="N135" s="58"/>
      <c r="O135" s="58"/>
    </row>
    <row r="136" spans="1:15" ht="15.9" customHeight="1">
      <c r="A136" s="101"/>
      <c r="B136" s="102"/>
      <c r="C136" s="106"/>
      <c r="D136" s="107"/>
      <c r="E136" s="105"/>
      <c r="F136" s="11"/>
      <c r="G136" s="52"/>
      <c r="H136" s="11"/>
      <c r="I136" s="11"/>
      <c r="J136" s="11"/>
      <c r="K136" s="57"/>
      <c r="L136" s="58"/>
      <c r="M136" s="58"/>
      <c r="N136" s="58"/>
      <c r="O136" s="58"/>
    </row>
    <row r="137" spans="1:15" ht="15.9" customHeight="1">
      <c r="A137" s="101"/>
      <c r="B137" s="102"/>
      <c r="C137" s="106"/>
      <c r="D137" s="107"/>
      <c r="E137" s="105"/>
      <c r="F137" s="11"/>
      <c r="G137" s="52"/>
      <c r="H137" s="11"/>
      <c r="I137" s="11"/>
      <c r="J137" s="11"/>
      <c r="K137" s="57"/>
      <c r="L137" s="58"/>
      <c r="M137" s="58"/>
      <c r="N137" s="58"/>
      <c r="O137" s="58"/>
    </row>
    <row r="138" spans="1:15" ht="15.9" customHeight="1">
      <c r="A138" s="101"/>
      <c r="B138" s="102"/>
      <c r="C138" s="106"/>
      <c r="D138" s="107"/>
      <c r="E138" s="105"/>
      <c r="F138" s="11"/>
      <c r="G138" s="52"/>
      <c r="H138" s="11"/>
      <c r="I138" s="11"/>
      <c r="J138" s="11"/>
      <c r="K138" s="57"/>
      <c r="L138" s="58"/>
      <c r="M138" s="58"/>
      <c r="N138" s="58"/>
      <c r="O138" s="58"/>
    </row>
    <row r="139" spans="1:15" ht="15.9" customHeight="1">
      <c r="A139" s="101"/>
      <c r="B139" s="102"/>
      <c r="C139" s="106"/>
      <c r="D139" s="107"/>
      <c r="E139" s="105"/>
      <c r="F139" s="11"/>
      <c r="G139" s="52"/>
      <c r="H139" s="11"/>
      <c r="I139" s="11"/>
      <c r="J139" s="11"/>
      <c r="K139" s="57"/>
      <c r="L139" s="58"/>
      <c r="M139" s="58"/>
      <c r="N139" s="58"/>
      <c r="O139" s="58"/>
    </row>
    <row r="140" spans="1:15" ht="15.9" customHeight="1">
      <c r="A140" s="101"/>
      <c r="B140" s="102"/>
      <c r="C140" s="106"/>
      <c r="D140" s="107"/>
      <c r="E140" s="105"/>
      <c r="F140" s="11"/>
      <c r="G140" s="52"/>
      <c r="H140" s="11"/>
      <c r="I140" s="11"/>
      <c r="J140" s="11"/>
      <c r="K140" s="57"/>
      <c r="L140" s="58"/>
      <c r="M140" s="58"/>
      <c r="N140" s="58"/>
      <c r="O140" s="58"/>
    </row>
    <row r="141" spans="1:15" ht="15.9" customHeight="1">
      <c r="A141" s="101"/>
      <c r="B141" s="102"/>
      <c r="C141" s="106"/>
      <c r="D141" s="107"/>
      <c r="E141" s="105"/>
      <c r="F141" s="11"/>
      <c r="G141" s="52"/>
      <c r="H141" s="11"/>
      <c r="I141" s="11"/>
      <c r="J141" s="11"/>
      <c r="K141" s="57"/>
      <c r="L141" s="58"/>
      <c r="M141" s="58"/>
      <c r="N141" s="58"/>
      <c r="O141" s="58"/>
    </row>
    <row r="142" spans="1:15" ht="15.9" customHeight="1">
      <c r="A142" s="101"/>
      <c r="B142" s="102"/>
      <c r="C142" s="106"/>
      <c r="D142" s="107"/>
      <c r="E142" s="105"/>
      <c r="F142" s="11"/>
      <c r="G142" s="52"/>
      <c r="H142" s="11"/>
      <c r="I142" s="11"/>
      <c r="J142" s="11"/>
      <c r="K142" s="57"/>
      <c r="L142" s="58"/>
      <c r="M142" s="58"/>
      <c r="N142" s="58"/>
      <c r="O142" s="58"/>
    </row>
    <row r="143" spans="1:15" ht="15.9" customHeight="1">
      <c r="A143" s="101"/>
      <c r="B143" s="102"/>
      <c r="C143" s="106"/>
      <c r="D143" s="107"/>
      <c r="E143" s="105"/>
      <c r="F143" s="11"/>
      <c r="G143" s="52"/>
      <c r="H143" s="11"/>
      <c r="I143" s="11"/>
      <c r="J143" s="11"/>
      <c r="K143" s="57"/>
      <c r="L143" s="58"/>
      <c r="M143" s="58"/>
      <c r="N143" s="58"/>
      <c r="O143" s="58"/>
    </row>
    <row r="144" spans="1:15" ht="15.9" customHeight="1">
      <c r="A144" s="101"/>
      <c r="B144" s="102"/>
      <c r="C144" s="106"/>
      <c r="D144" s="107"/>
      <c r="E144" s="105"/>
      <c r="F144" s="11"/>
      <c r="G144" s="52"/>
      <c r="H144" s="11"/>
      <c r="I144" s="11"/>
      <c r="J144" s="11"/>
      <c r="K144" s="57"/>
      <c r="L144" s="58"/>
      <c r="M144" s="58"/>
      <c r="N144" s="58"/>
      <c r="O144" s="58"/>
    </row>
    <row r="145" spans="1:15" ht="15.9" customHeight="1">
      <c r="A145" s="101"/>
      <c r="B145" s="102"/>
      <c r="C145" s="106"/>
      <c r="D145" s="107"/>
      <c r="E145" s="105"/>
      <c r="F145" s="11"/>
      <c r="G145" s="52"/>
      <c r="H145" s="11"/>
      <c r="I145" s="11"/>
      <c r="J145" s="11"/>
      <c r="K145" s="57"/>
      <c r="L145" s="58"/>
      <c r="M145" s="58"/>
      <c r="N145" s="58"/>
      <c r="O145" s="58"/>
    </row>
    <row r="146" spans="1:15" ht="15.9" customHeight="1">
      <c r="A146" s="101"/>
      <c r="B146" s="102"/>
      <c r="C146" s="106"/>
      <c r="D146" s="107"/>
      <c r="E146" s="105"/>
      <c r="F146" s="11"/>
      <c r="G146" s="52"/>
      <c r="H146" s="11"/>
      <c r="I146" s="11"/>
      <c r="J146" s="11"/>
      <c r="K146" s="57"/>
      <c r="L146" s="58"/>
      <c r="M146" s="58"/>
      <c r="N146" s="58"/>
      <c r="O146" s="58"/>
    </row>
    <row r="147" spans="1:15" ht="15.9" customHeight="1">
      <c r="A147" s="101"/>
      <c r="B147" s="102"/>
      <c r="C147" s="106"/>
      <c r="D147" s="107"/>
      <c r="E147" s="105"/>
      <c r="F147" s="11"/>
      <c r="G147" s="52"/>
      <c r="H147" s="11"/>
      <c r="I147" s="11"/>
      <c r="J147" s="11"/>
      <c r="K147" s="57"/>
      <c r="L147" s="58"/>
      <c r="M147" s="58"/>
      <c r="N147" s="58"/>
      <c r="O147" s="58"/>
    </row>
    <row r="148" spans="1:15" ht="15.9" customHeight="1">
      <c r="A148" s="101"/>
      <c r="B148" s="102"/>
      <c r="C148" s="106"/>
      <c r="D148" s="107"/>
      <c r="E148" s="105"/>
      <c r="F148" s="11"/>
      <c r="G148" s="52"/>
      <c r="H148" s="11"/>
      <c r="I148" s="11"/>
      <c r="J148" s="11"/>
      <c r="K148" s="57"/>
      <c r="L148" s="58"/>
      <c r="M148" s="58"/>
      <c r="N148" s="58"/>
      <c r="O148" s="58"/>
    </row>
    <row r="149" spans="1:15" ht="15.9" customHeight="1">
      <c r="A149" s="101"/>
      <c r="B149" s="102"/>
      <c r="C149" s="106"/>
      <c r="D149" s="107"/>
      <c r="E149" s="105"/>
      <c r="F149" s="11"/>
      <c r="G149" s="52"/>
      <c r="H149" s="11"/>
      <c r="I149" s="11"/>
      <c r="J149" s="11"/>
      <c r="K149" s="57"/>
      <c r="L149" s="58"/>
      <c r="M149" s="58"/>
      <c r="N149" s="58"/>
      <c r="O149" s="58"/>
    </row>
    <row r="150" spans="1:15" ht="15.9" customHeight="1">
      <c r="A150" s="101"/>
      <c r="B150" s="102"/>
      <c r="C150" s="106"/>
      <c r="D150" s="107"/>
      <c r="E150" s="105"/>
      <c r="F150" s="11"/>
      <c r="G150" s="52"/>
      <c r="H150" s="11"/>
      <c r="I150" s="11"/>
      <c r="J150" s="11"/>
      <c r="K150" s="57"/>
      <c r="L150" s="58"/>
      <c r="M150" s="58"/>
      <c r="N150" s="58"/>
      <c r="O150" s="58"/>
    </row>
    <row r="151" spans="1:15" ht="15.9" customHeight="1">
      <c r="A151" s="101"/>
      <c r="B151" s="102"/>
      <c r="C151" s="106"/>
      <c r="D151" s="107"/>
      <c r="E151" s="105"/>
      <c r="F151" s="11"/>
      <c r="G151" s="52"/>
      <c r="H151" s="11"/>
      <c r="I151" s="11"/>
      <c r="J151" s="11"/>
      <c r="K151" s="57"/>
      <c r="L151" s="58"/>
      <c r="M151" s="58"/>
      <c r="N151" s="58"/>
      <c r="O151" s="58"/>
    </row>
    <row r="152" spans="1:15" ht="15.9" customHeight="1">
      <c r="A152" s="101"/>
      <c r="B152" s="102"/>
      <c r="C152" s="106"/>
      <c r="D152" s="107"/>
      <c r="E152" s="105"/>
      <c r="F152" s="11"/>
      <c r="G152" s="52"/>
      <c r="H152" s="11"/>
      <c r="I152" s="11"/>
      <c r="J152" s="11"/>
      <c r="K152" s="57"/>
      <c r="L152" s="58"/>
      <c r="M152" s="58"/>
      <c r="N152" s="58"/>
      <c r="O152" s="58"/>
    </row>
    <row r="153" spans="1:15" ht="15.9" customHeight="1">
      <c r="A153" s="101"/>
      <c r="B153" s="102"/>
      <c r="C153" s="106"/>
      <c r="D153" s="107"/>
      <c r="E153" s="105"/>
      <c r="F153" s="11"/>
      <c r="G153" s="52"/>
      <c r="H153" s="11"/>
      <c r="I153" s="11"/>
      <c r="J153" s="11"/>
      <c r="K153" s="57"/>
      <c r="L153" s="58"/>
      <c r="M153" s="58"/>
      <c r="N153" s="58"/>
      <c r="O153" s="58"/>
    </row>
    <row r="154" spans="1:15" ht="15.9" customHeight="1">
      <c r="A154" s="101"/>
      <c r="B154" s="102"/>
      <c r="C154" s="106"/>
      <c r="D154" s="107"/>
      <c r="E154" s="105"/>
      <c r="F154" s="11"/>
      <c r="G154" s="52"/>
      <c r="H154" s="11"/>
      <c r="I154" s="11"/>
      <c r="J154" s="11"/>
      <c r="K154" s="57"/>
      <c r="L154" s="58"/>
      <c r="M154" s="58"/>
      <c r="N154" s="58"/>
      <c r="O154" s="58"/>
    </row>
    <row r="155" spans="1:15" ht="15.9" customHeight="1">
      <c r="A155" s="101"/>
      <c r="B155" s="102"/>
      <c r="C155" s="106"/>
      <c r="D155" s="107"/>
      <c r="E155" s="105"/>
      <c r="F155" s="11"/>
      <c r="G155" s="52"/>
      <c r="H155" s="11"/>
      <c r="I155" s="11"/>
      <c r="J155" s="11"/>
      <c r="K155" s="57"/>
      <c r="L155" s="58"/>
      <c r="M155" s="58"/>
      <c r="N155" s="58"/>
      <c r="O155" s="58"/>
    </row>
    <row r="156" spans="1:15" ht="15.9" customHeight="1">
      <c r="A156" s="101"/>
      <c r="B156" s="102"/>
      <c r="C156" s="106"/>
      <c r="D156" s="107"/>
      <c r="E156" s="105"/>
      <c r="F156" s="11"/>
      <c r="G156" s="52"/>
      <c r="H156" s="11"/>
      <c r="I156" s="11"/>
      <c r="J156" s="11"/>
      <c r="K156" s="57"/>
      <c r="L156" s="58"/>
      <c r="M156" s="58"/>
      <c r="N156" s="58"/>
      <c r="O156" s="58"/>
    </row>
    <row r="157" spans="1:15" ht="15.9" customHeight="1">
      <c r="A157" s="101"/>
      <c r="B157" s="102"/>
      <c r="C157" s="106"/>
      <c r="D157" s="107"/>
      <c r="E157" s="105"/>
      <c r="F157" s="11"/>
      <c r="G157" s="52"/>
      <c r="H157" s="11"/>
      <c r="I157" s="11"/>
      <c r="J157" s="11"/>
      <c r="K157" s="57"/>
      <c r="L157" s="58"/>
      <c r="M157" s="58"/>
      <c r="N157" s="58"/>
      <c r="O157" s="58"/>
    </row>
    <row r="158" spans="1:15" ht="15.9" customHeight="1">
      <c r="A158" s="101"/>
      <c r="B158" s="102"/>
      <c r="C158" s="106"/>
      <c r="D158" s="107"/>
      <c r="E158" s="105"/>
      <c r="F158" s="11"/>
      <c r="G158" s="52"/>
      <c r="H158" s="11"/>
      <c r="I158" s="11"/>
      <c r="J158" s="11"/>
      <c r="K158" s="57"/>
      <c r="L158" s="58"/>
      <c r="M158" s="58"/>
      <c r="N158" s="58"/>
      <c r="O158" s="58"/>
    </row>
    <row r="159" spans="1:15" ht="15.9" customHeight="1">
      <c r="A159" s="101"/>
      <c r="B159" s="102"/>
      <c r="C159" s="106"/>
      <c r="D159" s="107"/>
      <c r="E159" s="105"/>
      <c r="F159" s="11"/>
      <c r="G159" s="52"/>
      <c r="H159" s="11"/>
      <c r="I159" s="11"/>
      <c r="J159" s="11"/>
      <c r="K159" s="57"/>
      <c r="L159" s="58"/>
      <c r="M159" s="58"/>
      <c r="N159" s="58"/>
      <c r="O159" s="58"/>
    </row>
    <row r="160" spans="1:15" ht="15.9" customHeight="1">
      <c r="A160" s="101"/>
      <c r="B160" s="102"/>
      <c r="C160" s="106"/>
      <c r="D160" s="107"/>
      <c r="E160" s="105"/>
      <c r="F160" s="11"/>
      <c r="G160" s="52"/>
      <c r="H160" s="11"/>
      <c r="I160" s="11"/>
      <c r="J160" s="11"/>
      <c r="K160" s="57"/>
      <c r="L160" s="58"/>
      <c r="M160" s="58"/>
      <c r="N160" s="58"/>
      <c r="O160" s="58"/>
    </row>
    <row r="161" spans="1:15" ht="15.9" customHeight="1">
      <c r="A161" s="101"/>
      <c r="B161" s="102"/>
      <c r="C161" s="106"/>
      <c r="D161" s="107"/>
      <c r="E161" s="105"/>
      <c r="F161" s="11"/>
      <c r="G161" s="52"/>
      <c r="H161" s="11"/>
      <c r="I161" s="11"/>
      <c r="J161" s="11"/>
      <c r="K161" s="57"/>
      <c r="L161" s="58"/>
      <c r="M161" s="58"/>
      <c r="N161" s="58"/>
      <c r="O161" s="58"/>
    </row>
    <row r="162" spans="1:15" ht="15.9" customHeight="1">
      <c r="A162" s="101"/>
      <c r="B162" s="102"/>
      <c r="C162" s="106"/>
      <c r="D162" s="107"/>
      <c r="E162" s="105"/>
      <c r="F162" s="11"/>
      <c r="G162" s="52"/>
      <c r="H162" s="11"/>
      <c r="I162" s="11"/>
      <c r="J162" s="11"/>
      <c r="K162" s="57"/>
      <c r="L162" s="58"/>
      <c r="M162" s="58"/>
      <c r="N162" s="58"/>
      <c r="O162" s="58"/>
    </row>
    <row r="163" spans="1:15" ht="15.9" customHeight="1">
      <c r="A163" s="123"/>
      <c r="B163" s="124"/>
      <c r="C163" s="125"/>
      <c r="D163" s="126"/>
      <c r="E163" s="127"/>
      <c r="F163" s="128"/>
      <c r="G163" s="52"/>
      <c r="H163" s="129"/>
      <c r="I163" s="131"/>
      <c r="J163" s="131"/>
      <c r="K163" s="129"/>
      <c r="L163" s="58"/>
      <c r="M163" s="58"/>
      <c r="N163" s="58"/>
      <c r="O163" s="58"/>
    </row>
    <row r="164" spans="1:15" ht="15.9" customHeight="1">
      <c r="A164" s="123"/>
      <c r="B164" s="124"/>
      <c r="C164" s="125"/>
      <c r="D164" s="126"/>
      <c r="E164" s="130"/>
      <c r="F164" s="128"/>
      <c r="G164" s="52"/>
      <c r="H164" s="131"/>
      <c r="I164" s="131"/>
      <c r="J164" s="131"/>
      <c r="K164" s="129"/>
      <c r="L164" s="58"/>
      <c r="M164" s="58"/>
      <c r="N164" s="58"/>
      <c r="O164" s="58"/>
    </row>
    <row r="165" spans="1:15" ht="15.9" customHeight="1">
      <c r="A165" s="123"/>
      <c r="B165" s="124"/>
      <c r="C165" s="125"/>
      <c r="D165" s="126"/>
      <c r="E165" s="130"/>
      <c r="F165" s="128"/>
      <c r="G165" s="52"/>
      <c r="H165" s="131"/>
      <c r="I165" s="131"/>
      <c r="J165" s="131"/>
      <c r="K165" s="129"/>
      <c r="L165" s="58"/>
      <c r="M165" s="58"/>
      <c r="N165" s="58"/>
      <c r="O165" s="58"/>
    </row>
    <row r="166" spans="1:15" ht="15.9" customHeight="1">
      <c r="A166" s="123"/>
      <c r="B166" s="124"/>
      <c r="C166" s="125"/>
      <c r="D166" s="126"/>
      <c r="E166" s="130"/>
      <c r="F166" s="128"/>
      <c r="G166" s="52"/>
      <c r="H166" s="132"/>
      <c r="I166" s="131"/>
      <c r="J166" s="131"/>
      <c r="K166" s="129"/>
      <c r="L166" s="58"/>
      <c r="M166" s="58"/>
      <c r="N166" s="58"/>
      <c r="O166" s="58"/>
    </row>
    <row r="167" spans="1:15" ht="15.9" customHeight="1">
      <c r="A167" s="123"/>
      <c r="B167" s="124"/>
      <c r="C167" s="125"/>
      <c r="D167" s="126"/>
      <c r="E167" s="127"/>
      <c r="F167" s="128"/>
      <c r="G167" s="52"/>
      <c r="H167" s="132"/>
      <c r="I167" s="131"/>
      <c r="J167" s="131"/>
      <c r="K167" s="129"/>
      <c r="L167" s="58"/>
      <c r="M167" s="58"/>
      <c r="N167" s="58"/>
      <c r="O167" s="58"/>
    </row>
    <row r="168" spans="1:15" ht="15.9" customHeight="1">
      <c r="A168" s="123"/>
      <c r="B168" s="124"/>
      <c r="C168" s="125"/>
      <c r="D168" s="126"/>
      <c r="E168" s="130"/>
      <c r="F168" s="128"/>
      <c r="G168" s="52"/>
      <c r="H168" s="132"/>
      <c r="I168" s="131"/>
      <c r="J168" s="131"/>
      <c r="K168" s="129"/>
      <c r="L168" s="58"/>
      <c r="M168" s="58"/>
      <c r="N168" s="58"/>
      <c r="O168" s="58"/>
    </row>
    <row r="169" spans="1:15" ht="15.9" customHeight="1">
      <c r="A169" s="123"/>
      <c r="B169" s="124"/>
      <c r="C169" s="125"/>
      <c r="D169" s="126"/>
      <c r="E169" s="130"/>
      <c r="F169" s="128"/>
      <c r="G169" s="52"/>
      <c r="H169" s="129"/>
      <c r="I169" s="131"/>
      <c r="J169" s="131"/>
      <c r="K169" s="129"/>
      <c r="L169" s="58"/>
      <c r="M169" s="58"/>
      <c r="N169" s="58"/>
      <c r="O169" s="58"/>
    </row>
    <row r="170" spans="1:15" ht="15.9" customHeight="1">
      <c r="A170" s="123"/>
      <c r="B170" s="124"/>
      <c r="C170" s="125"/>
      <c r="D170" s="126"/>
      <c r="E170" s="130"/>
      <c r="F170" s="128"/>
      <c r="G170" s="52"/>
      <c r="H170" s="131"/>
      <c r="I170" s="131"/>
      <c r="J170" s="131"/>
      <c r="K170" s="129"/>
      <c r="L170" s="58"/>
      <c r="M170" s="58"/>
      <c r="N170" s="58"/>
      <c r="O170" s="58"/>
    </row>
    <row r="171" spans="1:15" ht="15.9" customHeight="1">
      <c r="A171" s="123"/>
      <c r="B171" s="124"/>
      <c r="C171" s="125"/>
      <c r="D171" s="126"/>
      <c r="E171" s="127"/>
      <c r="F171" s="128"/>
      <c r="G171" s="52"/>
      <c r="H171" s="129"/>
      <c r="I171" s="131"/>
      <c r="J171" s="131"/>
      <c r="K171" s="129"/>
      <c r="L171" s="58"/>
      <c r="M171" s="58"/>
      <c r="N171" s="58"/>
      <c r="O171" s="58"/>
    </row>
    <row r="172" spans="1:15" ht="15.9" customHeight="1">
      <c r="A172" s="123"/>
      <c r="B172" s="124"/>
      <c r="C172" s="125"/>
      <c r="D172" s="126"/>
      <c r="E172" s="130"/>
      <c r="F172" s="128"/>
      <c r="G172" s="52"/>
      <c r="H172" s="129"/>
      <c r="I172" s="131"/>
      <c r="J172" s="131"/>
      <c r="K172" s="129"/>
      <c r="L172" s="58"/>
      <c r="M172" s="58"/>
      <c r="N172" s="58"/>
      <c r="O172" s="58"/>
    </row>
    <row r="173" spans="1:15" ht="15.9" customHeight="1">
      <c r="A173" s="123"/>
      <c r="B173" s="124"/>
      <c r="C173" s="125"/>
      <c r="D173" s="126"/>
      <c r="E173" s="130"/>
      <c r="F173" s="128"/>
      <c r="G173" s="52"/>
      <c r="H173" s="129"/>
      <c r="I173" s="131"/>
      <c r="J173" s="131"/>
      <c r="K173" s="129"/>
      <c r="L173" s="58"/>
      <c r="M173" s="58"/>
      <c r="N173" s="58"/>
      <c r="O173" s="58"/>
    </row>
    <row r="174" spans="1:15" ht="15.9" customHeight="1">
      <c r="A174" s="133"/>
      <c r="B174" s="134"/>
      <c r="C174" s="135"/>
      <c r="D174" s="136"/>
      <c r="E174" s="137"/>
      <c r="F174" s="138"/>
      <c r="G174" s="52"/>
      <c r="H174" s="129"/>
      <c r="I174" s="150"/>
      <c r="J174" s="150"/>
      <c r="K174" s="151"/>
      <c r="L174" s="58"/>
      <c r="M174" s="58"/>
      <c r="N174" s="58"/>
      <c r="O174" s="58"/>
    </row>
    <row r="175" spans="1:15" ht="15.9" customHeight="1">
      <c r="A175" s="139"/>
      <c r="B175" s="134"/>
      <c r="C175" s="140"/>
      <c r="D175" s="136"/>
      <c r="E175" s="105"/>
      <c r="F175" s="11"/>
      <c r="G175" s="52"/>
      <c r="H175" s="141"/>
      <c r="I175" s="150"/>
      <c r="J175" s="150"/>
      <c r="K175" s="151"/>
      <c r="L175" s="58"/>
      <c r="M175" s="58"/>
      <c r="N175" s="58"/>
      <c r="O175" s="58"/>
    </row>
    <row r="176" spans="1:15" ht="15.9" customHeight="1">
      <c r="A176" s="139"/>
      <c r="B176" s="134"/>
      <c r="C176" s="140"/>
      <c r="D176" s="136"/>
      <c r="E176" s="105"/>
      <c r="F176" s="11"/>
      <c r="G176" s="52"/>
      <c r="H176" s="141"/>
      <c r="I176" s="150"/>
      <c r="J176" s="150"/>
      <c r="K176" s="151"/>
      <c r="L176" s="58"/>
      <c r="M176" s="58"/>
      <c r="N176" s="58"/>
      <c r="O176" s="58"/>
    </row>
    <row r="177" spans="1:15" ht="15.9" customHeight="1">
      <c r="A177" s="139"/>
      <c r="B177" s="134"/>
      <c r="C177" s="140"/>
      <c r="D177" s="136"/>
      <c r="E177" s="105"/>
      <c r="F177" s="11"/>
      <c r="G177" s="52"/>
      <c r="H177" s="141"/>
      <c r="I177" s="150"/>
      <c r="J177" s="150"/>
      <c r="K177" s="151"/>
      <c r="L177" s="58"/>
      <c r="M177" s="58"/>
      <c r="N177" s="58"/>
      <c r="O177" s="58"/>
    </row>
    <row r="178" spans="1:15" ht="15.9" customHeight="1">
      <c r="A178" s="139"/>
      <c r="B178" s="134"/>
      <c r="C178" s="140"/>
      <c r="D178" s="136"/>
      <c r="E178" s="105"/>
      <c r="F178" s="11"/>
      <c r="G178" s="52"/>
      <c r="H178" s="141"/>
      <c r="I178" s="150"/>
      <c r="J178" s="150"/>
      <c r="K178" s="151"/>
      <c r="L178" s="58"/>
      <c r="M178" s="58"/>
      <c r="N178" s="58"/>
      <c r="O178" s="58"/>
    </row>
    <row r="179" spans="1:15" ht="15.9" customHeight="1">
      <c r="A179" s="139"/>
      <c r="B179" s="134"/>
      <c r="C179" s="140"/>
      <c r="D179" s="136"/>
      <c r="E179" s="105"/>
      <c r="F179" s="11"/>
      <c r="G179" s="52"/>
      <c r="H179" s="141"/>
      <c r="I179" s="150"/>
      <c r="J179" s="150"/>
      <c r="K179" s="151"/>
      <c r="L179" s="58"/>
      <c r="M179" s="58"/>
      <c r="N179" s="58"/>
      <c r="O179" s="58"/>
    </row>
    <row r="180" spans="1:15" ht="15.9" customHeight="1">
      <c r="A180" s="139"/>
      <c r="B180" s="134"/>
      <c r="C180" s="140"/>
      <c r="D180" s="136"/>
      <c r="E180" s="105"/>
      <c r="F180" s="11"/>
      <c r="G180" s="52"/>
      <c r="H180" s="141"/>
      <c r="I180" s="150"/>
      <c r="J180" s="150"/>
      <c r="K180" s="151"/>
      <c r="L180" s="58"/>
      <c r="M180" s="58"/>
      <c r="N180" s="58"/>
      <c r="O180" s="58"/>
    </row>
    <row r="181" spans="1:15" ht="15.9" customHeight="1">
      <c r="A181" s="139"/>
      <c r="B181" s="134"/>
      <c r="C181" s="140"/>
      <c r="D181" s="136"/>
      <c r="E181" s="105"/>
      <c r="F181" s="11"/>
      <c r="G181" s="52"/>
      <c r="H181" s="141"/>
      <c r="I181" s="150"/>
      <c r="J181" s="150"/>
      <c r="K181" s="151"/>
      <c r="L181" s="58"/>
      <c r="M181" s="58"/>
      <c r="N181" s="58"/>
      <c r="O181" s="58"/>
    </row>
    <row r="182" spans="1:15" ht="15.9" customHeight="1">
      <c r="A182" s="123"/>
      <c r="B182" s="124"/>
      <c r="C182" s="106"/>
      <c r="D182" s="107"/>
      <c r="E182" s="105"/>
      <c r="F182" s="11"/>
      <c r="G182" s="52"/>
      <c r="H182" s="142"/>
      <c r="I182" s="142"/>
      <c r="J182" s="142"/>
      <c r="K182" s="152"/>
      <c r="L182" s="58"/>
      <c r="M182" s="58"/>
      <c r="N182" s="58"/>
      <c r="O182" s="58"/>
    </row>
    <row r="183" spans="1:15" ht="15.9" customHeight="1">
      <c r="A183" s="123"/>
      <c r="B183" s="124"/>
      <c r="C183" s="106"/>
      <c r="D183" s="107"/>
      <c r="E183" s="105"/>
      <c r="F183" s="11"/>
      <c r="G183" s="52"/>
      <c r="H183" s="142"/>
      <c r="I183" s="142"/>
      <c r="J183" s="142"/>
      <c r="K183" s="152"/>
      <c r="L183" s="58"/>
      <c r="M183" s="58"/>
      <c r="N183" s="58"/>
      <c r="O183" s="58"/>
    </row>
    <row r="184" spans="1:15" ht="15.9" customHeight="1">
      <c r="A184" s="143"/>
      <c r="B184" s="144"/>
      <c r="C184" s="106"/>
      <c r="D184" s="107"/>
      <c r="E184" s="105"/>
      <c r="F184" s="11"/>
      <c r="G184" s="52"/>
      <c r="H184" s="142"/>
      <c r="I184" s="142"/>
      <c r="J184" s="142"/>
      <c r="K184" s="152"/>
      <c r="L184" s="58"/>
      <c r="M184" s="58"/>
      <c r="N184" s="58"/>
      <c r="O184" s="58"/>
    </row>
    <row r="185" spans="1:15" ht="15.9" customHeight="1">
      <c r="A185" s="145"/>
      <c r="B185" s="146"/>
      <c r="C185" s="147"/>
      <c r="D185" s="148"/>
      <c r="E185" s="149"/>
      <c r="F185" s="149"/>
      <c r="G185" s="52"/>
      <c r="H185" s="142"/>
      <c r="I185" s="142"/>
      <c r="J185" s="142"/>
      <c r="K185" s="152"/>
      <c r="L185" s="58"/>
      <c r="M185" s="58"/>
      <c r="N185" s="58"/>
      <c r="O185" s="58"/>
    </row>
    <row r="186" spans="1:15" ht="15.9" customHeight="1">
      <c r="A186" s="145"/>
      <c r="B186" s="146"/>
      <c r="C186" s="147"/>
      <c r="D186" s="148"/>
      <c r="E186" s="149"/>
      <c r="F186" s="149"/>
      <c r="G186" s="52"/>
      <c r="H186" s="142"/>
      <c r="I186" s="142"/>
      <c r="J186" s="142"/>
      <c r="K186" s="152"/>
      <c r="L186" s="58"/>
      <c r="M186" s="58"/>
      <c r="N186" s="58"/>
      <c r="O186" s="58"/>
    </row>
    <row r="187" spans="1:15" ht="15.9" customHeight="1">
      <c r="A187" s="145"/>
      <c r="B187" s="146"/>
      <c r="C187" s="147"/>
      <c r="D187" s="148"/>
      <c r="E187" s="149"/>
      <c r="F187" s="149"/>
      <c r="G187" s="52"/>
      <c r="H187" s="142"/>
      <c r="I187" s="142"/>
      <c r="J187" s="142"/>
      <c r="K187" s="152"/>
      <c r="L187" s="58"/>
      <c r="M187" s="58"/>
      <c r="N187" s="58"/>
      <c r="O187" s="58"/>
    </row>
    <row r="188" spans="1:15" ht="15.9" customHeight="1">
      <c r="A188" s="145"/>
      <c r="B188" s="146"/>
      <c r="C188" s="147"/>
      <c r="D188" s="148"/>
      <c r="E188" s="149"/>
      <c r="F188" s="149"/>
      <c r="G188" s="52"/>
      <c r="H188" s="142"/>
      <c r="I188" s="142"/>
      <c r="J188" s="142"/>
      <c r="K188" s="152"/>
      <c r="L188" s="58"/>
      <c r="M188" s="58"/>
      <c r="N188" s="58"/>
      <c r="O188" s="58"/>
    </row>
    <row r="189" spans="1:15" ht="15.9" customHeight="1">
      <c r="A189" s="145"/>
      <c r="B189" s="146"/>
      <c r="C189" s="147"/>
      <c r="D189" s="148"/>
      <c r="E189" s="149"/>
      <c r="F189" s="149"/>
      <c r="G189" s="52"/>
      <c r="H189" s="142"/>
      <c r="I189" s="142"/>
      <c r="J189" s="142"/>
      <c r="K189" s="152"/>
      <c r="L189" s="58"/>
      <c r="M189" s="58"/>
      <c r="N189" s="58"/>
      <c r="O189" s="58"/>
    </row>
    <row r="190" spans="1:15" ht="15.9" customHeight="1">
      <c r="A190" s="145"/>
      <c r="B190" s="146"/>
      <c r="C190" s="147"/>
      <c r="D190" s="148"/>
      <c r="E190" s="149"/>
      <c r="F190" s="149"/>
      <c r="G190" s="52"/>
      <c r="H190" s="142"/>
      <c r="I190" s="142"/>
      <c r="J190" s="142"/>
      <c r="K190" s="152"/>
      <c r="L190" s="58"/>
      <c r="M190" s="58"/>
      <c r="N190" s="58"/>
      <c r="O190" s="58"/>
    </row>
    <row r="191" spans="1:15" ht="15.9" customHeight="1">
      <c r="A191" s="145"/>
      <c r="B191" s="146"/>
      <c r="C191" s="147"/>
      <c r="D191" s="148"/>
      <c r="E191" s="149"/>
      <c r="F191" s="149"/>
      <c r="G191" s="52"/>
      <c r="H191" s="142"/>
      <c r="I191" s="142"/>
      <c r="J191" s="142"/>
      <c r="K191" s="152"/>
      <c r="L191" s="58"/>
      <c r="M191" s="58"/>
      <c r="N191" s="58"/>
      <c r="O191" s="58"/>
    </row>
    <row r="192" spans="1:15" ht="15.9" customHeight="1">
      <c r="A192" s="145"/>
      <c r="B192" s="146"/>
      <c r="C192" s="147"/>
      <c r="D192" s="148"/>
      <c r="E192" s="149"/>
      <c r="F192" s="149"/>
      <c r="G192" s="52"/>
      <c r="H192" s="142"/>
      <c r="I192" s="142"/>
      <c r="J192" s="142"/>
      <c r="K192" s="152"/>
      <c r="L192" s="58"/>
      <c r="M192" s="58"/>
      <c r="N192" s="58"/>
      <c r="O192" s="58"/>
    </row>
    <row r="193" spans="1:15" ht="15.9" customHeight="1">
      <c r="A193" s="145"/>
      <c r="B193" s="146"/>
      <c r="C193" s="147"/>
      <c r="D193" s="148"/>
      <c r="E193" s="149"/>
      <c r="F193" s="149"/>
      <c r="G193" s="52"/>
      <c r="H193" s="142"/>
      <c r="I193" s="142"/>
      <c r="J193" s="142"/>
      <c r="K193" s="152"/>
      <c r="L193" s="58"/>
      <c r="M193" s="58"/>
      <c r="N193" s="58"/>
      <c r="O193" s="58"/>
    </row>
    <row r="194" spans="1:15" ht="15.9" customHeight="1">
      <c r="A194" s="145"/>
      <c r="B194" s="146"/>
      <c r="C194" s="147"/>
      <c r="D194" s="148"/>
      <c r="E194" s="149"/>
      <c r="F194" s="149"/>
      <c r="G194" s="52"/>
      <c r="H194" s="142"/>
      <c r="I194" s="142"/>
      <c r="J194" s="142"/>
      <c r="K194" s="152"/>
      <c r="L194" s="58"/>
      <c r="M194" s="58"/>
      <c r="N194" s="58"/>
      <c r="O194" s="58"/>
    </row>
    <row r="195" spans="1:15" ht="15.9" customHeight="1">
      <c r="A195" s="145"/>
      <c r="B195" s="146"/>
      <c r="C195" s="147"/>
      <c r="D195" s="148"/>
      <c r="E195" s="149"/>
      <c r="F195" s="149"/>
      <c r="G195" s="52"/>
      <c r="H195" s="142"/>
      <c r="I195" s="142"/>
      <c r="J195" s="142"/>
      <c r="K195" s="152"/>
      <c r="L195" s="58"/>
      <c r="M195" s="58"/>
      <c r="N195" s="58"/>
      <c r="O195" s="58"/>
    </row>
    <row r="196" spans="1:15" ht="15.9" customHeight="1">
      <c r="A196" s="145"/>
      <c r="B196" s="146"/>
      <c r="C196" s="147"/>
      <c r="D196" s="148"/>
      <c r="E196" s="149"/>
      <c r="F196" s="149"/>
      <c r="G196" s="52"/>
      <c r="H196" s="142"/>
      <c r="I196" s="142"/>
      <c r="J196" s="142"/>
      <c r="K196" s="152"/>
      <c r="L196" s="58"/>
      <c r="M196" s="58"/>
      <c r="N196" s="58"/>
      <c r="O196" s="58"/>
    </row>
    <row r="197" spans="1:15" ht="15.9" customHeight="1">
      <c r="A197" s="145"/>
      <c r="B197" s="146"/>
      <c r="C197" s="147"/>
      <c r="D197" s="148"/>
      <c r="E197" s="149"/>
      <c r="F197" s="149"/>
      <c r="G197" s="52"/>
      <c r="H197" s="142"/>
      <c r="I197" s="142"/>
      <c r="J197" s="142"/>
      <c r="K197" s="152"/>
      <c r="L197" s="58"/>
      <c r="M197" s="58"/>
      <c r="N197" s="58"/>
      <c r="O197" s="58"/>
    </row>
    <row r="198" spans="1:15" ht="15.9" customHeight="1">
      <c r="A198" s="145"/>
      <c r="B198" s="146"/>
      <c r="C198" s="147"/>
      <c r="D198" s="148"/>
      <c r="E198" s="149"/>
      <c r="F198" s="149"/>
      <c r="G198" s="52"/>
      <c r="H198" s="142"/>
      <c r="I198" s="142"/>
      <c r="J198" s="142"/>
      <c r="K198" s="152"/>
      <c r="L198" s="58"/>
      <c r="M198" s="58"/>
      <c r="N198" s="58"/>
      <c r="O198" s="58"/>
    </row>
    <row r="199" spans="1:15" ht="15.9" customHeight="1">
      <c r="A199" s="145"/>
      <c r="B199" s="146"/>
      <c r="C199" s="146"/>
      <c r="D199" s="148"/>
      <c r="E199" s="149"/>
      <c r="F199" s="149"/>
      <c r="G199" s="52"/>
      <c r="H199" s="142"/>
      <c r="I199" s="142"/>
      <c r="J199" s="142"/>
      <c r="K199" s="152"/>
      <c r="L199" s="58"/>
      <c r="M199" s="58"/>
      <c r="N199" s="58"/>
      <c r="O199" s="58"/>
    </row>
    <row r="200" spans="1:15" ht="15.9" customHeight="1">
      <c r="A200" s="145"/>
      <c r="B200" s="146"/>
      <c r="C200" s="147"/>
      <c r="D200" s="148"/>
      <c r="E200" s="149"/>
      <c r="F200" s="149"/>
      <c r="G200" s="52"/>
      <c r="H200" s="142"/>
      <c r="I200" s="142"/>
      <c r="J200" s="142"/>
      <c r="K200" s="152"/>
      <c r="L200" s="58"/>
      <c r="M200" s="58"/>
      <c r="N200" s="58"/>
      <c r="O200" s="58"/>
    </row>
    <row r="201" spans="1:15" ht="15.9" customHeight="1">
      <c r="A201" s="145"/>
      <c r="B201" s="146"/>
      <c r="C201" s="147"/>
      <c r="D201" s="148"/>
      <c r="E201" s="149"/>
      <c r="F201" s="149"/>
      <c r="G201" s="52"/>
      <c r="H201" s="142"/>
      <c r="I201" s="142"/>
      <c r="J201" s="142"/>
      <c r="K201" s="152"/>
      <c r="L201" s="58"/>
      <c r="M201" s="58"/>
      <c r="N201" s="58"/>
      <c r="O201" s="58"/>
    </row>
    <row r="202" spans="1:15" ht="15.9" customHeight="1">
      <c r="A202" s="145"/>
      <c r="B202" s="146"/>
      <c r="C202" s="147"/>
      <c r="D202" s="148"/>
      <c r="E202" s="149"/>
      <c r="F202" s="149"/>
      <c r="G202" s="52"/>
      <c r="H202" s="142"/>
      <c r="I202" s="142"/>
      <c r="J202" s="142"/>
      <c r="K202" s="152"/>
      <c r="L202" s="58"/>
      <c r="M202" s="58"/>
      <c r="N202" s="58"/>
      <c r="O202" s="58"/>
    </row>
    <row r="203" spans="1:15" ht="15.9" customHeight="1">
      <c r="A203" s="145"/>
      <c r="B203" s="146"/>
      <c r="C203" s="147"/>
      <c r="D203" s="148"/>
      <c r="E203" s="149"/>
      <c r="F203" s="149"/>
      <c r="G203" s="52"/>
      <c r="H203" s="142"/>
      <c r="I203" s="142"/>
      <c r="J203" s="142"/>
      <c r="K203" s="152"/>
      <c r="L203" s="58"/>
      <c r="M203" s="58"/>
      <c r="N203" s="58"/>
      <c r="O203" s="58"/>
    </row>
    <row r="204" spans="1:15" ht="15.9" customHeight="1">
      <c r="A204" s="145"/>
      <c r="B204" s="146"/>
      <c r="C204" s="146"/>
      <c r="D204" s="148"/>
      <c r="E204" s="149"/>
      <c r="F204" s="149"/>
      <c r="G204" s="52"/>
      <c r="H204" s="142"/>
      <c r="I204" s="142"/>
      <c r="J204" s="142"/>
      <c r="K204" s="152"/>
      <c r="L204" s="58"/>
      <c r="M204" s="58"/>
      <c r="N204" s="58"/>
      <c r="O204" s="58"/>
    </row>
    <row r="205" spans="1:15" ht="15.9" customHeight="1">
      <c r="A205" s="145"/>
      <c r="B205" s="146"/>
      <c r="C205" s="147"/>
      <c r="D205" s="148"/>
      <c r="E205" s="149"/>
      <c r="F205" s="149"/>
      <c r="G205" s="52"/>
      <c r="H205" s="142"/>
      <c r="I205" s="142"/>
      <c r="J205" s="142"/>
      <c r="K205" s="152"/>
      <c r="L205" s="58"/>
      <c r="M205" s="58"/>
      <c r="N205" s="58"/>
      <c r="O205" s="58"/>
    </row>
    <row r="206" spans="1:15" ht="15.9" customHeight="1">
      <c r="A206" s="145"/>
      <c r="B206" s="146"/>
      <c r="C206" s="147"/>
      <c r="D206" s="148"/>
      <c r="E206" s="149"/>
      <c r="F206" s="149"/>
      <c r="G206" s="52"/>
      <c r="H206" s="142"/>
      <c r="I206" s="142"/>
      <c r="J206" s="142"/>
      <c r="K206" s="152"/>
      <c r="L206" s="58"/>
      <c r="M206" s="58"/>
      <c r="N206" s="58"/>
      <c r="O206" s="58"/>
    </row>
    <row r="207" spans="1:15" ht="15.9" customHeight="1">
      <c r="A207" s="145"/>
      <c r="B207" s="146"/>
      <c r="C207" s="147"/>
      <c r="D207" s="148"/>
      <c r="E207" s="149"/>
      <c r="F207" s="149"/>
      <c r="G207" s="52"/>
      <c r="H207" s="142"/>
      <c r="I207" s="142"/>
      <c r="J207" s="142"/>
      <c r="K207" s="152"/>
      <c r="L207" s="58"/>
      <c r="M207" s="58"/>
      <c r="N207" s="58"/>
      <c r="O207" s="58"/>
    </row>
    <row r="208" spans="1:15" ht="15.9" customHeight="1">
      <c r="A208" s="145"/>
      <c r="B208" s="146"/>
      <c r="C208" s="147"/>
      <c r="D208" s="148"/>
      <c r="E208" s="149"/>
      <c r="F208" s="149"/>
      <c r="G208" s="52"/>
      <c r="H208" s="142"/>
      <c r="I208" s="142"/>
      <c r="J208" s="142"/>
      <c r="K208" s="152"/>
      <c r="L208" s="58"/>
      <c r="M208" s="58"/>
      <c r="N208" s="58"/>
      <c r="O208" s="58"/>
    </row>
    <row r="209" spans="1:15" ht="15.9" customHeight="1">
      <c r="A209" s="101"/>
      <c r="B209" s="102"/>
      <c r="C209" s="106"/>
      <c r="D209" s="107"/>
      <c r="E209" s="105"/>
      <c r="F209" s="11"/>
      <c r="G209" s="52"/>
      <c r="H209" s="11"/>
      <c r="I209" s="11"/>
      <c r="J209" s="11"/>
      <c r="K209" s="57"/>
      <c r="L209" s="58"/>
      <c r="M209" s="58"/>
      <c r="N209" s="58"/>
      <c r="O209" s="58"/>
    </row>
    <row r="210" spans="1:15" ht="15.9" customHeight="1">
      <c r="A210" s="101"/>
      <c r="B210" s="102"/>
      <c r="C210" s="106"/>
      <c r="D210" s="107"/>
      <c r="E210" s="105"/>
      <c r="F210" s="11"/>
      <c r="G210" s="52"/>
      <c r="H210" s="11"/>
      <c r="I210" s="11"/>
      <c r="J210" s="11"/>
      <c r="K210" s="57"/>
      <c r="L210" s="58"/>
      <c r="M210" s="58"/>
      <c r="N210" s="58"/>
      <c r="O210" s="58"/>
    </row>
    <row r="211" spans="1:15" ht="15.9" customHeight="1">
      <c r="A211" s="101"/>
      <c r="B211" s="102"/>
      <c r="C211" s="106"/>
      <c r="D211" s="107"/>
      <c r="E211" s="105"/>
      <c r="F211" s="11"/>
      <c r="G211" s="52"/>
      <c r="H211" s="11"/>
      <c r="I211" s="11"/>
      <c r="J211" s="11"/>
      <c r="K211" s="57"/>
      <c r="L211" s="58"/>
      <c r="M211" s="58"/>
      <c r="N211" s="58"/>
      <c r="O211" s="58"/>
    </row>
    <row r="212" spans="1:15" ht="15.9" customHeight="1">
      <c r="A212" s="101"/>
      <c r="B212" s="102"/>
      <c r="C212" s="106"/>
      <c r="D212" s="107"/>
      <c r="E212" s="105"/>
      <c r="F212" s="11"/>
      <c r="G212" s="52"/>
      <c r="H212" s="11"/>
      <c r="I212" s="11"/>
      <c r="J212" s="11"/>
      <c r="K212" s="57"/>
      <c r="L212" s="58"/>
      <c r="M212" s="58"/>
      <c r="N212" s="58"/>
      <c r="O212" s="58"/>
    </row>
    <row r="213" spans="1:15" ht="15.9" customHeight="1">
      <c r="A213" s="101"/>
      <c r="B213" s="102"/>
      <c r="C213" s="106"/>
      <c r="D213" s="107"/>
      <c r="E213" s="105"/>
      <c r="F213" s="11"/>
      <c r="G213" s="52"/>
      <c r="H213" s="11"/>
      <c r="I213" s="11"/>
      <c r="J213" s="11"/>
      <c r="K213" s="57"/>
      <c r="L213" s="58"/>
      <c r="M213" s="58"/>
      <c r="N213" s="58"/>
      <c r="O213" s="58"/>
    </row>
    <row r="214" spans="1:15" ht="15.9" customHeight="1">
      <c r="A214" s="101"/>
      <c r="B214" s="102"/>
      <c r="C214" s="106"/>
      <c r="D214" s="107"/>
      <c r="E214" s="105"/>
      <c r="F214" s="11"/>
      <c r="G214" s="52"/>
      <c r="H214" s="11"/>
      <c r="I214" s="11"/>
      <c r="J214" s="11"/>
      <c r="K214" s="57"/>
      <c r="L214" s="58"/>
      <c r="M214" s="58"/>
      <c r="N214" s="58"/>
      <c r="O214" s="58"/>
    </row>
    <row r="215" spans="1:15" ht="15.9" customHeight="1">
      <c r="A215" s="101"/>
      <c r="B215" s="102"/>
      <c r="C215" s="106"/>
      <c r="D215" s="107"/>
      <c r="E215" s="105"/>
      <c r="F215" s="11"/>
      <c r="G215" s="52"/>
      <c r="H215" s="11"/>
      <c r="I215" s="11"/>
      <c r="J215" s="11"/>
      <c r="K215" s="57"/>
      <c r="L215" s="58"/>
      <c r="M215" s="58"/>
      <c r="N215" s="58"/>
      <c r="O215" s="58"/>
    </row>
    <row r="216" spans="1:15" ht="15.9" customHeight="1">
      <c r="A216" s="101"/>
      <c r="B216" s="102"/>
      <c r="C216" s="106"/>
      <c r="D216" s="107"/>
      <c r="E216" s="105"/>
      <c r="F216" s="11"/>
      <c r="G216" s="52"/>
      <c r="H216" s="11"/>
      <c r="I216" s="11"/>
      <c r="J216" s="11"/>
      <c r="K216" s="57"/>
      <c r="L216" s="58"/>
      <c r="M216" s="58"/>
      <c r="N216" s="58"/>
      <c r="O216" s="58"/>
    </row>
    <row r="217" spans="1:15" ht="15.9" customHeight="1">
      <c r="A217" s="101"/>
      <c r="B217" s="102"/>
      <c r="C217" s="106"/>
      <c r="D217" s="107"/>
      <c r="E217" s="105"/>
      <c r="F217" s="11"/>
      <c r="G217" s="52"/>
      <c r="H217" s="11"/>
      <c r="I217" s="11"/>
      <c r="J217" s="11"/>
      <c r="K217" s="57"/>
      <c r="L217" s="58"/>
      <c r="M217" s="58"/>
      <c r="N217" s="58"/>
      <c r="O217" s="58"/>
    </row>
    <row r="218" spans="1:15" ht="15.9" customHeight="1">
      <c r="A218" s="101"/>
      <c r="B218" s="102"/>
      <c r="C218" s="106"/>
      <c r="D218" s="107"/>
      <c r="E218" s="105"/>
      <c r="F218" s="11"/>
      <c r="G218" s="52"/>
      <c r="H218" s="11"/>
      <c r="I218" s="11"/>
      <c r="J218" s="11"/>
      <c r="K218" s="57"/>
      <c r="L218" s="58"/>
      <c r="M218" s="58"/>
      <c r="N218" s="58"/>
      <c r="O218" s="58"/>
    </row>
    <row r="219" spans="1:15" ht="15.9" customHeight="1">
      <c r="A219" s="101"/>
      <c r="B219" s="102"/>
      <c r="C219" s="106"/>
      <c r="D219" s="107"/>
      <c r="E219" s="105"/>
      <c r="F219" s="11"/>
      <c r="G219" s="52"/>
      <c r="H219" s="11"/>
      <c r="I219" s="11"/>
      <c r="J219" s="11"/>
      <c r="K219" s="57"/>
      <c r="L219" s="58"/>
      <c r="M219" s="58"/>
      <c r="N219" s="58"/>
      <c r="O219" s="58"/>
    </row>
    <row r="220" spans="1:15" ht="15.9" customHeight="1">
      <c r="A220" s="101"/>
      <c r="B220" s="102"/>
      <c r="C220" s="106"/>
      <c r="D220" s="107"/>
      <c r="E220" s="105"/>
      <c r="F220" s="11"/>
      <c r="G220" s="52"/>
      <c r="H220" s="11"/>
      <c r="I220" s="11"/>
      <c r="J220" s="11"/>
      <c r="K220" s="57"/>
      <c r="L220" s="58"/>
      <c r="M220" s="58"/>
      <c r="N220" s="58"/>
      <c r="O220" s="58"/>
    </row>
    <row r="221" spans="1:15" ht="15.9" customHeight="1">
      <c r="A221" s="101"/>
      <c r="B221" s="102"/>
      <c r="C221" s="106"/>
      <c r="D221" s="107"/>
      <c r="E221" s="105"/>
      <c r="F221" s="11"/>
      <c r="G221" s="52"/>
      <c r="H221" s="11"/>
      <c r="I221" s="11"/>
      <c r="J221" s="11"/>
      <c r="K221" s="57"/>
      <c r="L221" s="58"/>
      <c r="M221" s="58"/>
      <c r="N221" s="58"/>
      <c r="O221" s="58"/>
    </row>
    <row r="222" spans="1:15" ht="15.9" customHeight="1">
      <c r="A222" s="101"/>
      <c r="B222" s="102"/>
      <c r="C222" s="106"/>
      <c r="D222" s="107"/>
      <c r="E222" s="105"/>
      <c r="F222" s="11"/>
      <c r="G222" s="52"/>
      <c r="H222" s="11"/>
      <c r="I222" s="11"/>
      <c r="J222" s="11"/>
      <c r="K222" s="57"/>
      <c r="L222" s="58"/>
      <c r="M222" s="58"/>
      <c r="N222" s="58"/>
      <c r="O222" s="58"/>
    </row>
    <row r="223" spans="1:15" ht="15.9" customHeight="1">
      <c r="A223" s="101"/>
      <c r="B223" s="102"/>
      <c r="C223" s="106"/>
      <c r="D223" s="107"/>
      <c r="E223" s="105"/>
      <c r="F223" s="11"/>
      <c r="G223" s="52"/>
      <c r="H223" s="11"/>
      <c r="I223" s="11"/>
      <c r="J223" s="11"/>
      <c r="K223" s="57"/>
      <c r="L223" s="58"/>
      <c r="M223" s="58"/>
      <c r="N223" s="58"/>
      <c r="O223" s="58"/>
    </row>
    <row r="224" spans="1:15" ht="15.9" customHeight="1">
      <c r="A224" s="101"/>
      <c r="B224" s="102"/>
      <c r="C224" s="106"/>
      <c r="D224" s="107"/>
      <c r="E224" s="105"/>
      <c r="F224" s="11"/>
      <c r="G224" s="52"/>
      <c r="H224" s="11"/>
      <c r="I224" s="11"/>
      <c r="J224" s="11"/>
      <c r="K224" s="57"/>
      <c r="L224" s="58"/>
      <c r="M224" s="58"/>
      <c r="N224" s="58"/>
      <c r="O224" s="58"/>
    </row>
    <row r="225" spans="1:15" ht="15.9" customHeight="1">
      <c r="A225" s="101"/>
      <c r="B225" s="102"/>
      <c r="C225" s="106"/>
      <c r="D225" s="107"/>
      <c r="E225" s="105"/>
      <c r="F225" s="11"/>
      <c r="G225" s="52"/>
      <c r="H225" s="11"/>
      <c r="I225" s="11"/>
      <c r="J225" s="11"/>
      <c r="K225" s="57"/>
      <c r="L225" s="58"/>
      <c r="M225" s="58"/>
      <c r="N225" s="58"/>
      <c r="O225" s="58"/>
    </row>
    <row r="226" spans="1:15" ht="15.9" customHeight="1">
      <c r="A226" s="101"/>
      <c r="B226" s="102"/>
      <c r="C226" s="106"/>
      <c r="D226" s="107"/>
      <c r="E226" s="105"/>
      <c r="F226" s="11"/>
      <c r="G226" s="52"/>
      <c r="H226" s="11"/>
      <c r="I226" s="11"/>
      <c r="J226" s="11"/>
      <c r="K226" s="57"/>
      <c r="L226" s="58"/>
      <c r="M226" s="58"/>
      <c r="N226" s="58"/>
      <c r="O226" s="58"/>
    </row>
    <row r="227" spans="1:15" ht="15.9" customHeight="1">
      <c r="A227" s="109"/>
      <c r="B227" s="110"/>
      <c r="C227" s="106" t="s">
        <v>319</v>
      </c>
      <c r="D227" s="107"/>
      <c r="E227" s="105">
        <f>SUM(E163:E226)</f>
        <v>0</v>
      </c>
      <c r="F227" s="113" t="e">
        <f>(E227-G227)/E227*100</f>
        <v>#DIV/0!</v>
      </c>
      <c r="G227" s="52">
        <f>SUM(G163:G226)</f>
        <v>0</v>
      </c>
      <c r="H227" s="114" t="e">
        <f>L227/G227*100</f>
        <v>#DIV/0!</v>
      </c>
      <c r="I227" s="114" t="e">
        <f>M227/G227*100</f>
        <v>#DIV/0!</v>
      </c>
      <c r="J227" s="114" t="e">
        <f>N227/G227*100</f>
        <v>#DIV/0!</v>
      </c>
      <c r="K227" s="119" t="e">
        <f>O227/G227*1000</f>
        <v>#DIV/0!</v>
      </c>
      <c r="L227" s="58">
        <f>SUM(L163:L226)</f>
        <v>0</v>
      </c>
      <c r="M227" s="58">
        <f>SUM(M163:M226)</f>
        <v>0</v>
      </c>
      <c r="N227" s="58">
        <f>SUM(N163:N226)</f>
        <v>0</v>
      </c>
      <c r="O227" s="58">
        <f>SUM(O163:O226)</f>
        <v>0</v>
      </c>
    </row>
    <row r="228" spans="1:15" ht="15.9" customHeight="1">
      <c r="A228" s="810" t="s">
        <v>546</v>
      </c>
      <c r="B228" s="811"/>
      <c r="C228" s="812"/>
      <c r="D228" s="813"/>
      <c r="E228" s="112">
        <f>SUM(E4:E227)</f>
        <v>0</v>
      </c>
      <c r="F228" s="113" t="e">
        <f>(E228-G228)/E228*100</f>
        <v>#DIV/0!</v>
      </c>
      <c r="G228" s="114">
        <f>SUM(G4:G227)</f>
        <v>0</v>
      </c>
      <c r="H228" s="114" t="e">
        <f>L228/G228*100</f>
        <v>#DIV/0!</v>
      </c>
      <c r="I228" s="114" t="e">
        <f>M228/G228*100</f>
        <v>#DIV/0!</v>
      </c>
      <c r="J228" s="114" t="e">
        <f>N228/G228*100</f>
        <v>#DIV/0!</v>
      </c>
      <c r="K228" s="119" t="e">
        <f>O228/G228*1000</f>
        <v>#DIV/0!</v>
      </c>
      <c r="L228" s="120">
        <f>SUM(L4:L227)</f>
        <v>0</v>
      </c>
      <c r="M228" s="120">
        <f>SUM(M4:M227)</f>
        <v>0</v>
      </c>
      <c r="N228" s="120">
        <f>SUM(N4:N227)</f>
        <v>0</v>
      </c>
      <c r="O228" s="120">
        <f>SUM(O4:O227)</f>
        <v>0</v>
      </c>
    </row>
    <row r="229" spans="1:15" ht="15.9" customHeight="1"/>
    <row r="230" spans="1:15" ht="15.9" customHeight="1">
      <c r="G230" s="83"/>
      <c r="H230" s="83"/>
      <c r="I230" s="83"/>
      <c r="J230" s="83"/>
      <c r="K230" s="83"/>
      <c r="L230" s="121"/>
      <c r="M230" s="121"/>
      <c r="N230" s="121"/>
      <c r="O230" s="121"/>
    </row>
    <row r="231" spans="1:15" ht="15.9" customHeight="1">
      <c r="D231" s="115"/>
      <c r="E231" s="78"/>
      <c r="F231" s="116"/>
      <c r="G231" s="90"/>
      <c r="H231" s="90"/>
      <c r="I231" s="90"/>
      <c r="J231" s="90"/>
      <c r="K231" s="90"/>
      <c r="L231" s="90"/>
      <c r="M231" s="90"/>
      <c r="N231" s="90"/>
      <c r="O231" s="90"/>
    </row>
    <row r="232" spans="1:15" ht="15.9" customHeight="1">
      <c r="B232" s="36"/>
      <c r="C232" s="117"/>
      <c r="D232" s="36"/>
    </row>
    <row r="233" spans="1:15" ht="15.9" customHeight="1">
      <c r="B233" s="36"/>
      <c r="C233" s="117"/>
      <c r="D233" s="36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5.9" customHeight="1">
      <c r="B234" s="36"/>
      <c r="C234" s="117"/>
      <c r="D234" s="36"/>
      <c r="F234" s="40"/>
    </row>
    <row r="235" spans="1:15" ht="15.9" customHeight="1">
      <c r="B235" s="36"/>
      <c r="C235" s="117"/>
      <c r="D235" s="36"/>
    </row>
    <row r="236" spans="1:15" ht="15.9" customHeight="1">
      <c r="B236" s="36"/>
      <c r="C236" s="117"/>
      <c r="D236" s="36"/>
      <c r="F236" s="40"/>
      <c r="G236" s="83"/>
      <c r="H236" s="83"/>
      <c r="I236" s="83"/>
      <c r="J236" s="83"/>
      <c r="K236" s="122"/>
      <c r="L236" s="83"/>
      <c r="M236" s="83"/>
      <c r="N236" s="83"/>
      <c r="O236" s="83"/>
    </row>
    <row r="237" spans="1:15" ht="15.9" customHeight="1">
      <c r="B237" s="36"/>
      <c r="C237" s="117"/>
      <c r="D237" s="36"/>
      <c r="G237" s="83"/>
      <c r="H237" s="83"/>
      <c r="I237" s="83"/>
      <c r="J237" s="83"/>
      <c r="K237" s="122"/>
      <c r="L237" s="83"/>
      <c r="M237" s="83"/>
      <c r="N237" s="83"/>
      <c r="O237" s="83"/>
    </row>
    <row r="238" spans="1:15" ht="15" customHeight="1">
      <c r="B238" s="36"/>
      <c r="C238" s="117"/>
      <c r="D238" s="36"/>
      <c r="G238" s="83"/>
      <c r="H238" s="83"/>
      <c r="I238" s="83"/>
      <c r="J238" s="83"/>
      <c r="K238" s="83"/>
      <c r="L238" s="83"/>
      <c r="M238" s="83"/>
      <c r="N238" s="83"/>
      <c r="O238" s="83"/>
    </row>
    <row r="239" spans="1:15" ht="15" customHeight="1">
      <c r="B239" s="36"/>
      <c r="C239" s="117"/>
      <c r="D239" s="36"/>
      <c r="F239" s="40"/>
      <c r="G239" s="83"/>
      <c r="H239" s="83"/>
      <c r="I239" s="83"/>
      <c r="J239" s="83"/>
      <c r="K239" s="83"/>
      <c r="L239" s="83"/>
      <c r="M239" s="83"/>
      <c r="N239" s="83"/>
      <c r="O239" s="83"/>
    </row>
    <row r="240" spans="1:15" ht="15.9" customHeight="1">
      <c r="B240" s="36"/>
      <c r="C240" s="117"/>
      <c r="D240" s="36"/>
      <c r="F240" s="40"/>
      <c r="G240" s="83"/>
      <c r="H240" s="83"/>
      <c r="I240" s="83"/>
      <c r="J240" s="83"/>
      <c r="K240" s="83"/>
      <c r="L240" s="83"/>
      <c r="M240" s="83"/>
      <c r="N240" s="83"/>
      <c r="O240" s="83"/>
    </row>
    <row r="241" spans="2:15" ht="15.9" customHeight="1">
      <c r="B241" s="36"/>
      <c r="C241" s="117"/>
      <c r="D241" s="36"/>
      <c r="F241" s="40"/>
      <c r="G241" s="83"/>
      <c r="H241" s="83"/>
      <c r="I241" s="83"/>
      <c r="J241" s="83"/>
      <c r="K241" s="83"/>
      <c r="L241" s="83"/>
      <c r="M241" s="83"/>
      <c r="N241" s="83"/>
      <c r="O241" s="83"/>
    </row>
    <row r="242" spans="2:15" ht="15.9" customHeight="1">
      <c r="B242" s="36"/>
      <c r="C242" s="117"/>
      <c r="D242" s="36"/>
    </row>
  </sheetData>
  <mergeCells count="9">
    <mergeCell ref="A1:O1"/>
    <mergeCell ref="E2:G2"/>
    <mergeCell ref="H2:K2"/>
    <mergeCell ref="L2:O2"/>
    <mergeCell ref="A228:D228"/>
    <mergeCell ref="A2:A3"/>
    <mergeCell ref="B2:B3"/>
    <mergeCell ref="C2:C3"/>
    <mergeCell ref="D2:D3"/>
  </mergeCells>
  <phoneticPr fontId="54" type="noConversion"/>
  <pageMargins left="0.69930555555555596" right="0.69930555555555596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88"/>
  <sheetViews>
    <sheetView topLeftCell="A136" workbookViewId="0">
      <selection activeCell="E153" sqref="E153:E165"/>
    </sheetView>
  </sheetViews>
  <sheetFormatPr defaultColWidth="9" defaultRowHeight="15.6"/>
  <cols>
    <col min="1" max="1" width="9.109375" style="36" customWidth="1"/>
    <col min="2" max="2" width="10.44140625" style="37" customWidth="1"/>
    <col min="3" max="3" width="12" style="100" customWidth="1"/>
    <col min="4" max="4" width="17.109375" style="39" customWidth="1"/>
    <col min="5" max="5" width="9.6640625" style="40" customWidth="1"/>
    <col min="6" max="6" width="8" style="86" customWidth="1"/>
    <col min="7" max="7" width="10" style="36" customWidth="1"/>
    <col min="8" max="10" width="7.6640625" style="36" customWidth="1"/>
    <col min="11" max="11" width="9.21875" style="36" customWidth="1"/>
    <col min="12" max="12" width="12.21875" style="36" customWidth="1"/>
    <col min="13" max="13" width="11.77734375" style="36" customWidth="1"/>
    <col min="14" max="14" width="11.6640625" style="36" customWidth="1"/>
    <col min="15" max="15" width="12.6640625" style="36" customWidth="1"/>
    <col min="16" max="16384" width="9" style="36"/>
  </cols>
  <sheetData>
    <row r="1" spans="1:15" ht="34.049999999999997" customHeight="1">
      <c r="A1" s="804" t="s">
        <v>387</v>
      </c>
      <c r="B1" s="804"/>
      <c r="C1" s="805"/>
      <c r="D1" s="804"/>
      <c r="E1" s="806"/>
      <c r="F1" s="806"/>
      <c r="G1" s="804"/>
      <c r="H1" s="804"/>
      <c r="I1" s="804"/>
      <c r="J1" s="804"/>
      <c r="K1" s="804"/>
      <c r="L1" s="804"/>
      <c r="M1" s="804"/>
      <c r="N1" s="804"/>
      <c r="O1" s="804"/>
    </row>
    <row r="2" spans="1:15" ht="15.75" customHeight="1">
      <c r="A2" s="814" t="s">
        <v>388</v>
      </c>
      <c r="B2" s="816" t="s">
        <v>177</v>
      </c>
      <c r="C2" s="818" t="s">
        <v>389</v>
      </c>
      <c r="D2" s="820" t="s">
        <v>390</v>
      </c>
      <c r="E2" s="807" t="s">
        <v>293</v>
      </c>
      <c r="F2" s="807"/>
      <c r="G2" s="808"/>
      <c r="H2" s="808" t="s">
        <v>294</v>
      </c>
      <c r="I2" s="808"/>
      <c r="J2" s="808"/>
      <c r="K2" s="808"/>
      <c r="L2" s="808" t="s">
        <v>295</v>
      </c>
      <c r="M2" s="808"/>
      <c r="N2" s="808"/>
      <c r="O2" s="809"/>
    </row>
    <row r="3" spans="1:15" ht="17.25" customHeight="1">
      <c r="A3" s="815"/>
      <c r="B3" s="817"/>
      <c r="C3" s="819"/>
      <c r="D3" s="821"/>
      <c r="E3" s="47" t="s">
        <v>296</v>
      </c>
      <c r="F3" s="47" t="s">
        <v>154</v>
      </c>
      <c r="G3" s="46" t="s">
        <v>297</v>
      </c>
      <c r="H3" s="46" t="s">
        <v>6</v>
      </c>
      <c r="I3" s="46" t="s">
        <v>7</v>
      </c>
      <c r="J3" s="46" t="s">
        <v>62</v>
      </c>
      <c r="K3" s="46" t="s">
        <v>51</v>
      </c>
      <c r="L3" s="46" t="s">
        <v>299</v>
      </c>
      <c r="M3" s="46" t="s">
        <v>300</v>
      </c>
      <c r="N3" s="46" t="s">
        <v>298</v>
      </c>
      <c r="O3" s="56" t="s">
        <v>301</v>
      </c>
    </row>
    <row r="4" spans="1:15" ht="15.9" customHeight="1">
      <c r="A4" s="101">
        <v>45514</v>
      </c>
      <c r="B4" s="102" t="s">
        <v>547</v>
      </c>
      <c r="C4" s="103" t="s">
        <v>548</v>
      </c>
      <c r="D4" s="104" t="s">
        <v>391</v>
      </c>
      <c r="E4" s="105">
        <v>33.5</v>
      </c>
      <c r="F4" s="11">
        <v>11.15</v>
      </c>
      <c r="G4" s="52">
        <f t="shared" ref="G4:G16" si="0">E4*(100-F4)/100</f>
        <v>29.764749999999999</v>
      </c>
      <c r="H4" s="11">
        <v>55.33</v>
      </c>
      <c r="I4" s="11">
        <v>3.78</v>
      </c>
      <c r="J4" s="11">
        <v>0.79</v>
      </c>
      <c r="K4" s="57">
        <v>2711</v>
      </c>
      <c r="L4" s="58">
        <f t="shared" ref="L4:L26" si="1">G4*H4/100</f>
        <v>16.468836175</v>
      </c>
      <c r="M4" s="58">
        <f t="shared" ref="M4:M26" si="2">G4*I4/100</f>
        <v>1.1251075500000001</v>
      </c>
      <c r="N4" s="58">
        <f t="shared" ref="N4:N26" si="3">G4*J4/100</f>
        <v>0.23514152499999999</v>
      </c>
      <c r="O4" s="58">
        <f t="shared" ref="O4:O26" si="4">G4*K4/1000</f>
        <v>80.692237250000005</v>
      </c>
    </row>
    <row r="5" spans="1:15" ht="15.9" customHeight="1">
      <c r="A5" s="101">
        <v>45514</v>
      </c>
      <c r="B5" s="102" t="s">
        <v>549</v>
      </c>
      <c r="C5" s="103" t="s">
        <v>550</v>
      </c>
      <c r="D5" s="104" t="s">
        <v>392</v>
      </c>
      <c r="E5" s="105">
        <v>33.42</v>
      </c>
      <c r="F5" s="11">
        <v>11.52</v>
      </c>
      <c r="G5" s="52">
        <f t="shared" si="0"/>
        <v>29.570015999999999</v>
      </c>
      <c r="H5" s="11">
        <v>55.59</v>
      </c>
      <c r="I5" s="11">
        <v>3.71</v>
      </c>
      <c r="J5" s="11">
        <v>0.79</v>
      </c>
      <c r="K5" s="57">
        <v>2728</v>
      </c>
      <c r="L5" s="58">
        <f t="shared" si="1"/>
        <v>16.4379718944</v>
      </c>
      <c r="M5" s="58">
        <f t="shared" si="2"/>
        <v>1.0970475935999999</v>
      </c>
      <c r="N5" s="58">
        <f t="shared" si="3"/>
        <v>0.2336031264</v>
      </c>
      <c r="O5" s="58">
        <f t="shared" si="4"/>
        <v>80.667003648000005</v>
      </c>
    </row>
    <row r="6" spans="1:15" ht="15.9" customHeight="1">
      <c r="A6" s="101">
        <v>45514</v>
      </c>
      <c r="B6" s="102" t="s">
        <v>551</v>
      </c>
      <c r="C6" s="103" t="s">
        <v>541</v>
      </c>
      <c r="D6" s="104" t="s">
        <v>393</v>
      </c>
      <c r="E6" s="105">
        <v>32.94</v>
      </c>
      <c r="F6" s="11">
        <v>11.25</v>
      </c>
      <c r="G6" s="52">
        <f t="shared" si="0"/>
        <v>29.234249999999999</v>
      </c>
      <c r="H6" s="11">
        <v>55.85</v>
      </c>
      <c r="I6" s="11">
        <v>3.63</v>
      </c>
      <c r="J6" s="11">
        <v>0.78</v>
      </c>
      <c r="K6" s="57">
        <v>2747</v>
      </c>
      <c r="L6" s="58">
        <f t="shared" si="1"/>
        <v>16.327328625</v>
      </c>
      <c r="M6" s="58">
        <f t="shared" si="2"/>
        <v>1.061203275</v>
      </c>
      <c r="N6" s="58">
        <f t="shared" si="3"/>
        <v>0.22802715000000001</v>
      </c>
      <c r="O6" s="58">
        <f t="shared" si="4"/>
        <v>80.306484749999996</v>
      </c>
    </row>
    <row r="7" spans="1:15" ht="15.9" customHeight="1">
      <c r="A7" s="101">
        <v>45514</v>
      </c>
      <c r="B7" s="102" t="s">
        <v>552</v>
      </c>
      <c r="C7" s="103" t="s">
        <v>544</v>
      </c>
      <c r="D7" s="104" t="s">
        <v>394</v>
      </c>
      <c r="E7" s="105">
        <v>34.44</v>
      </c>
      <c r="F7" s="11">
        <v>10.55</v>
      </c>
      <c r="G7" s="52">
        <f t="shared" si="0"/>
        <v>30.80658</v>
      </c>
      <c r="H7" s="11">
        <v>54.84</v>
      </c>
      <c r="I7" s="11">
        <v>3.96</v>
      </c>
      <c r="J7" s="11">
        <v>0.8</v>
      </c>
      <c r="K7" s="57">
        <v>2691</v>
      </c>
      <c r="L7" s="58">
        <f t="shared" si="1"/>
        <v>16.894328472000002</v>
      </c>
      <c r="M7" s="58">
        <f t="shared" si="2"/>
        <v>1.2199405679999999</v>
      </c>
      <c r="N7" s="58">
        <f t="shared" si="3"/>
        <v>0.24645264</v>
      </c>
      <c r="O7" s="58">
        <f t="shared" si="4"/>
        <v>82.900506780000001</v>
      </c>
    </row>
    <row r="8" spans="1:15" ht="15.9" customHeight="1">
      <c r="A8" s="101">
        <v>45514</v>
      </c>
      <c r="B8" s="102" t="s">
        <v>553</v>
      </c>
      <c r="C8" s="103" t="s">
        <v>554</v>
      </c>
      <c r="D8" s="104" t="s">
        <v>395</v>
      </c>
      <c r="E8" s="105">
        <v>33.4</v>
      </c>
      <c r="F8" s="11">
        <v>11.32</v>
      </c>
      <c r="G8" s="52">
        <f t="shared" si="0"/>
        <v>29.619119999999999</v>
      </c>
      <c r="H8" s="11">
        <v>54.01</v>
      </c>
      <c r="I8" s="11">
        <v>3.92</v>
      </c>
      <c r="J8" s="11">
        <v>0.8</v>
      </c>
      <c r="K8" s="57">
        <v>2673</v>
      </c>
      <c r="L8" s="58">
        <f t="shared" si="1"/>
        <v>15.997286711999999</v>
      </c>
      <c r="M8" s="58">
        <f t="shared" si="2"/>
        <v>1.1610695040000001</v>
      </c>
      <c r="N8" s="58">
        <f t="shared" si="3"/>
        <v>0.23695295999999999</v>
      </c>
      <c r="O8" s="58">
        <f t="shared" si="4"/>
        <v>79.171907759999996</v>
      </c>
    </row>
    <row r="9" spans="1:15" ht="15.9" customHeight="1">
      <c r="A9" s="101">
        <v>45514</v>
      </c>
      <c r="B9" s="102" t="s">
        <v>555</v>
      </c>
      <c r="C9" s="103" t="s">
        <v>556</v>
      </c>
      <c r="D9" s="104" t="s">
        <v>396</v>
      </c>
      <c r="E9" s="105">
        <v>34.56</v>
      </c>
      <c r="F9" s="11">
        <v>10.81</v>
      </c>
      <c r="G9" s="52">
        <f t="shared" si="0"/>
        <v>30.824064</v>
      </c>
      <c r="H9" s="11">
        <v>54.27</v>
      </c>
      <c r="I9" s="11">
        <v>3.92</v>
      </c>
      <c r="J9" s="11">
        <v>0.8</v>
      </c>
      <c r="K9" s="57">
        <v>2662</v>
      </c>
      <c r="L9" s="58">
        <f t="shared" si="1"/>
        <v>16.728219532800001</v>
      </c>
      <c r="M9" s="58">
        <f t="shared" si="2"/>
        <v>1.2083033087999999</v>
      </c>
      <c r="N9" s="58">
        <f t="shared" si="3"/>
        <v>0.24659251200000001</v>
      </c>
      <c r="O9" s="58">
        <f t="shared" si="4"/>
        <v>82.053658368000001</v>
      </c>
    </row>
    <row r="10" spans="1:15" ht="15.9" customHeight="1">
      <c r="A10" s="101">
        <v>45514</v>
      </c>
      <c r="B10" s="102" t="s">
        <v>557</v>
      </c>
      <c r="C10" s="103" t="s">
        <v>543</v>
      </c>
      <c r="D10" s="104" t="s">
        <v>397</v>
      </c>
      <c r="E10" s="105">
        <v>33.18</v>
      </c>
      <c r="F10" s="11">
        <v>10.89</v>
      </c>
      <c r="G10" s="52">
        <f t="shared" si="0"/>
        <v>29.566697999999999</v>
      </c>
      <c r="H10" s="11">
        <v>55.33</v>
      </c>
      <c r="I10" s="11">
        <v>3.78</v>
      </c>
      <c r="J10" s="11">
        <v>0.78</v>
      </c>
      <c r="K10" s="57">
        <v>2706</v>
      </c>
      <c r="L10" s="58">
        <f t="shared" si="1"/>
        <v>16.3592540034</v>
      </c>
      <c r="M10" s="58">
        <f t="shared" si="2"/>
        <v>1.1176211843999999</v>
      </c>
      <c r="N10" s="58">
        <f t="shared" si="3"/>
        <v>0.23062024440000001</v>
      </c>
      <c r="O10" s="58">
        <f t="shared" si="4"/>
        <v>80.007484787999999</v>
      </c>
    </row>
    <row r="11" spans="1:15" ht="15.9" customHeight="1">
      <c r="A11" s="101">
        <v>45516</v>
      </c>
      <c r="B11" s="102" t="s">
        <v>558</v>
      </c>
      <c r="C11" s="103" t="s">
        <v>545</v>
      </c>
      <c r="D11" s="104" t="s">
        <v>398</v>
      </c>
      <c r="E11" s="105">
        <v>34.42</v>
      </c>
      <c r="F11" s="11">
        <v>10.58</v>
      </c>
      <c r="G11" s="52">
        <f t="shared" si="0"/>
        <v>30.778364</v>
      </c>
      <c r="H11" s="11">
        <v>54.76</v>
      </c>
      <c r="I11" s="11">
        <v>3.82</v>
      </c>
      <c r="J11" s="11">
        <v>0.79</v>
      </c>
      <c r="K11" s="57">
        <v>2677</v>
      </c>
      <c r="L11" s="58">
        <f t="shared" si="1"/>
        <v>16.854232126399999</v>
      </c>
      <c r="M11" s="58">
        <f t="shared" si="2"/>
        <v>1.1757335047999999</v>
      </c>
      <c r="N11" s="58">
        <f t="shared" si="3"/>
        <v>0.24314907559999999</v>
      </c>
      <c r="O11" s="58">
        <f t="shared" si="4"/>
        <v>82.393680427999996</v>
      </c>
    </row>
    <row r="12" spans="1:15" ht="15.9" customHeight="1">
      <c r="A12" s="101">
        <v>45516</v>
      </c>
      <c r="B12" s="102" t="s">
        <v>559</v>
      </c>
      <c r="C12" s="103" t="s">
        <v>541</v>
      </c>
      <c r="D12" s="104" t="s">
        <v>399</v>
      </c>
      <c r="E12" s="105">
        <v>32.799999999999997</v>
      </c>
      <c r="F12" s="11">
        <v>11.17</v>
      </c>
      <c r="G12" s="52">
        <f t="shared" si="0"/>
        <v>29.136240000000001</v>
      </c>
      <c r="H12" s="11">
        <v>54.61</v>
      </c>
      <c r="I12" s="11">
        <v>3.82</v>
      </c>
      <c r="J12" s="11">
        <v>0.8</v>
      </c>
      <c r="K12" s="57">
        <v>2690</v>
      </c>
      <c r="L12" s="58">
        <f t="shared" si="1"/>
        <v>15.911300664000001</v>
      </c>
      <c r="M12" s="58">
        <f t="shared" si="2"/>
        <v>1.1130043679999999</v>
      </c>
      <c r="N12" s="58">
        <f t="shared" si="3"/>
        <v>0.23308992000000001</v>
      </c>
      <c r="O12" s="58">
        <f t="shared" si="4"/>
        <v>78.376485599999995</v>
      </c>
    </row>
    <row r="13" spans="1:15" ht="15.9" customHeight="1">
      <c r="A13" s="101">
        <v>45516</v>
      </c>
      <c r="B13" s="102" t="s">
        <v>560</v>
      </c>
      <c r="C13" s="103" t="s">
        <v>543</v>
      </c>
      <c r="D13" s="104" t="s">
        <v>400</v>
      </c>
      <c r="E13" s="105">
        <v>33.26</v>
      </c>
      <c r="F13" s="11">
        <v>11.06</v>
      </c>
      <c r="G13" s="52">
        <f t="shared" si="0"/>
        <v>29.581444000000001</v>
      </c>
      <c r="H13" s="11">
        <v>54.42</v>
      </c>
      <c r="I13" s="11">
        <v>3.78</v>
      </c>
      <c r="J13" s="11">
        <v>0.8</v>
      </c>
      <c r="K13" s="57">
        <v>2707</v>
      </c>
      <c r="L13" s="58">
        <f t="shared" si="1"/>
        <v>16.0982218248</v>
      </c>
      <c r="M13" s="58">
        <f t="shared" si="2"/>
        <v>1.1181785832</v>
      </c>
      <c r="N13" s="58">
        <f t="shared" si="3"/>
        <v>0.23665155199999999</v>
      </c>
      <c r="O13" s="58">
        <f t="shared" si="4"/>
        <v>80.076968907999998</v>
      </c>
    </row>
    <row r="14" spans="1:15" ht="15.9" customHeight="1">
      <c r="A14" s="101">
        <v>45516</v>
      </c>
      <c r="B14" s="102" t="s">
        <v>561</v>
      </c>
      <c r="C14" s="103" t="s">
        <v>544</v>
      </c>
      <c r="D14" s="104" t="s">
        <v>401</v>
      </c>
      <c r="E14" s="105">
        <v>34.020000000000003</v>
      </c>
      <c r="F14" s="11">
        <v>10.28</v>
      </c>
      <c r="G14" s="52">
        <f t="shared" si="0"/>
        <v>30.522743999999999</v>
      </c>
      <c r="H14" s="11">
        <v>53.33</v>
      </c>
      <c r="I14" s="11">
        <v>3.49</v>
      </c>
      <c r="J14" s="11">
        <v>0.77</v>
      </c>
      <c r="K14" s="57">
        <v>2657</v>
      </c>
      <c r="L14" s="58">
        <f t="shared" si="1"/>
        <v>16.277779375200002</v>
      </c>
      <c r="M14" s="58">
        <f t="shared" si="2"/>
        <v>1.0652437656</v>
      </c>
      <c r="N14" s="58">
        <f t="shared" si="3"/>
        <v>0.23502512880000001</v>
      </c>
      <c r="O14" s="58">
        <f t="shared" si="4"/>
        <v>81.098930808000006</v>
      </c>
    </row>
    <row r="15" spans="1:15" ht="15.9" customHeight="1">
      <c r="A15" s="101">
        <v>45516</v>
      </c>
      <c r="B15" s="102" t="s">
        <v>562</v>
      </c>
      <c r="C15" s="103" t="s">
        <v>550</v>
      </c>
      <c r="D15" s="104" t="s">
        <v>402</v>
      </c>
      <c r="E15" s="105">
        <v>33.42</v>
      </c>
      <c r="F15" s="11">
        <v>11.98</v>
      </c>
      <c r="G15" s="52">
        <f t="shared" si="0"/>
        <v>29.416284000000001</v>
      </c>
      <c r="H15" s="11">
        <v>53.63</v>
      </c>
      <c r="I15" s="11">
        <v>3.49</v>
      </c>
      <c r="J15" s="11">
        <v>0.75</v>
      </c>
      <c r="K15" s="57">
        <v>2647</v>
      </c>
      <c r="L15" s="58">
        <f t="shared" si="1"/>
        <v>15.7759531092</v>
      </c>
      <c r="M15" s="58">
        <f t="shared" si="2"/>
        <v>1.0266283115999999</v>
      </c>
      <c r="N15" s="58">
        <f t="shared" si="3"/>
        <v>0.22062213</v>
      </c>
      <c r="O15" s="58">
        <f t="shared" si="4"/>
        <v>77.864903748000003</v>
      </c>
    </row>
    <row r="16" spans="1:15" ht="15.9" customHeight="1">
      <c r="A16" s="101">
        <v>45516</v>
      </c>
      <c r="B16" s="102" t="s">
        <v>563</v>
      </c>
      <c r="C16" s="103" t="s">
        <v>548</v>
      </c>
      <c r="D16" s="104" t="s">
        <v>403</v>
      </c>
      <c r="E16" s="105">
        <v>33.32</v>
      </c>
      <c r="F16" s="11">
        <v>11.54</v>
      </c>
      <c r="G16" s="52">
        <f t="shared" si="0"/>
        <v>29.474872000000001</v>
      </c>
      <c r="H16" s="11">
        <v>53.54</v>
      </c>
      <c r="I16" s="11">
        <v>3.49</v>
      </c>
      <c r="J16" s="11">
        <v>0.76</v>
      </c>
      <c r="K16" s="57">
        <v>2708</v>
      </c>
      <c r="L16" s="58">
        <f t="shared" si="1"/>
        <v>15.7808464688</v>
      </c>
      <c r="M16" s="58">
        <f t="shared" si="2"/>
        <v>1.0286730328</v>
      </c>
      <c r="N16" s="58">
        <f t="shared" si="3"/>
        <v>0.22400902719999999</v>
      </c>
      <c r="O16" s="58">
        <f t="shared" si="4"/>
        <v>79.817953376000006</v>
      </c>
    </row>
    <row r="17" spans="1:15" ht="15.9" customHeight="1">
      <c r="A17" s="101">
        <v>45517</v>
      </c>
      <c r="B17" s="102" t="s">
        <v>564</v>
      </c>
      <c r="C17" s="103" t="s">
        <v>541</v>
      </c>
      <c r="D17" s="104" t="s">
        <v>404</v>
      </c>
      <c r="E17" s="105">
        <v>32.94</v>
      </c>
      <c r="F17" s="11">
        <v>12.94</v>
      </c>
      <c r="G17" s="52">
        <v>28.677564</v>
      </c>
      <c r="H17" s="11">
        <v>52.25</v>
      </c>
      <c r="I17" s="11">
        <v>3.19</v>
      </c>
      <c r="J17" s="11">
        <v>0.73</v>
      </c>
      <c r="K17" s="57">
        <v>2568</v>
      </c>
      <c r="L17" s="58">
        <f t="shared" si="1"/>
        <v>14.984027190000001</v>
      </c>
      <c r="M17" s="58">
        <f t="shared" si="2"/>
        <v>0.91481429160000005</v>
      </c>
      <c r="N17" s="58">
        <f t="shared" si="3"/>
        <v>0.20934621719999999</v>
      </c>
      <c r="O17" s="58">
        <f t="shared" si="4"/>
        <v>73.643984352000004</v>
      </c>
    </row>
    <row r="18" spans="1:15" ht="15.9" customHeight="1">
      <c r="A18" s="101">
        <v>45517</v>
      </c>
      <c r="B18" s="102" t="s">
        <v>565</v>
      </c>
      <c r="C18" s="106" t="s">
        <v>543</v>
      </c>
      <c r="D18" s="104" t="s">
        <v>405</v>
      </c>
      <c r="E18" s="11">
        <v>33.159999999999997</v>
      </c>
      <c r="F18" s="11">
        <v>12.59</v>
      </c>
      <c r="G18" s="52">
        <v>28.985156</v>
      </c>
      <c r="H18" s="11">
        <v>52.25</v>
      </c>
      <c r="I18" s="11">
        <v>3.21</v>
      </c>
      <c r="J18" s="11">
        <v>0.74</v>
      </c>
      <c r="K18" s="57">
        <v>2548</v>
      </c>
      <c r="L18" s="58">
        <f t="shared" si="1"/>
        <v>15.14474401</v>
      </c>
      <c r="M18" s="58">
        <f t="shared" si="2"/>
        <v>0.93042350760000003</v>
      </c>
      <c r="N18" s="58">
        <f t="shared" si="3"/>
        <v>0.21449015439999999</v>
      </c>
      <c r="O18" s="58">
        <f t="shared" si="4"/>
        <v>73.854177488000005</v>
      </c>
    </row>
    <row r="19" spans="1:15" ht="15.9" customHeight="1">
      <c r="A19" s="101">
        <v>45517</v>
      </c>
      <c r="B19" s="102" t="s">
        <v>566</v>
      </c>
      <c r="C19" s="106" t="s">
        <v>545</v>
      </c>
      <c r="D19" s="104" t="s">
        <v>406</v>
      </c>
      <c r="E19" s="11">
        <v>34.42</v>
      </c>
      <c r="F19" s="11">
        <v>12.8</v>
      </c>
      <c r="G19" s="52">
        <v>30.014240000000001</v>
      </c>
      <c r="H19" s="11">
        <v>52.06</v>
      </c>
      <c r="I19" s="11">
        <v>3.33</v>
      </c>
      <c r="J19" s="11">
        <v>0.74</v>
      </c>
      <c r="K19" s="57">
        <v>2448</v>
      </c>
      <c r="L19" s="58">
        <f t="shared" si="1"/>
        <v>15.625413344</v>
      </c>
      <c r="M19" s="58">
        <f t="shared" si="2"/>
        <v>0.99947419199999998</v>
      </c>
      <c r="N19" s="58">
        <f t="shared" si="3"/>
        <v>0.22210537599999999</v>
      </c>
      <c r="O19" s="58">
        <f t="shared" si="4"/>
        <v>73.474859519999995</v>
      </c>
    </row>
    <row r="20" spans="1:15" ht="15.9" customHeight="1">
      <c r="A20" s="101">
        <v>45517</v>
      </c>
      <c r="B20" s="102" t="s">
        <v>567</v>
      </c>
      <c r="C20" s="106" t="s">
        <v>544</v>
      </c>
      <c r="D20" s="104" t="s">
        <v>407</v>
      </c>
      <c r="E20" s="11">
        <v>34.54</v>
      </c>
      <c r="F20" s="11">
        <v>12.04</v>
      </c>
      <c r="G20" s="52">
        <v>30.381384000000001</v>
      </c>
      <c r="H20" s="11">
        <v>51.99</v>
      </c>
      <c r="I20" s="11">
        <v>3.26</v>
      </c>
      <c r="J20" s="11">
        <v>0.74</v>
      </c>
      <c r="K20" s="57">
        <v>2345</v>
      </c>
      <c r="L20" s="58">
        <f t="shared" si="1"/>
        <v>15.7952815416</v>
      </c>
      <c r="M20" s="58">
        <f t="shared" si="2"/>
        <v>0.99043311840000003</v>
      </c>
      <c r="N20" s="58">
        <f t="shared" si="3"/>
        <v>0.2248222416</v>
      </c>
      <c r="O20" s="58">
        <f t="shared" si="4"/>
        <v>71.244345480000007</v>
      </c>
    </row>
    <row r="21" spans="1:15" ht="15.9" customHeight="1">
      <c r="A21" s="101">
        <v>45518</v>
      </c>
      <c r="B21" s="102" t="s">
        <v>568</v>
      </c>
      <c r="C21" s="106" t="s">
        <v>541</v>
      </c>
      <c r="D21" s="107" t="s">
        <v>408</v>
      </c>
      <c r="E21" s="11">
        <v>32.840000000000003</v>
      </c>
      <c r="F21" s="11">
        <v>14.82</v>
      </c>
      <c r="G21" s="52">
        <f t="shared" ref="G21:G26" si="5">E21*(100-F21)/100</f>
        <v>27.973112</v>
      </c>
      <c r="H21" s="11">
        <v>50.22</v>
      </c>
      <c r="I21" s="11">
        <v>2.9</v>
      </c>
      <c r="J21" s="11">
        <v>0.79</v>
      </c>
      <c r="K21" s="57">
        <v>2431</v>
      </c>
      <c r="L21" s="58">
        <f t="shared" si="1"/>
        <v>14.0480968464</v>
      </c>
      <c r="M21" s="58">
        <f t="shared" si="2"/>
        <v>0.81122024800000003</v>
      </c>
      <c r="N21" s="58">
        <f t="shared" si="3"/>
        <v>0.2209875848</v>
      </c>
      <c r="O21" s="58">
        <f t="shared" si="4"/>
        <v>68.002635272000006</v>
      </c>
    </row>
    <row r="22" spans="1:15" ht="15.9" customHeight="1">
      <c r="A22" s="101">
        <v>45518</v>
      </c>
      <c r="B22" s="102" t="s">
        <v>569</v>
      </c>
      <c r="C22" s="106" t="s">
        <v>550</v>
      </c>
      <c r="D22" s="107" t="s">
        <v>409</v>
      </c>
      <c r="E22" s="11">
        <v>33.479999999999997</v>
      </c>
      <c r="F22" s="11">
        <v>13.82</v>
      </c>
      <c r="G22" s="52">
        <f t="shared" si="5"/>
        <v>28.853064</v>
      </c>
      <c r="H22" s="11">
        <v>49.81</v>
      </c>
      <c r="I22" s="11">
        <v>2.86</v>
      </c>
      <c r="J22" s="11">
        <v>0.79</v>
      </c>
      <c r="K22" s="57">
        <v>2378</v>
      </c>
      <c r="L22" s="58">
        <f t="shared" si="1"/>
        <v>14.3717111784</v>
      </c>
      <c r="M22" s="58">
        <f t="shared" si="2"/>
        <v>0.82519763040000005</v>
      </c>
      <c r="N22" s="58">
        <f t="shared" si="3"/>
        <v>0.2279392056</v>
      </c>
      <c r="O22" s="58">
        <f t="shared" si="4"/>
        <v>68.612586191999995</v>
      </c>
    </row>
    <row r="23" spans="1:15" ht="15.9" customHeight="1">
      <c r="A23" s="101">
        <v>45518</v>
      </c>
      <c r="B23" s="102" t="s">
        <v>570</v>
      </c>
      <c r="C23" s="106" t="s">
        <v>548</v>
      </c>
      <c r="D23" s="107" t="s">
        <v>410</v>
      </c>
      <c r="E23" s="11">
        <v>33.14</v>
      </c>
      <c r="F23" s="11">
        <v>14.2</v>
      </c>
      <c r="G23" s="52">
        <f t="shared" si="5"/>
        <v>28.43412</v>
      </c>
      <c r="H23" s="11">
        <v>50.22</v>
      </c>
      <c r="I23" s="11">
        <v>2.97</v>
      </c>
      <c r="J23" s="11">
        <v>0.7</v>
      </c>
      <c r="K23" s="57">
        <v>2464</v>
      </c>
      <c r="L23" s="58">
        <f t="shared" si="1"/>
        <v>14.279615064</v>
      </c>
      <c r="M23" s="58">
        <f t="shared" si="2"/>
        <v>0.84449336399999997</v>
      </c>
      <c r="N23" s="58">
        <f t="shared" si="3"/>
        <v>0.19903883999999999</v>
      </c>
      <c r="O23" s="58">
        <f t="shared" si="4"/>
        <v>70.061671680000003</v>
      </c>
    </row>
    <row r="24" spans="1:15" ht="15.9" customHeight="1">
      <c r="A24" s="101">
        <v>45518</v>
      </c>
      <c r="B24" s="102" t="s">
        <v>571</v>
      </c>
      <c r="C24" s="106" t="s">
        <v>545</v>
      </c>
      <c r="D24" s="107" t="s">
        <v>411</v>
      </c>
      <c r="E24" s="11">
        <v>34.380000000000003</v>
      </c>
      <c r="F24" s="11">
        <v>14.56</v>
      </c>
      <c r="G24" s="52">
        <f t="shared" si="5"/>
        <v>29.374272000000001</v>
      </c>
      <c r="H24" s="11">
        <v>50.41</v>
      </c>
      <c r="I24" s="11">
        <v>3.02</v>
      </c>
      <c r="J24" s="11">
        <v>0.65</v>
      </c>
      <c r="K24" s="57">
        <v>2438</v>
      </c>
      <c r="L24" s="58">
        <f t="shared" si="1"/>
        <v>14.8075705152</v>
      </c>
      <c r="M24" s="58">
        <f t="shared" si="2"/>
        <v>0.88710301439999995</v>
      </c>
      <c r="N24" s="58">
        <f t="shared" si="3"/>
        <v>0.190932768</v>
      </c>
      <c r="O24" s="58">
        <f t="shared" si="4"/>
        <v>71.614475135999996</v>
      </c>
    </row>
    <row r="25" spans="1:15" ht="15.9" customHeight="1">
      <c r="A25" s="101">
        <v>45518</v>
      </c>
      <c r="B25" s="102" t="s">
        <v>572</v>
      </c>
      <c r="C25" s="106" t="s">
        <v>544</v>
      </c>
      <c r="D25" s="107" t="s">
        <v>412</v>
      </c>
      <c r="E25" s="11">
        <v>34.299999999999997</v>
      </c>
      <c r="F25" s="11">
        <v>12.86</v>
      </c>
      <c r="G25" s="52">
        <f t="shared" si="5"/>
        <v>29.889019999999999</v>
      </c>
      <c r="H25" s="11">
        <v>50.52</v>
      </c>
      <c r="I25" s="11">
        <v>2.93</v>
      </c>
      <c r="J25" s="11">
        <v>0.7</v>
      </c>
      <c r="K25" s="57">
        <v>2444</v>
      </c>
      <c r="L25" s="58">
        <f t="shared" si="1"/>
        <v>15.099932903999999</v>
      </c>
      <c r="M25" s="58">
        <f t="shared" si="2"/>
        <v>0.87574828599999999</v>
      </c>
      <c r="N25" s="58">
        <f t="shared" si="3"/>
        <v>0.20922314</v>
      </c>
      <c r="O25" s="58">
        <f t="shared" si="4"/>
        <v>73.048764879999993</v>
      </c>
    </row>
    <row r="26" spans="1:15" ht="15.9" customHeight="1">
      <c r="A26" s="101">
        <v>45518</v>
      </c>
      <c r="B26" s="102" t="s">
        <v>573</v>
      </c>
      <c r="C26" s="106" t="s">
        <v>543</v>
      </c>
      <c r="D26" s="107" t="s">
        <v>413</v>
      </c>
      <c r="E26" s="105">
        <v>33.4</v>
      </c>
      <c r="F26" s="11">
        <v>14.09</v>
      </c>
      <c r="G26" s="52">
        <f t="shared" si="5"/>
        <v>28.693940000000001</v>
      </c>
      <c r="H26" s="11">
        <v>51.13</v>
      </c>
      <c r="I26" s="11">
        <v>3.07</v>
      </c>
      <c r="J26" s="11">
        <v>0.77</v>
      </c>
      <c r="K26" s="57">
        <v>2461</v>
      </c>
      <c r="L26" s="58">
        <f t="shared" si="1"/>
        <v>14.671211522</v>
      </c>
      <c r="M26" s="58">
        <f t="shared" si="2"/>
        <v>0.88090395799999999</v>
      </c>
      <c r="N26" s="58">
        <f t="shared" si="3"/>
        <v>0.22094333799999999</v>
      </c>
      <c r="O26" s="58">
        <f t="shared" si="4"/>
        <v>70.61578634</v>
      </c>
    </row>
    <row r="27" spans="1:15" ht="15.9" customHeight="1">
      <c r="A27" s="101">
        <v>45519</v>
      </c>
      <c r="B27" s="102" t="s">
        <v>574</v>
      </c>
      <c r="C27" s="106" t="s">
        <v>548</v>
      </c>
      <c r="D27" s="107" t="s">
        <v>414</v>
      </c>
      <c r="E27" s="105">
        <v>33.42</v>
      </c>
      <c r="F27" s="108">
        <v>16.28</v>
      </c>
      <c r="G27" s="52">
        <f t="shared" ref="G27:G32" si="6">E27*(100-F27)/100</f>
        <v>27.979223999999999</v>
      </c>
      <c r="H27" s="11">
        <v>46.72</v>
      </c>
      <c r="I27" s="11">
        <v>3.12</v>
      </c>
      <c r="J27" s="11">
        <v>0.72</v>
      </c>
      <c r="K27" s="57">
        <v>2296</v>
      </c>
      <c r="L27" s="58">
        <f t="shared" ref="L27:L32" si="7">G27*H27/100</f>
        <v>13.071893452799999</v>
      </c>
      <c r="M27" s="58">
        <f t="shared" ref="M27:M32" si="8">G27*I27/100</f>
        <v>0.87295178880000002</v>
      </c>
      <c r="N27" s="58">
        <f t="shared" ref="N27:N32" si="9">G27*J27/100</f>
        <v>0.20145041280000001</v>
      </c>
      <c r="O27" s="58">
        <f t="shared" ref="O27:O32" si="10">G27*K27/1000</f>
        <v>64.240298304000007</v>
      </c>
    </row>
    <row r="28" spans="1:15" ht="15.9" customHeight="1">
      <c r="A28" s="101">
        <v>45519</v>
      </c>
      <c r="B28" s="102" t="s">
        <v>575</v>
      </c>
      <c r="C28" s="106" t="s">
        <v>545</v>
      </c>
      <c r="D28" s="107" t="s">
        <v>415</v>
      </c>
      <c r="E28" s="105">
        <v>34.24</v>
      </c>
      <c r="F28" s="108">
        <v>15.21</v>
      </c>
      <c r="G28" s="52">
        <f t="shared" si="6"/>
        <v>29.032095999999999</v>
      </c>
      <c r="H28" s="11">
        <v>42.94</v>
      </c>
      <c r="I28" s="11">
        <v>2.97</v>
      </c>
      <c r="J28" s="11">
        <v>0.67</v>
      </c>
      <c r="K28" s="57">
        <v>2145</v>
      </c>
      <c r="L28" s="58">
        <f t="shared" si="7"/>
        <v>12.466382022399999</v>
      </c>
      <c r="M28" s="58">
        <f t="shared" si="8"/>
        <v>0.86225325119999996</v>
      </c>
      <c r="N28" s="58">
        <f t="shared" si="9"/>
        <v>0.19451504319999999</v>
      </c>
      <c r="O28" s="58">
        <f t="shared" si="10"/>
        <v>62.273845919999999</v>
      </c>
    </row>
    <row r="29" spans="1:15" ht="15.9" customHeight="1">
      <c r="A29" s="101">
        <v>45519</v>
      </c>
      <c r="B29" s="102" t="s">
        <v>576</v>
      </c>
      <c r="C29" s="106" t="s">
        <v>577</v>
      </c>
      <c r="D29" s="107" t="s">
        <v>416</v>
      </c>
      <c r="E29" s="105">
        <v>32.58</v>
      </c>
      <c r="F29" s="108">
        <v>14.16</v>
      </c>
      <c r="G29" s="52">
        <f t="shared" si="6"/>
        <v>27.966671999999999</v>
      </c>
      <c r="H29" s="11">
        <v>50.96</v>
      </c>
      <c r="I29" s="11">
        <v>3.02</v>
      </c>
      <c r="J29" s="11">
        <v>0.71</v>
      </c>
      <c r="K29" s="57">
        <v>2453</v>
      </c>
      <c r="L29" s="58">
        <f t="shared" si="7"/>
        <v>14.251816051200001</v>
      </c>
      <c r="M29" s="58">
        <f t="shared" si="8"/>
        <v>0.84459349439999998</v>
      </c>
      <c r="N29" s="58">
        <f t="shared" si="9"/>
        <v>0.19856337120000001</v>
      </c>
      <c r="O29" s="58">
        <f t="shared" si="10"/>
        <v>68.602246416</v>
      </c>
    </row>
    <row r="30" spans="1:15" ht="15.9" customHeight="1">
      <c r="A30" s="101">
        <v>45519</v>
      </c>
      <c r="B30" s="102" t="s">
        <v>578</v>
      </c>
      <c r="C30" s="106" t="s">
        <v>543</v>
      </c>
      <c r="D30" s="107" t="s">
        <v>417</v>
      </c>
      <c r="E30" s="105">
        <v>33.200000000000003</v>
      </c>
      <c r="F30" s="108">
        <v>13.81</v>
      </c>
      <c r="G30" s="52">
        <f t="shared" si="6"/>
        <v>28.615079999999999</v>
      </c>
      <c r="H30" s="11">
        <v>51.46</v>
      </c>
      <c r="I30" s="11">
        <v>3.07</v>
      </c>
      <c r="J30" s="11">
        <v>0.76</v>
      </c>
      <c r="K30" s="57">
        <v>2417</v>
      </c>
      <c r="L30" s="58">
        <f t="shared" si="7"/>
        <v>14.725320168</v>
      </c>
      <c r="M30" s="58">
        <f t="shared" si="8"/>
        <v>0.87848295600000004</v>
      </c>
      <c r="N30" s="58">
        <f t="shared" si="9"/>
        <v>0.21747460800000001</v>
      </c>
      <c r="O30" s="58">
        <f t="shared" si="10"/>
        <v>69.162648360000006</v>
      </c>
    </row>
    <row r="31" spans="1:15" ht="15.9" customHeight="1">
      <c r="A31" s="101">
        <v>45519</v>
      </c>
      <c r="B31" s="102" t="s">
        <v>579</v>
      </c>
      <c r="C31" s="106" t="s">
        <v>544</v>
      </c>
      <c r="D31" s="107" t="s">
        <v>418</v>
      </c>
      <c r="E31" s="105">
        <v>34.32</v>
      </c>
      <c r="F31" s="108">
        <v>13.33</v>
      </c>
      <c r="G31" s="52">
        <f t="shared" si="6"/>
        <v>29.745144</v>
      </c>
      <c r="H31" s="11">
        <v>51.61</v>
      </c>
      <c r="I31" s="11">
        <v>2.97</v>
      </c>
      <c r="J31" s="11">
        <v>0.72</v>
      </c>
      <c r="K31" s="57">
        <v>2455</v>
      </c>
      <c r="L31" s="58">
        <f t="shared" si="7"/>
        <v>15.351468818400001</v>
      </c>
      <c r="M31" s="58">
        <f t="shared" si="8"/>
        <v>0.88343077680000004</v>
      </c>
      <c r="N31" s="58">
        <f t="shared" si="9"/>
        <v>0.21416503680000001</v>
      </c>
      <c r="O31" s="58">
        <f t="shared" si="10"/>
        <v>73.024328519999997</v>
      </c>
    </row>
    <row r="32" spans="1:15" ht="15.9" customHeight="1">
      <c r="A32" s="101">
        <v>45519</v>
      </c>
      <c r="B32" s="102" t="s">
        <v>580</v>
      </c>
      <c r="C32" s="106" t="s">
        <v>550</v>
      </c>
      <c r="D32" s="107" t="s">
        <v>419</v>
      </c>
      <c r="E32" s="105">
        <v>33.68</v>
      </c>
      <c r="F32" s="108">
        <v>13.47</v>
      </c>
      <c r="G32" s="52">
        <f t="shared" si="6"/>
        <v>29.143304000000001</v>
      </c>
      <c r="H32" s="11">
        <v>51.56</v>
      </c>
      <c r="I32" s="11">
        <v>3.04</v>
      </c>
      <c r="J32" s="11">
        <v>0.74</v>
      </c>
      <c r="K32" s="57">
        <v>2393</v>
      </c>
      <c r="L32" s="58">
        <f t="shared" si="7"/>
        <v>15.0262875424</v>
      </c>
      <c r="M32" s="58">
        <f t="shared" si="8"/>
        <v>0.88595644159999998</v>
      </c>
      <c r="N32" s="58">
        <f t="shared" si="9"/>
        <v>0.2156604496</v>
      </c>
      <c r="O32" s="58">
        <f t="shared" si="10"/>
        <v>69.739926471999993</v>
      </c>
    </row>
    <row r="33" spans="1:15" ht="15.9" customHeight="1">
      <c r="A33" s="101">
        <v>45520</v>
      </c>
      <c r="B33" s="102" t="s">
        <v>581</v>
      </c>
      <c r="C33" s="106" t="s">
        <v>544</v>
      </c>
      <c r="D33" s="107" t="s">
        <v>420</v>
      </c>
      <c r="E33" s="105">
        <v>33.96</v>
      </c>
      <c r="F33" s="105">
        <v>16.600000000000001</v>
      </c>
      <c r="G33" s="52">
        <f t="shared" ref="G33:G90" si="11">E33*(100-F33)/100</f>
        <v>28.32264</v>
      </c>
      <c r="H33" s="11">
        <v>53.08</v>
      </c>
      <c r="I33" s="11">
        <v>3.45</v>
      </c>
      <c r="J33" s="11">
        <v>0.76</v>
      </c>
      <c r="K33" s="57">
        <v>2589</v>
      </c>
      <c r="L33" s="58">
        <f t="shared" ref="L33:L73" si="12">G33*H33/100</f>
        <v>15.033657312000001</v>
      </c>
      <c r="M33" s="58">
        <f t="shared" ref="M33:M73" si="13">G33*I33/100</f>
        <v>0.97713108000000004</v>
      </c>
      <c r="N33" s="58">
        <f t="shared" ref="N33:N73" si="14">G33*J33/100</f>
        <v>0.21525206399999999</v>
      </c>
      <c r="O33" s="58">
        <f t="shared" ref="O33:O73" si="15">G33*K33/1000</f>
        <v>73.327314959999995</v>
      </c>
    </row>
    <row r="34" spans="1:15" ht="15.9" customHeight="1">
      <c r="A34" s="101">
        <v>45520</v>
      </c>
      <c r="B34" s="102" t="s">
        <v>582</v>
      </c>
      <c r="C34" s="106" t="s">
        <v>545</v>
      </c>
      <c r="D34" s="107" t="s">
        <v>421</v>
      </c>
      <c r="E34" s="105">
        <v>34.840000000000003</v>
      </c>
      <c r="F34" s="105">
        <v>17.239999999999998</v>
      </c>
      <c r="G34" s="52">
        <f t="shared" si="11"/>
        <v>28.833583999999998</v>
      </c>
      <c r="H34" s="11">
        <v>44.1</v>
      </c>
      <c r="I34" s="11">
        <v>3.12</v>
      </c>
      <c r="J34" s="11">
        <v>0.65</v>
      </c>
      <c r="K34" s="57">
        <v>2244</v>
      </c>
      <c r="L34" s="58">
        <f t="shared" si="12"/>
        <v>12.715610544</v>
      </c>
      <c r="M34" s="58">
        <f t="shared" si="13"/>
        <v>0.89960782080000001</v>
      </c>
      <c r="N34" s="58">
        <f t="shared" si="14"/>
        <v>0.18741829600000001</v>
      </c>
      <c r="O34" s="58">
        <f t="shared" si="15"/>
        <v>64.702562495999999</v>
      </c>
    </row>
    <row r="35" spans="1:15" ht="15.9" customHeight="1">
      <c r="A35" s="101">
        <v>45520</v>
      </c>
      <c r="B35" s="102" t="s">
        <v>583</v>
      </c>
      <c r="C35" s="106" t="s">
        <v>543</v>
      </c>
      <c r="D35" s="107" t="s">
        <v>422</v>
      </c>
      <c r="E35" s="105">
        <v>33.18</v>
      </c>
      <c r="F35" s="105">
        <v>16.66</v>
      </c>
      <c r="G35" s="52">
        <f t="shared" si="11"/>
        <v>27.652211999999999</v>
      </c>
      <c r="H35" s="11">
        <v>44.92</v>
      </c>
      <c r="I35" s="11">
        <v>3.16</v>
      </c>
      <c r="J35" s="11">
        <v>0.64</v>
      </c>
      <c r="K35" s="57">
        <v>2270</v>
      </c>
      <c r="L35" s="58">
        <f t="shared" si="12"/>
        <v>12.4213736304</v>
      </c>
      <c r="M35" s="58">
        <f t="shared" si="13"/>
        <v>0.87380989919999996</v>
      </c>
      <c r="N35" s="58">
        <f t="shared" si="14"/>
        <v>0.1769741568</v>
      </c>
      <c r="O35" s="58">
        <f t="shared" si="15"/>
        <v>62.770521240000001</v>
      </c>
    </row>
    <row r="36" spans="1:15" ht="15.9" customHeight="1">
      <c r="A36" s="101">
        <v>45520</v>
      </c>
      <c r="B36" s="102" t="s">
        <v>584</v>
      </c>
      <c r="C36" s="106" t="s">
        <v>541</v>
      </c>
      <c r="D36" s="107" t="s">
        <v>423</v>
      </c>
      <c r="E36" s="105">
        <v>33.119999999999997</v>
      </c>
      <c r="F36" s="105">
        <v>16.13</v>
      </c>
      <c r="G36" s="52">
        <f t="shared" si="11"/>
        <v>27.777743999999998</v>
      </c>
      <c r="H36" s="11">
        <v>49.02</v>
      </c>
      <c r="I36" s="11">
        <v>2.97</v>
      </c>
      <c r="J36" s="11">
        <v>0.67</v>
      </c>
      <c r="K36" s="57">
        <v>2433</v>
      </c>
      <c r="L36" s="58">
        <f t="shared" si="12"/>
        <v>13.6166501088</v>
      </c>
      <c r="M36" s="58">
        <f t="shared" si="13"/>
        <v>0.8249989968</v>
      </c>
      <c r="N36" s="58">
        <f t="shared" si="14"/>
        <v>0.18611088479999999</v>
      </c>
      <c r="O36" s="58">
        <f t="shared" si="15"/>
        <v>67.583251152000003</v>
      </c>
    </row>
    <row r="37" spans="1:15" ht="15.9" customHeight="1">
      <c r="A37" s="101">
        <v>45520</v>
      </c>
      <c r="B37" s="102" t="s">
        <v>585</v>
      </c>
      <c r="C37" s="106" t="s">
        <v>548</v>
      </c>
      <c r="D37" s="107" t="s">
        <v>424</v>
      </c>
      <c r="E37" s="105">
        <v>33.58</v>
      </c>
      <c r="F37" s="11">
        <v>16.38</v>
      </c>
      <c r="G37" s="52">
        <f t="shared" si="11"/>
        <v>28.079595999999999</v>
      </c>
      <c r="H37" s="11">
        <v>48.49</v>
      </c>
      <c r="I37" s="11">
        <v>2.97</v>
      </c>
      <c r="J37" s="11">
        <v>0.66</v>
      </c>
      <c r="K37" s="57">
        <v>2431</v>
      </c>
      <c r="L37" s="58">
        <f t="shared" si="12"/>
        <v>13.615796100400001</v>
      </c>
      <c r="M37" s="58">
        <f t="shared" si="13"/>
        <v>0.83396400120000003</v>
      </c>
      <c r="N37" s="58">
        <f t="shared" si="14"/>
        <v>0.1853253336</v>
      </c>
      <c r="O37" s="58">
        <f t="shared" si="15"/>
        <v>68.261497876000007</v>
      </c>
    </row>
    <row r="38" spans="1:15" ht="15.9" customHeight="1">
      <c r="A38" s="101">
        <v>45521</v>
      </c>
      <c r="B38" s="102" t="s">
        <v>586</v>
      </c>
      <c r="C38" s="106" t="s">
        <v>541</v>
      </c>
      <c r="D38" s="107" t="s">
        <v>425</v>
      </c>
      <c r="E38" s="105">
        <v>32.94</v>
      </c>
      <c r="F38" s="11">
        <v>19.03</v>
      </c>
      <c r="G38" s="52">
        <f t="shared" si="11"/>
        <v>26.671517999999999</v>
      </c>
      <c r="H38" s="11">
        <v>40.840000000000003</v>
      </c>
      <c r="I38" s="11">
        <v>3.3</v>
      </c>
      <c r="J38" s="11">
        <v>0.57999999999999996</v>
      </c>
      <c r="K38" s="57">
        <v>2033</v>
      </c>
      <c r="L38" s="58">
        <f t="shared" si="12"/>
        <v>10.892647951200001</v>
      </c>
      <c r="M38" s="58">
        <f t="shared" si="13"/>
        <v>0.88016009399999995</v>
      </c>
      <c r="N38" s="58">
        <f t="shared" si="14"/>
        <v>0.1546948044</v>
      </c>
      <c r="O38" s="58">
        <f t="shared" si="15"/>
        <v>54.223196094000002</v>
      </c>
    </row>
    <row r="39" spans="1:15" ht="15.9" customHeight="1">
      <c r="A39" s="101">
        <v>45521</v>
      </c>
      <c r="B39" s="102" t="s">
        <v>587</v>
      </c>
      <c r="C39" s="106" t="s">
        <v>588</v>
      </c>
      <c r="D39" s="107" t="s">
        <v>426</v>
      </c>
      <c r="E39" s="105">
        <v>33.1</v>
      </c>
      <c r="F39" s="11">
        <v>18.309999999999999</v>
      </c>
      <c r="G39" s="52">
        <f t="shared" si="11"/>
        <v>27.039390000000001</v>
      </c>
      <c r="H39" s="11">
        <v>45.68</v>
      </c>
      <c r="I39" s="11">
        <v>3.07</v>
      </c>
      <c r="J39" s="11">
        <v>0.59</v>
      </c>
      <c r="K39" s="57">
        <v>2262</v>
      </c>
      <c r="L39" s="58">
        <f t="shared" si="12"/>
        <v>12.351593352</v>
      </c>
      <c r="M39" s="58">
        <f t="shared" si="13"/>
        <v>0.83010927300000004</v>
      </c>
      <c r="N39" s="58">
        <f t="shared" si="14"/>
        <v>0.15953240099999999</v>
      </c>
      <c r="O39" s="58">
        <f t="shared" si="15"/>
        <v>61.163100180000001</v>
      </c>
    </row>
    <row r="40" spans="1:15" ht="15.9" customHeight="1">
      <c r="A40" s="101">
        <v>45521</v>
      </c>
      <c r="B40" s="102" t="s">
        <v>589</v>
      </c>
      <c r="C40" s="106" t="s">
        <v>550</v>
      </c>
      <c r="D40" s="107" t="s">
        <v>427</v>
      </c>
      <c r="E40" s="105">
        <v>33.36</v>
      </c>
      <c r="F40" s="11">
        <v>18.7</v>
      </c>
      <c r="G40" s="52">
        <f t="shared" si="11"/>
        <v>27.121680000000001</v>
      </c>
      <c r="H40" s="11">
        <v>43.17</v>
      </c>
      <c r="I40" s="11">
        <v>3.16</v>
      </c>
      <c r="J40" s="11">
        <v>0.57999999999999996</v>
      </c>
      <c r="K40" s="57">
        <v>2127</v>
      </c>
      <c r="L40" s="58">
        <f t="shared" si="12"/>
        <v>11.708429256000001</v>
      </c>
      <c r="M40" s="58">
        <f t="shared" si="13"/>
        <v>0.85704508800000001</v>
      </c>
      <c r="N40" s="58">
        <f t="shared" si="14"/>
        <v>0.157305744</v>
      </c>
      <c r="O40" s="58">
        <f t="shared" si="15"/>
        <v>57.68781336</v>
      </c>
    </row>
    <row r="41" spans="1:15" ht="15.9" customHeight="1">
      <c r="A41" s="101">
        <v>45521</v>
      </c>
      <c r="B41" s="102" t="s">
        <v>590</v>
      </c>
      <c r="C41" s="106" t="s">
        <v>548</v>
      </c>
      <c r="D41" s="107" t="s">
        <v>428</v>
      </c>
      <c r="E41" s="105">
        <v>33.82</v>
      </c>
      <c r="F41" s="11">
        <v>17.420000000000002</v>
      </c>
      <c r="G41" s="52">
        <f t="shared" si="11"/>
        <v>27.928556</v>
      </c>
      <c r="H41" s="11">
        <v>47.71</v>
      </c>
      <c r="I41" s="11">
        <v>3.09</v>
      </c>
      <c r="J41" s="11">
        <v>0.59</v>
      </c>
      <c r="K41" s="57">
        <v>2338</v>
      </c>
      <c r="L41" s="58">
        <f t="shared" si="12"/>
        <v>13.3247140676</v>
      </c>
      <c r="M41" s="58">
        <f t="shared" si="13"/>
        <v>0.86299238040000004</v>
      </c>
      <c r="N41" s="58">
        <f t="shared" si="14"/>
        <v>0.16477848040000001</v>
      </c>
      <c r="O41" s="58">
        <f t="shared" si="15"/>
        <v>65.296963927999997</v>
      </c>
    </row>
    <row r="42" spans="1:15" ht="15.9" customHeight="1">
      <c r="A42" s="101">
        <v>45521</v>
      </c>
      <c r="B42" s="102" t="s">
        <v>591</v>
      </c>
      <c r="C42" s="106" t="s">
        <v>545</v>
      </c>
      <c r="D42" s="107" t="s">
        <v>429</v>
      </c>
      <c r="E42" s="105">
        <v>34.380000000000003</v>
      </c>
      <c r="F42" s="11">
        <v>18.05</v>
      </c>
      <c r="G42" s="52">
        <f t="shared" si="11"/>
        <v>28.174410000000002</v>
      </c>
      <c r="H42" s="11">
        <v>41.36</v>
      </c>
      <c r="I42" s="11">
        <v>3.3</v>
      </c>
      <c r="J42" s="11">
        <v>0.56000000000000005</v>
      </c>
      <c r="K42" s="57">
        <v>2070</v>
      </c>
      <c r="L42" s="58">
        <f t="shared" si="12"/>
        <v>11.652935976</v>
      </c>
      <c r="M42" s="58">
        <f t="shared" si="13"/>
        <v>0.92975553</v>
      </c>
      <c r="N42" s="58">
        <f t="shared" si="14"/>
        <v>0.15777669599999999</v>
      </c>
      <c r="O42" s="58">
        <f t="shared" si="15"/>
        <v>58.321028699999999</v>
      </c>
    </row>
    <row r="43" spans="1:15" ht="15.9" customHeight="1">
      <c r="A43" s="101">
        <v>45521</v>
      </c>
      <c r="B43" s="102" t="s">
        <v>592</v>
      </c>
      <c r="C43" s="106" t="s">
        <v>544</v>
      </c>
      <c r="D43" s="107" t="s">
        <v>430</v>
      </c>
      <c r="E43" s="105">
        <v>34.340000000000003</v>
      </c>
      <c r="F43" s="11">
        <v>17.7</v>
      </c>
      <c r="G43" s="52">
        <f t="shared" si="11"/>
        <v>28.26182</v>
      </c>
      <c r="H43" s="11">
        <v>42.94</v>
      </c>
      <c r="I43" s="11">
        <v>3</v>
      </c>
      <c r="J43" s="11">
        <v>0.56999999999999995</v>
      </c>
      <c r="K43" s="57">
        <v>2100</v>
      </c>
      <c r="L43" s="58">
        <f t="shared" si="12"/>
        <v>12.135625508</v>
      </c>
      <c r="M43" s="58">
        <f t="shared" si="13"/>
        <v>0.84785460000000001</v>
      </c>
      <c r="N43" s="58">
        <f t="shared" si="14"/>
        <v>0.16109237400000001</v>
      </c>
      <c r="O43" s="58">
        <f t="shared" si="15"/>
        <v>59.349822000000003</v>
      </c>
    </row>
    <row r="44" spans="1:15" ht="15.9" customHeight="1">
      <c r="A44" s="101">
        <v>45522</v>
      </c>
      <c r="B44" s="102" t="s">
        <v>593</v>
      </c>
      <c r="C44" s="106" t="s">
        <v>550</v>
      </c>
      <c r="D44" s="107" t="s">
        <v>431</v>
      </c>
      <c r="E44" s="105">
        <v>33.5</v>
      </c>
      <c r="F44" s="11">
        <v>19.84</v>
      </c>
      <c r="G44" s="52">
        <f t="shared" si="11"/>
        <v>26.8536</v>
      </c>
      <c r="H44" s="11">
        <v>44.46</v>
      </c>
      <c r="I44" s="11">
        <v>2.83</v>
      </c>
      <c r="J44" s="11">
        <v>0.61</v>
      </c>
      <c r="K44" s="57">
        <v>2156</v>
      </c>
      <c r="L44" s="58">
        <f t="shared" si="12"/>
        <v>11.93911056</v>
      </c>
      <c r="M44" s="58">
        <f t="shared" si="13"/>
        <v>0.75995687999999995</v>
      </c>
      <c r="N44" s="58">
        <f t="shared" si="14"/>
        <v>0.16380696</v>
      </c>
      <c r="O44" s="58">
        <f t="shared" si="15"/>
        <v>57.896361599999999</v>
      </c>
    </row>
    <row r="45" spans="1:15" ht="15.9" customHeight="1">
      <c r="A45" s="101">
        <v>45522</v>
      </c>
      <c r="B45" s="102" t="s">
        <v>594</v>
      </c>
      <c r="C45" s="106" t="s">
        <v>548</v>
      </c>
      <c r="D45" s="107" t="s">
        <v>432</v>
      </c>
      <c r="E45" s="105">
        <v>33.5</v>
      </c>
      <c r="F45" s="11">
        <v>19.32</v>
      </c>
      <c r="G45" s="52">
        <f t="shared" si="11"/>
        <v>27.027799999999999</v>
      </c>
      <c r="H45" s="11">
        <v>45.06</v>
      </c>
      <c r="I45" s="11">
        <v>2.14</v>
      </c>
      <c r="J45" s="11">
        <v>0.62</v>
      </c>
      <c r="K45" s="57">
        <v>2247</v>
      </c>
      <c r="L45" s="58">
        <f t="shared" si="12"/>
        <v>12.17872668</v>
      </c>
      <c r="M45" s="58">
        <f t="shared" si="13"/>
        <v>0.57839492000000003</v>
      </c>
      <c r="N45" s="58">
        <f t="shared" si="14"/>
        <v>0.16757236</v>
      </c>
      <c r="O45" s="58">
        <f t="shared" si="15"/>
        <v>60.731466599999997</v>
      </c>
    </row>
    <row r="46" spans="1:15" ht="15.9" customHeight="1">
      <c r="A46" s="101">
        <v>45523</v>
      </c>
      <c r="B46" s="102" t="s">
        <v>595</v>
      </c>
      <c r="C46" s="106" t="s">
        <v>541</v>
      </c>
      <c r="D46" s="107" t="s">
        <v>433</v>
      </c>
      <c r="E46" s="105">
        <v>32.96</v>
      </c>
      <c r="F46" s="11">
        <v>17.2</v>
      </c>
      <c r="G46" s="52">
        <f t="shared" si="11"/>
        <v>27.290880000000001</v>
      </c>
      <c r="H46" s="11">
        <v>47.71</v>
      </c>
      <c r="I46" s="11">
        <v>3.07</v>
      </c>
      <c r="J46" s="11">
        <v>0.63</v>
      </c>
      <c r="K46" s="57">
        <v>2167</v>
      </c>
      <c r="L46" s="58">
        <f t="shared" si="12"/>
        <v>13.020478848</v>
      </c>
      <c r="M46" s="58">
        <f t="shared" si="13"/>
        <v>0.83783001599999996</v>
      </c>
      <c r="N46" s="58">
        <f t="shared" si="14"/>
        <v>0.17193254399999999</v>
      </c>
      <c r="O46" s="58">
        <f t="shared" si="15"/>
        <v>59.139336960000001</v>
      </c>
    </row>
    <row r="47" spans="1:15" ht="15.9" customHeight="1">
      <c r="A47" s="101">
        <v>45523</v>
      </c>
      <c r="B47" s="102" t="s">
        <v>596</v>
      </c>
      <c r="C47" s="106" t="s">
        <v>543</v>
      </c>
      <c r="D47" s="107" t="s">
        <v>434</v>
      </c>
      <c r="E47" s="105">
        <v>33.06</v>
      </c>
      <c r="F47" s="11">
        <v>16.010000000000002</v>
      </c>
      <c r="G47" s="52">
        <f t="shared" si="11"/>
        <v>27.767094</v>
      </c>
      <c r="H47" s="11">
        <v>47.33</v>
      </c>
      <c r="I47" s="11">
        <v>2.93</v>
      </c>
      <c r="J47" s="11">
        <v>0.62</v>
      </c>
      <c r="K47" s="57">
        <v>2168</v>
      </c>
      <c r="L47" s="58">
        <f t="shared" si="12"/>
        <v>13.142165590199999</v>
      </c>
      <c r="M47" s="58">
        <f t="shared" si="13"/>
        <v>0.8135758542</v>
      </c>
      <c r="N47" s="58">
        <f t="shared" si="14"/>
        <v>0.1721559828</v>
      </c>
      <c r="O47" s="58">
        <f t="shared" si="15"/>
        <v>60.199059792</v>
      </c>
    </row>
    <row r="48" spans="1:15" ht="15.9" customHeight="1">
      <c r="A48" s="101">
        <v>45528</v>
      </c>
      <c r="B48" s="102" t="s">
        <v>597</v>
      </c>
      <c r="C48" s="106" t="s">
        <v>545</v>
      </c>
      <c r="D48" s="107" t="s">
        <v>435</v>
      </c>
      <c r="E48" s="105">
        <v>34.74</v>
      </c>
      <c r="F48" s="11">
        <v>18.260000000000002</v>
      </c>
      <c r="G48" s="52">
        <f t="shared" si="11"/>
        <v>28.396476</v>
      </c>
      <c r="H48" s="11">
        <v>47.89</v>
      </c>
      <c r="I48" s="11">
        <v>2.71</v>
      </c>
      <c r="J48" s="11">
        <v>0.66</v>
      </c>
      <c r="K48" s="57">
        <v>2303</v>
      </c>
      <c r="L48" s="58">
        <f t="shared" si="12"/>
        <v>13.599072356400001</v>
      </c>
      <c r="M48" s="58">
        <f t="shared" si="13"/>
        <v>0.76954449960000004</v>
      </c>
      <c r="N48" s="58">
        <f t="shared" si="14"/>
        <v>0.18741674159999999</v>
      </c>
      <c r="O48" s="58">
        <f t="shared" si="15"/>
        <v>65.397084227999997</v>
      </c>
    </row>
    <row r="49" spans="1:15" ht="15.9" customHeight="1">
      <c r="A49" s="101">
        <v>45528</v>
      </c>
      <c r="B49" s="102" t="s">
        <v>598</v>
      </c>
      <c r="C49" s="106" t="s">
        <v>543</v>
      </c>
      <c r="D49" s="107" t="s">
        <v>436</v>
      </c>
      <c r="E49" s="105">
        <v>32.86</v>
      </c>
      <c r="F49" s="11">
        <v>18.11</v>
      </c>
      <c r="G49" s="52">
        <f t="shared" si="11"/>
        <v>26.909054000000001</v>
      </c>
      <c r="H49" s="11">
        <v>47.86</v>
      </c>
      <c r="I49" s="11">
        <v>2.69</v>
      </c>
      <c r="J49" s="11">
        <v>0.65</v>
      </c>
      <c r="K49" s="57">
        <v>2291</v>
      </c>
      <c r="L49" s="58">
        <f t="shared" si="12"/>
        <v>12.8786732444</v>
      </c>
      <c r="M49" s="58">
        <f t="shared" si="13"/>
        <v>0.72385355259999995</v>
      </c>
      <c r="N49" s="58">
        <f t="shared" si="14"/>
        <v>0.174908851</v>
      </c>
      <c r="O49" s="58">
        <f t="shared" si="15"/>
        <v>61.648642713999998</v>
      </c>
    </row>
    <row r="50" spans="1:15" ht="15.9" customHeight="1">
      <c r="A50" s="101">
        <v>45528</v>
      </c>
      <c r="B50" s="102" t="s">
        <v>599</v>
      </c>
      <c r="C50" s="106" t="s">
        <v>544</v>
      </c>
      <c r="D50" s="107" t="s">
        <v>437</v>
      </c>
      <c r="E50" s="105">
        <v>33.9</v>
      </c>
      <c r="F50" s="11">
        <v>17.86</v>
      </c>
      <c r="G50" s="52">
        <f t="shared" si="11"/>
        <v>27.845459999999999</v>
      </c>
      <c r="H50" s="11">
        <v>47.78</v>
      </c>
      <c r="I50" s="11">
        <v>2.78</v>
      </c>
      <c r="J50" s="11">
        <v>0.67</v>
      </c>
      <c r="K50" s="57">
        <v>2319</v>
      </c>
      <c r="L50" s="58">
        <f t="shared" si="12"/>
        <v>13.304560788</v>
      </c>
      <c r="M50" s="58">
        <f t="shared" si="13"/>
        <v>0.77410378800000001</v>
      </c>
      <c r="N50" s="58">
        <f t="shared" si="14"/>
        <v>0.18656458200000001</v>
      </c>
      <c r="O50" s="58">
        <f t="shared" si="15"/>
        <v>64.573621739999993</v>
      </c>
    </row>
    <row r="51" spans="1:15" ht="15.9" customHeight="1">
      <c r="A51" s="101">
        <v>45528</v>
      </c>
      <c r="B51" s="102" t="s">
        <v>600</v>
      </c>
      <c r="C51" s="106" t="s">
        <v>541</v>
      </c>
      <c r="D51" s="107" t="s">
        <v>438</v>
      </c>
      <c r="E51" s="105">
        <v>32.74</v>
      </c>
      <c r="F51" s="11">
        <v>17.64</v>
      </c>
      <c r="G51" s="52">
        <f t="shared" si="11"/>
        <v>26.964663999999999</v>
      </c>
      <c r="H51" s="11">
        <v>48.61</v>
      </c>
      <c r="I51" s="11">
        <v>2.76</v>
      </c>
      <c r="J51" s="11">
        <v>0.66</v>
      </c>
      <c r="K51" s="57">
        <v>2298</v>
      </c>
      <c r="L51" s="58">
        <f t="shared" si="12"/>
        <v>13.1075231704</v>
      </c>
      <c r="M51" s="58">
        <f t="shared" si="13"/>
        <v>0.74422472640000004</v>
      </c>
      <c r="N51" s="58">
        <f t="shared" si="14"/>
        <v>0.1779667824</v>
      </c>
      <c r="O51" s="58">
        <f t="shared" si="15"/>
        <v>61.964797871999998</v>
      </c>
    </row>
    <row r="52" spans="1:15" ht="15.9" customHeight="1">
      <c r="A52" s="101">
        <v>45528</v>
      </c>
      <c r="B52" s="102" t="s">
        <v>601</v>
      </c>
      <c r="C52" s="106" t="s">
        <v>548</v>
      </c>
      <c r="D52" s="107" t="s">
        <v>439</v>
      </c>
      <c r="E52" s="105">
        <v>33.08</v>
      </c>
      <c r="F52" s="11">
        <v>17</v>
      </c>
      <c r="G52" s="52">
        <f t="shared" si="11"/>
        <v>27.456399999999999</v>
      </c>
      <c r="H52" s="11">
        <v>48.68</v>
      </c>
      <c r="I52" s="11">
        <v>2.76</v>
      </c>
      <c r="J52" s="11">
        <v>0.63</v>
      </c>
      <c r="K52" s="57">
        <v>2308</v>
      </c>
      <c r="L52" s="58">
        <f t="shared" si="12"/>
        <v>13.36577552</v>
      </c>
      <c r="M52" s="58">
        <f t="shared" si="13"/>
        <v>0.75779664000000002</v>
      </c>
      <c r="N52" s="58">
        <f t="shared" si="14"/>
        <v>0.17297531999999999</v>
      </c>
      <c r="O52" s="58">
        <f t="shared" si="15"/>
        <v>63.369371200000003</v>
      </c>
    </row>
    <row r="53" spans="1:15" ht="15.9" customHeight="1">
      <c r="A53" s="101">
        <v>45529</v>
      </c>
      <c r="B53" s="102" t="s">
        <v>602</v>
      </c>
      <c r="C53" s="106" t="s">
        <v>543</v>
      </c>
      <c r="D53" s="107" t="s">
        <v>440</v>
      </c>
      <c r="E53" s="105">
        <v>33.200000000000003</v>
      </c>
      <c r="F53" s="11">
        <v>15.33</v>
      </c>
      <c r="G53" s="52">
        <f t="shared" si="11"/>
        <v>28.110440000000001</v>
      </c>
      <c r="H53" s="11">
        <v>48.98</v>
      </c>
      <c r="I53" s="11">
        <v>3.06</v>
      </c>
      <c r="J53" s="11">
        <v>0.67</v>
      </c>
      <c r="K53" s="57">
        <v>2441</v>
      </c>
      <c r="L53" s="58">
        <f t="shared" si="12"/>
        <v>13.768493511999999</v>
      </c>
      <c r="M53" s="58">
        <f t="shared" si="13"/>
        <v>0.860179464</v>
      </c>
      <c r="N53" s="58">
        <f t="shared" si="14"/>
        <v>0.18833994800000001</v>
      </c>
      <c r="O53" s="58">
        <f t="shared" si="15"/>
        <v>68.617584039999997</v>
      </c>
    </row>
    <row r="54" spans="1:15" ht="15.9" customHeight="1">
      <c r="A54" s="101">
        <v>45529</v>
      </c>
      <c r="B54" s="102" t="s">
        <v>603</v>
      </c>
      <c r="C54" s="106" t="s">
        <v>541</v>
      </c>
      <c r="D54" s="107" t="s">
        <v>441</v>
      </c>
      <c r="E54" s="105">
        <v>32.92</v>
      </c>
      <c r="F54" s="11">
        <v>15.05</v>
      </c>
      <c r="G54" s="52">
        <f t="shared" si="11"/>
        <v>27.965540000000001</v>
      </c>
      <c r="H54" s="11">
        <v>49.43</v>
      </c>
      <c r="I54" s="11">
        <v>3.06</v>
      </c>
      <c r="J54" s="11">
        <v>0.71</v>
      </c>
      <c r="K54" s="57">
        <v>2453</v>
      </c>
      <c r="L54" s="58">
        <f t="shared" si="12"/>
        <v>13.823366421999999</v>
      </c>
      <c r="M54" s="58">
        <f t="shared" si="13"/>
        <v>0.85574552400000004</v>
      </c>
      <c r="N54" s="58">
        <f t="shared" si="14"/>
        <v>0.198555334</v>
      </c>
      <c r="O54" s="58">
        <f t="shared" si="15"/>
        <v>68.599469619999994</v>
      </c>
    </row>
    <row r="55" spans="1:15" ht="15.9" customHeight="1">
      <c r="A55" s="101">
        <v>45531</v>
      </c>
      <c r="B55" s="102" t="s">
        <v>604</v>
      </c>
      <c r="C55" s="106" t="s">
        <v>550</v>
      </c>
      <c r="D55" s="107" t="s">
        <v>442</v>
      </c>
      <c r="E55" s="105">
        <v>33.32</v>
      </c>
      <c r="F55" s="11">
        <v>16.09</v>
      </c>
      <c r="G55" s="52">
        <f t="shared" si="11"/>
        <v>27.958812000000002</v>
      </c>
      <c r="H55" s="11">
        <v>48.31</v>
      </c>
      <c r="I55" s="11">
        <v>2.97</v>
      </c>
      <c r="J55" s="11">
        <v>0.68</v>
      </c>
      <c r="K55" s="57">
        <v>2363</v>
      </c>
      <c r="L55" s="58">
        <f t="shared" si="12"/>
        <v>13.506902077199999</v>
      </c>
      <c r="M55" s="58">
        <f t="shared" si="13"/>
        <v>0.83037671639999999</v>
      </c>
      <c r="N55" s="58">
        <f t="shared" si="14"/>
        <v>0.19011992159999999</v>
      </c>
      <c r="O55" s="58">
        <f t="shared" si="15"/>
        <v>66.066672756000003</v>
      </c>
    </row>
    <row r="56" spans="1:15" ht="15.9" customHeight="1">
      <c r="A56" s="101">
        <v>45531</v>
      </c>
      <c r="B56" s="102" t="s">
        <v>605</v>
      </c>
      <c r="C56" s="106" t="s">
        <v>548</v>
      </c>
      <c r="D56" s="107" t="s">
        <v>443</v>
      </c>
      <c r="E56" s="105">
        <v>33.24</v>
      </c>
      <c r="F56" s="11">
        <v>18.97</v>
      </c>
      <c r="G56" s="52">
        <f t="shared" si="11"/>
        <v>26.934372</v>
      </c>
      <c r="H56" s="11">
        <v>46.2</v>
      </c>
      <c r="I56" s="11">
        <v>2.9</v>
      </c>
      <c r="J56" s="11">
        <v>0.65</v>
      </c>
      <c r="K56" s="57">
        <v>2256</v>
      </c>
      <c r="L56" s="58">
        <f t="shared" si="12"/>
        <v>12.443679864</v>
      </c>
      <c r="M56" s="58">
        <f t="shared" si="13"/>
        <v>0.78109678800000004</v>
      </c>
      <c r="N56" s="58">
        <f t="shared" si="14"/>
        <v>0.17507341800000001</v>
      </c>
      <c r="O56" s="58">
        <f t="shared" si="15"/>
        <v>60.763943232000003</v>
      </c>
    </row>
    <row r="57" spans="1:15" ht="15.9" customHeight="1">
      <c r="A57" s="101">
        <v>45531</v>
      </c>
      <c r="B57" s="102" t="s">
        <v>606</v>
      </c>
      <c r="C57" s="106" t="s">
        <v>554</v>
      </c>
      <c r="D57" s="107" t="s">
        <v>444</v>
      </c>
      <c r="E57" s="105">
        <v>33.159999999999997</v>
      </c>
      <c r="F57" s="11">
        <v>16.53</v>
      </c>
      <c r="G57" s="52">
        <f t="shared" si="11"/>
        <v>27.678652</v>
      </c>
      <c r="H57" s="11">
        <v>48.83</v>
      </c>
      <c r="I57" s="11">
        <v>3.07</v>
      </c>
      <c r="J57" s="11">
        <v>0.64</v>
      </c>
      <c r="K57" s="57">
        <v>2385</v>
      </c>
      <c r="L57" s="58">
        <f t="shared" si="12"/>
        <v>13.5154857716</v>
      </c>
      <c r="M57" s="58">
        <f t="shared" si="13"/>
        <v>0.84973461640000003</v>
      </c>
      <c r="N57" s="58">
        <f t="shared" si="14"/>
        <v>0.1771433728</v>
      </c>
      <c r="O57" s="58">
        <f t="shared" si="15"/>
        <v>66.013585019999994</v>
      </c>
    </row>
    <row r="58" spans="1:15" ht="15.9" customHeight="1">
      <c r="A58" s="101">
        <v>45531</v>
      </c>
      <c r="B58" s="102" t="s">
        <v>607</v>
      </c>
      <c r="C58" s="106" t="s">
        <v>545</v>
      </c>
      <c r="D58" s="107" t="s">
        <v>445</v>
      </c>
      <c r="E58" s="105">
        <v>34.619999999999997</v>
      </c>
      <c r="F58" s="11">
        <v>17.43</v>
      </c>
      <c r="G58" s="52">
        <f t="shared" si="11"/>
        <v>28.585733999999999</v>
      </c>
      <c r="H58" s="11">
        <v>48.27</v>
      </c>
      <c r="I58" s="11">
        <v>2.97</v>
      </c>
      <c r="J58" s="11">
        <v>0.66</v>
      </c>
      <c r="K58" s="57">
        <v>2312</v>
      </c>
      <c r="L58" s="58">
        <f t="shared" si="12"/>
        <v>13.7983338018</v>
      </c>
      <c r="M58" s="58">
        <f t="shared" si="13"/>
        <v>0.84899629980000002</v>
      </c>
      <c r="N58" s="58">
        <f t="shared" si="14"/>
        <v>0.1886658444</v>
      </c>
      <c r="O58" s="58">
        <f t="shared" si="15"/>
        <v>66.090217007999996</v>
      </c>
    </row>
    <row r="59" spans="1:15" ht="15.9" customHeight="1">
      <c r="A59" s="101">
        <v>45531</v>
      </c>
      <c r="B59" s="102" t="s">
        <v>608</v>
      </c>
      <c r="C59" s="106" t="s">
        <v>544</v>
      </c>
      <c r="D59" s="107" t="s">
        <v>446</v>
      </c>
      <c r="E59" s="105">
        <v>34.28</v>
      </c>
      <c r="F59" s="11">
        <v>18.399999999999999</v>
      </c>
      <c r="G59" s="52">
        <f t="shared" si="11"/>
        <v>27.972480000000001</v>
      </c>
      <c r="H59" s="11">
        <v>46.17</v>
      </c>
      <c r="I59" s="11">
        <v>2.95</v>
      </c>
      <c r="J59" s="11">
        <v>0.65</v>
      </c>
      <c r="K59" s="57">
        <v>2267</v>
      </c>
      <c r="L59" s="58">
        <f t="shared" si="12"/>
        <v>12.914894016</v>
      </c>
      <c r="M59" s="58">
        <f t="shared" si="13"/>
        <v>0.82518815999999995</v>
      </c>
      <c r="N59" s="58">
        <f t="shared" si="14"/>
        <v>0.18182112</v>
      </c>
      <c r="O59" s="58">
        <f t="shared" si="15"/>
        <v>63.41361216</v>
      </c>
    </row>
    <row r="60" spans="1:15" ht="15.9" customHeight="1">
      <c r="A60" s="101">
        <v>45531</v>
      </c>
      <c r="B60" s="102" t="s">
        <v>609</v>
      </c>
      <c r="C60" s="106" t="s">
        <v>543</v>
      </c>
      <c r="D60" s="107" t="s">
        <v>447</v>
      </c>
      <c r="E60" s="105">
        <v>33.119999999999997</v>
      </c>
      <c r="F60" s="11">
        <v>16.39</v>
      </c>
      <c r="G60" s="52">
        <f t="shared" si="11"/>
        <v>27.691631999999998</v>
      </c>
      <c r="H60" s="11">
        <v>48.16</v>
      </c>
      <c r="I60" s="11">
        <v>3.02</v>
      </c>
      <c r="J60" s="11">
        <v>0.65</v>
      </c>
      <c r="K60" s="57">
        <v>2385</v>
      </c>
      <c r="L60" s="58">
        <f t="shared" si="12"/>
        <v>13.336289971199999</v>
      </c>
      <c r="M60" s="58">
        <f t="shared" si="13"/>
        <v>0.83628728640000005</v>
      </c>
      <c r="N60" s="58">
        <f t="shared" si="14"/>
        <v>0.179995608</v>
      </c>
      <c r="O60" s="58">
        <f t="shared" si="15"/>
        <v>66.044542320000005</v>
      </c>
    </row>
    <row r="61" spans="1:15" ht="15.9" customHeight="1">
      <c r="A61" s="101">
        <v>45531</v>
      </c>
      <c r="B61" s="102" t="s">
        <v>610</v>
      </c>
      <c r="C61" s="106" t="s">
        <v>541</v>
      </c>
      <c r="D61" s="107" t="s">
        <v>448</v>
      </c>
      <c r="E61" s="105">
        <v>32.94</v>
      </c>
      <c r="F61" s="11">
        <v>15.99</v>
      </c>
      <c r="G61" s="52">
        <f t="shared" si="11"/>
        <v>27.672893999999999</v>
      </c>
      <c r="H61" s="11">
        <v>48.76</v>
      </c>
      <c r="I61" s="11">
        <v>3.09</v>
      </c>
      <c r="J61" s="11">
        <v>0.65</v>
      </c>
      <c r="K61" s="57">
        <v>2432</v>
      </c>
      <c r="L61" s="58">
        <f t="shared" si="12"/>
        <v>13.4933031144</v>
      </c>
      <c r="M61" s="58">
        <f t="shared" si="13"/>
        <v>0.85509242460000001</v>
      </c>
      <c r="N61" s="58">
        <f t="shared" si="14"/>
        <v>0.17987381099999999</v>
      </c>
      <c r="O61" s="58">
        <f t="shared" si="15"/>
        <v>67.300478208000001</v>
      </c>
    </row>
    <row r="62" spans="1:15" ht="15.9" customHeight="1">
      <c r="A62" s="101">
        <v>45532</v>
      </c>
      <c r="B62" s="102" t="s">
        <v>611</v>
      </c>
      <c r="C62" s="106" t="s">
        <v>612</v>
      </c>
      <c r="D62" s="107" t="s">
        <v>449</v>
      </c>
      <c r="E62" s="105">
        <v>33.96</v>
      </c>
      <c r="F62" s="11">
        <v>18.72</v>
      </c>
      <c r="G62" s="52">
        <f t="shared" si="11"/>
        <v>27.602688000000001</v>
      </c>
      <c r="H62" s="11">
        <v>46.51</v>
      </c>
      <c r="I62" s="11">
        <v>2.81</v>
      </c>
      <c r="J62" s="11">
        <v>0.65</v>
      </c>
      <c r="K62" s="57">
        <v>2312</v>
      </c>
      <c r="L62" s="58">
        <f t="shared" si="12"/>
        <v>12.8380101888</v>
      </c>
      <c r="M62" s="58">
        <f t="shared" si="13"/>
        <v>0.77563553279999997</v>
      </c>
      <c r="N62" s="58">
        <f t="shared" si="14"/>
        <v>0.17941747199999999</v>
      </c>
      <c r="O62" s="58">
        <f t="shared" si="15"/>
        <v>63.817414655999997</v>
      </c>
    </row>
    <row r="63" spans="1:15" ht="15.9" customHeight="1">
      <c r="A63" s="101">
        <v>45532</v>
      </c>
      <c r="B63" s="102" t="s">
        <v>613</v>
      </c>
      <c r="C63" s="106" t="s">
        <v>548</v>
      </c>
      <c r="D63" s="107" t="s">
        <v>450</v>
      </c>
      <c r="E63" s="105">
        <v>33.799999999999997</v>
      </c>
      <c r="F63" s="11">
        <v>17.12</v>
      </c>
      <c r="G63" s="52">
        <f t="shared" si="11"/>
        <v>28.013439999999999</v>
      </c>
      <c r="H63" s="11">
        <v>48.23</v>
      </c>
      <c r="I63" s="11">
        <v>3.02</v>
      </c>
      <c r="J63" s="11">
        <v>0.66</v>
      </c>
      <c r="K63" s="57">
        <v>2324</v>
      </c>
      <c r="L63" s="58">
        <f t="shared" si="12"/>
        <v>13.510882112000001</v>
      </c>
      <c r="M63" s="58">
        <f t="shared" si="13"/>
        <v>0.84600588799999998</v>
      </c>
      <c r="N63" s="58">
        <f t="shared" si="14"/>
        <v>0.18488870399999999</v>
      </c>
      <c r="O63" s="58">
        <f t="shared" si="15"/>
        <v>65.103234560000004</v>
      </c>
    </row>
    <row r="64" spans="1:15" ht="15.9" customHeight="1">
      <c r="A64" s="101">
        <v>45532</v>
      </c>
      <c r="B64" s="102" t="s">
        <v>614</v>
      </c>
      <c r="C64" s="106" t="s">
        <v>550</v>
      </c>
      <c r="D64" s="107" t="s">
        <v>451</v>
      </c>
      <c r="E64" s="105">
        <v>33.6</v>
      </c>
      <c r="F64" s="11">
        <v>18.96</v>
      </c>
      <c r="G64" s="52">
        <f t="shared" si="11"/>
        <v>27.22944</v>
      </c>
      <c r="H64" s="11">
        <v>46.2</v>
      </c>
      <c r="I64" s="11">
        <v>2.88</v>
      </c>
      <c r="J64" s="11">
        <v>0.63</v>
      </c>
      <c r="K64" s="57">
        <v>2263</v>
      </c>
      <c r="L64" s="58">
        <f t="shared" si="12"/>
        <v>12.580001279999999</v>
      </c>
      <c r="M64" s="58">
        <f t="shared" si="13"/>
        <v>0.78420787199999997</v>
      </c>
      <c r="N64" s="58">
        <f t="shared" si="14"/>
        <v>0.171545472</v>
      </c>
      <c r="O64" s="58">
        <f t="shared" si="15"/>
        <v>61.620222720000001</v>
      </c>
    </row>
    <row r="65" spans="1:15" ht="15.9" customHeight="1">
      <c r="A65" s="101">
        <v>45532</v>
      </c>
      <c r="B65" s="102" t="s">
        <v>615</v>
      </c>
      <c r="C65" s="106" t="s">
        <v>554</v>
      </c>
      <c r="D65" s="107" t="s">
        <v>452</v>
      </c>
      <c r="E65" s="105">
        <v>33.5</v>
      </c>
      <c r="F65" s="11">
        <v>16.72</v>
      </c>
      <c r="G65" s="52">
        <f t="shared" si="11"/>
        <v>27.898800000000001</v>
      </c>
      <c r="H65" s="11">
        <v>48.91</v>
      </c>
      <c r="I65" s="11">
        <v>3.07</v>
      </c>
      <c r="J65" s="11">
        <v>0.66</v>
      </c>
      <c r="K65" s="57">
        <v>2346</v>
      </c>
      <c r="L65" s="58">
        <f t="shared" si="12"/>
        <v>13.64530308</v>
      </c>
      <c r="M65" s="58">
        <f t="shared" si="13"/>
        <v>0.85649315999999998</v>
      </c>
      <c r="N65" s="58">
        <f t="shared" si="14"/>
        <v>0.18413208</v>
      </c>
      <c r="O65" s="58">
        <f t="shared" si="15"/>
        <v>65.450584800000001</v>
      </c>
    </row>
    <row r="66" spans="1:15" ht="15.9" customHeight="1">
      <c r="A66" s="101">
        <v>45532</v>
      </c>
      <c r="B66" s="102" t="s">
        <v>616</v>
      </c>
      <c r="C66" s="106" t="s">
        <v>542</v>
      </c>
      <c r="D66" s="107" t="s">
        <v>453</v>
      </c>
      <c r="E66" s="105">
        <v>34.04</v>
      </c>
      <c r="F66" s="11">
        <v>19.079999999999998</v>
      </c>
      <c r="G66" s="52">
        <f t="shared" si="11"/>
        <v>27.545168</v>
      </c>
      <c r="H66" s="11">
        <v>46.36</v>
      </c>
      <c r="I66" s="11">
        <v>2.83</v>
      </c>
      <c r="J66" s="11">
        <v>0.66</v>
      </c>
      <c r="K66" s="57">
        <v>2296</v>
      </c>
      <c r="L66" s="58">
        <f t="shared" si="12"/>
        <v>12.769939884799999</v>
      </c>
      <c r="M66" s="58">
        <f t="shared" si="13"/>
        <v>0.77952825439999995</v>
      </c>
      <c r="N66" s="58">
        <f t="shared" si="14"/>
        <v>0.1817981088</v>
      </c>
      <c r="O66" s="58">
        <f t="shared" si="15"/>
        <v>63.243705728000002</v>
      </c>
    </row>
    <row r="67" spans="1:15" ht="15.9" customHeight="1">
      <c r="A67" s="101">
        <v>45533</v>
      </c>
      <c r="B67" s="102" t="s">
        <v>617</v>
      </c>
      <c r="C67" s="106" t="s">
        <v>545</v>
      </c>
      <c r="D67" s="107" t="s">
        <v>454</v>
      </c>
      <c r="E67" s="105">
        <v>34.54</v>
      </c>
      <c r="F67" s="11">
        <v>19.2</v>
      </c>
      <c r="G67" s="52">
        <f t="shared" si="11"/>
        <v>27.90832</v>
      </c>
      <c r="H67" s="11">
        <v>47.45</v>
      </c>
      <c r="I67" s="11">
        <v>3.23</v>
      </c>
      <c r="J67" s="11">
        <v>0.68</v>
      </c>
      <c r="K67" s="57">
        <v>2336</v>
      </c>
      <c r="L67" s="58">
        <f t="shared" si="12"/>
        <v>13.24249784</v>
      </c>
      <c r="M67" s="58">
        <f t="shared" si="13"/>
        <v>0.90143873600000002</v>
      </c>
      <c r="N67" s="58">
        <f t="shared" si="14"/>
        <v>0.189776576</v>
      </c>
      <c r="O67" s="58">
        <f t="shared" si="15"/>
        <v>65.193835519999993</v>
      </c>
    </row>
    <row r="68" spans="1:15" ht="15.9" customHeight="1">
      <c r="A68" s="101">
        <v>45533</v>
      </c>
      <c r="B68" s="102" t="s">
        <v>618</v>
      </c>
      <c r="C68" s="106" t="s">
        <v>541</v>
      </c>
      <c r="D68" s="107" t="s">
        <v>455</v>
      </c>
      <c r="E68" s="105">
        <v>32.86</v>
      </c>
      <c r="F68" s="11">
        <v>18.57</v>
      </c>
      <c r="G68" s="52">
        <f t="shared" si="11"/>
        <v>26.757898000000001</v>
      </c>
      <c r="H68" s="11">
        <v>47.89</v>
      </c>
      <c r="I68" s="11">
        <v>2.88</v>
      </c>
      <c r="J68" s="11">
        <v>0.68</v>
      </c>
      <c r="K68" s="57">
        <v>2328</v>
      </c>
      <c r="L68" s="58">
        <f t="shared" si="12"/>
        <v>12.8143573522</v>
      </c>
      <c r="M68" s="58">
        <f t="shared" si="13"/>
        <v>0.77062746240000002</v>
      </c>
      <c r="N68" s="58">
        <f t="shared" si="14"/>
        <v>0.1819537064</v>
      </c>
      <c r="O68" s="58">
        <f t="shared" si="15"/>
        <v>62.292386544000003</v>
      </c>
    </row>
    <row r="69" spans="1:15" ht="15.9" customHeight="1">
      <c r="A69" s="101">
        <v>45533</v>
      </c>
      <c r="B69" s="102" t="s">
        <v>619</v>
      </c>
      <c r="C69" s="106" t="s">
        <v>544</v>
      </c>
      <c r="D69" s="107" t="s">
        <v>456</v>
      </c>
      <c r="E69" s="105">
        <v>34.159999999999997</v>
      </c>
      <c r="F69" s="11">
        <v>19.07</v>
      </c>
      <c r="G69" s="52">
        <f t="shared" si="11"/>
        <v>27.645688</v>
      </c>
      <c r="H69" s="11">
        <v>47.52</v>
      </c>
      <c r="I69" s="11">
        <v>3.21</v>
      </c>
      <c r="J69" s="11">
        <v>0.67</v>
      </c>
      <c r="K69" s="57">
        <v>2313</v>
      </c>
      <c r="L69" s="58">
        <f t="shared" si="12"/>
        <v>13.1372309376</v>
      </c>
      <c r="M69" s="58">
        <f t="shared" si="13"/>
        <v>0.88742658480000003</v>
      </c>
      <c r="N69" s="58">
        <f t="shared" si="14"/>
        <v>0.18522610959999999</v>
      </c>
      <c r="O69" s="58">
        <f t="shared" si="15"/>
        <v>63.944476344000002</v>
      </c>
    </row>
    <row r="70" spans="1:15" ht="15.9" customHeight="1">
      <c r="A70" s="101">
        <v>45533</v>
      </c>
      <c r="B70" s="102" t="s">
        <v>620</v>
      </c>
      <c r="C70" s="106" t="s">
        <v>550</v>
      </c>
      <c r="D70" s="107" t="s">
        <v>457</v>
      </c>
      <c r="E70" s="105">
        <v>33.479999999999997</v>
      </c>
      <c r="F70" s="11">
        <v>18.54</v>
      </c>
      <c r="G70" s="52">
        <f t="shared" si="11"/>
        <v>27.272808000000001</v>
      </c>
      <c r="H70" s="11">
        <v>47.93</v>
      </c>
      <c r="I70" s="11">
        <v>3.02</v>
      </c>
      <c r="J70" s="11">
        <v>0.67</v>
      </c>
      <c r="K70" s="57">
        <v>2312</v>
      </c>
      <c r="L70" s="58">
        <f t="shared" si="12"/>
        <v>13.0718568744</v>
      </c>
      <c r="M70" s="58">
        <f t="shared" si="13"/>
        <v>0.82363880160000003</v>
      </c>
      <c r="N70" s="58">
        <f t="shared" si="14"/>
        <v>0.18272781360000001</v>
      </c>
      <c r="O70" s="58">
        <f t="shared" si="15"/>
        <v>63.054732096000002</v>
      </c>
    </row>
    <row r="71" spans="1:15" ht="15.9" customHeight="1">
      <c r="A71" s="101">
        <v>45533</v>
      </c>
      <c r="B71" s="102" t="s">
        <v>621</v>
      </c>
      <c r="C71" s="106" t="s">
        <v>543</v>
      </c>
      <c r="D71" s="107" t="s">
        <v>458</v>
      </c>
      <c r="E71" s="105">
        <v>33.020000000000003</v>
      </c>
      <c r="F71" s="11">
        <v>16.989999999999998</v>
      </c>
      <c r="G71" s="52">
        <f t="shared" si="11"/>
        <v>27.409901999999999</v>
      </c>
      <c r="H71" s="11">
        <v>47.67</v>
      </c>
      <c r="I71" s="11">
        <v>3.21</v>
      </c>
      <c r="J71" s="11">
        <v>0.65</v>
      </c>
      <c r="K71" s="57">
        <v>2376</v>
      </c>
      <c r="L71" s="58">
        <f t="shared" si="12"/>
        <v>13.0663002834</v>
      </c>
      <c r="M71" s="58">
        <f t="shared" si="13"/>
        <v>0.87985785419999996</v>
      </c>
      <c r="N71" s="58">
        <f t="shared" si="14"/>
        <v>0.17816436299999999</v>
      </c>
      <c r="O71" s="58">
        <f t="shared" si="15"/>
        <v>65.125927152000003</v>
      </c>
    </row>
    <row r="72" spans="1:15" ht="15.9" customHeight="1">
      <c r="A72" s="101">
        <v>45533</v>
      </c>
      <c r="B72" s="102" t="s">
        <v>622</v>
      </c>
      <c r="C72" s="106" t="s">
        <v>554</v>
      </c>
      <c r="D72" s="107" t="s">
        <v>459</v>
      </c>
      <c r="E72" s="105">
        <v>33.28</v>
      </c>
      <c r="F72" s="11">
        <v>18.54</v>
      </c>
      <c r="G72" s="52">
        <f t="shared" si="11"/>
        <v>27.109888000000002</v>
      </c>
      <c r="H72" s="11">
        <v>48.12</v>
      </c>
      <c r="I72" s="11">
        <v>3.09</v>
      </c>
      <c r="J72" s="11">
        <v>0.67</v>
      </c>
      <c r="K72" s="57">
        <v>2356</v>
      </c>
      <c r="L72" s="58">
        <f t="shared" si="12"/>
        <v>13.0452781056</v>
      </c>
      <c r="M72" s="58">
        <f t="shared" si="13"/>
        <v>0.83769553919999995</v>
      </c>
      <c r="N72" s="58">
        <f t="shared" si="14"/>
        <v>0.18163624959999999</v>
      </c>
      <c r="O72" s="58">
        <f t="shared" si="15"/>
        <v>63.870896127999998</v>
      </c>
    </row>
    <row r="73" spans="1:15" ht="15.9" customHeight="1">
      <c r="A73" s="101">
        <v>45533</v>
      </c>
      <c r="B73" s="102" t="s">
        <v>623</v>
      </c>
      <c r="C73" s="106" t="s">
        <v>542</v>
      </c>
      <c r="D73" s="107" t="s">
        <v>460</v>
      </c>
      <c r="E73" s="105">
        <v>33.94</v>
      </c>
      <c r="F73" s="11">
        <v>18.510000000000002</v>
      </c>
      <c r="G73" s="52">
        <f t="shared" si="11"/>
        <v>27.657706000000001</v>
      </c>
      <c r="H73" s="11">
        <v>47.74</v>
      </c>
      <c r="I73" s="11">
        <v>3</v>
      </c>
      <c r="J73" s="11">
        <v>0.68</v>
      </c>
      <c r="K73" s="57">
        <v>2318</v>
      </c>
      <c r="L73" s="58">
        <f t="shared" si="12"/>
        <v>13.2037888444</v>
      </c>
      <c r="M73" s="58">
        <f t="shared" si="13"/>
        <v>0.82973118000000001</v>
      </c>
      <c r="N73" s="58">
        <f t="shared" si="14"/>
        <v>0.18807240080000001</v>
      </c>
      <c r="O73" s="58">
        <f t="shared" si="15"/>
        <v>64.110562508000001</v>
      </c>
    </row>
    <row r="74" spans="1:15" ht="15.9" customHeight="1">
      <c r="A74" s="101">
        <v>45533</v>
      </c>
      <c r="B74" s="102" t="s">
        <v>624</v>
      </c>
      <c r="C74" s="106" t="s">
        <v>612</v>
      </c>
      <c r="D74" s="107" t="s">
        <v>461</v>
      </c>
      <c r="E74" s="105">
        <v>34.119999999999997</v>
      </c>
      <c r="F74" s="11">
        <v>17.41</v>
      </c>
      <c r="G74" s="52">
        <f t="shared" si="11"/>
        <v>28.179708000000002</v>
      </c>
      <c r="H74" s="11">
        <v>48.42</v>
      </c>
      <c r="I74" s="11">
        <v>3.09</v>
      </c>
      <c r="J74" s="11">
        <v>0.67</v>
      </c>
      <c r="K74" s="57">
        <v>2354</v>
      </c>
      <c r="L74" s="58">
        <f t="shared" ref="L74:L137" si="16">G74*H74/100</f>
        <v>13.6446146136</v>
      </c>
      <c r="M74" s="58">
        <f t="shared" ref="M74:M137" si="17">G74*I74/100</f>
        <v>0.8707529772</v>
      </c>
      <c r="N74" s="58">
        <f t="shared" ref="N74:N137" si="18">G74*J74/100</f>
        <v>0.1888040436</v>
      </c>
      <c r="O74" s="58">
        <f t="shared" ref="O74:O137" si="19">G74*K74/1000</f>
        <v>66.335032631999994</v>
      </c>
    </row>
    <row r="75" spans="1:15" ht="15.9" customHeight="1">
      <c r="A75" s="101">
        <v>45533</v>
      </c>
      <c r="B75" s="102" t="s">
        <v>625</v>
      </c>
      <c r="C75" s="106" t="s">
        <v>548</v>
      </c>
      <c r="D75" s="107" t="s">
        <v>462</v>
      </c>
      <c r="E75" s="105">
        <v>33.04</v>
      </c>
      <c r="F75" s="11">
        <v>18.64</v>
      </c>
      <c r="G75" s="52">
        <f t="shared" si="11"/>
        <v>26.881343999999999</v>
      </c>
      <c r="H75" s="11">
        <v>47.77</v>
      </c>
      <c r="I75" s="11">
        <v>2.93</v>
      </c>
      <c r="J75" s="11">
        <v>0.68</v>
      </c>
      <c r="K75" s="57">
        <v>2355</v>
      </c>
      <c r="L75" s="58">
        <f t="shared" si="16"/>
        <v>12.8412180288</v>
      </c>
      <c r="M75" s="58">
        <f t="shared" si="17"/>
        <v>0.78762337920000003</v>
      </c>
      <c r="N75" s="58">
        <f t="shared" si="18"/>
        <v>0.18279313920000001</v>
      </c>
      <c r="O75" s="58">
        <f t="shared" si="19"/>
        <v>63.305565119999997</v>
      </c>
    </row>
    <row r="76" spans="1:15" ht="15.9" customHeight="1">
      <c r="A76" s="101">
        <v>45534</v>
      </c>
      <c r="B76" s="102" t="s">
        <v>626</v>
      </c>
      <c r="C76" s="106" t="s">
        <v>541</v>
      </c>
      <c r="D76" s="107" t="s">
        <v>463</v>
      </c>
      <c r="E76" s="105">
        <v>32.74</v>
      </c>
      <c r="F76" s="11">
        <v>18.16</v>
      </c>
      <c r="G76" s="52">
        <f t="shared" si="11"/>
        <v>26.794415999999998</v>
      </c>
      <c r="H76" s="11">
        <v>48.08</v>
      </c>
      <c r="I76" s="11">
        <v>3.28</v>
      </c>
      <c r="J76" s="11">
        <v>0.67</v>
      </c>
      <c r="K76" s="57">
        <v>2349</v>
      </c>
      <c r="L76" s="58">
        <f t="shared" si="16"/>
        <v>12.882755212799999</v>
      </c>
      <c r="M76" s="58">
        <f t="shared" si="17"/>
        <v>0.87885684480000004</v>
      </c>
      <c r="N76" s="58">
        <f t="shared" si="18"/>
        <v>0.1795225872</v>
      </c>
      <c r="O76" s="58">
        <f t="shared" si="19"/>
        <v>62.940083184000002</v>
      </c>
    </row>
    <row r="77" spans="1:15" ht="15.9" customHeight="1">
      <c r="A77" s="101">
        <v>45534</v>
      </c>
      <c r="B77" s="102" t="s">
        <v>627</v>
      </c>
      <c r="C77" s="106" t="s">
        <v>543</v>
      </c>
      <c r="D77" s="107" t="s">
        <v>464</v>
      </c>
      <c r="E77" s="105">
        <v>33.08</v>
      </c>
      <c r="F77" s="11">
        <v>18.3</v>
      </c>
      <c r="G77" s="52">
        <f t="shared" si="11"/>
        <v>27.02636</v>
      </c>
      <c r="H77" s="11">
        <v>48.12</v>
      </c>
      <c r="I77" s="11">
        <v>3.26</v>
      </c>
      <c r="J77" s="11">
        <v>0.67</v>
      </c>
      <c r="K77" s="57">
        <v>2385</v>
      </c>
      <c r="L77" s="58">
        <f t="shared" si="16"/>
        <v>13.005084432</v>
      </c>
      <c r="M77" s="58">
        <f t="shared" si="17"/>
        <v>0.88105933599999997</v>
      </c>
      <c r="N77" s="58">
        <f t="shared" si="18"/>
        <v>0.181076612</v>
      </c>
      <c r="O77" s="58">
        <f t="shared" si="19"/>
        <v>64.457868599999998</v>
      </c>
    </row>
    <row r="78" spans="1:15" ht="15.9" customHeight="1">
      <c r="A78" s="101">
        <v>45534</v>
      </c>
      <c r="B78" s="102" t="s">
        <v>628</v>
      </c>
      <c r="C78" s="106" t="s">
        <v>542</v>
      </c>
      <c r="D78" s="107" t="s">
        <v>465</v>
      </c>
      <c r="E78" s="105">
        <v>33.92</v>
      </c>
      <c r="F78" s="11">
        <v>18.12</v>
      </c>
      <c r="G78" s="52">
        <f t="shared" si="11"/>
        <v>27.773696000000001</v>
      </c>
      <c r="H78" s="11">
        <v>48.79</v>
      </c>
      <c r="I78" s="11">
        <v>3.54</v>
      </c>
      <c r="J78" s="11">
        <v>0.69</v>
      </c>
      <c r="K78" s="57">
        <v>2369</v>
      </c>
      <c r="L78" s="58">
        <f t="shared" si="16"/>
        <v>13.5507862784</v>
      </c>
      <c r="M78" s="58">
        <f t="shared" si="17"/>
        <v>0.98318883840000004</v>
      </c>
      <c r="N78" s="58">
        <f t="shared" si="18"/>
        <v>0.19163850239999999</v>
      </c>
      <c r="O78" s="58">
        <f t="shared" si="19"/>
        <v>65.795885823999996</v>
      </c>
    </row>
    <row r="79" spans="1:15" ht="15.9" customHeight="1">
      <c r="A79" s="101">
        <v>45534</v>
      </c>
      <c r="B79" s="102" t="s">
        <v>629</v>
      </c>
      <c r="C79" s="106" t="s">
        <v>550</v>
      </c>
      <c r="D79" s="107" t="s">
        <v>466</v>
      </c>
      <c r="E79" s="105">
        <v>33.46</v>
      </c>
      <c r="F79" s="11">
        <v>18.36</v>
      </c>
      <c r="G79" s="52">
        <f t="shared" si="11"/>
        <v>27.316744</v>
      </c>
      <c r="H79" s="11">
        <v>48.26</v>
      </c>
      <c r="I79" s="11">
        <v>3.26</v>
      </c>
      <c r="J79" s="11">
        <v>0.69</v>
      </c>
      <c r="K79" s="57">
        <v>2347</v>
      </c>
      <c r="L79" s="58">
        <f t="shared" si="16"/>
        <v>13.1830606544</v>
      </c>
      <c r="M79" s="58">
        <f t="shared" si="17"/>
        <v>0.89052585439999998</v>
      </c>
      <c r="N79" s="58">
        <f t="shared" si="18"/>
        <v>0.1884855336</v>
      </c>
      <c r="O79" s="58">
        <f t="shared" si="19"/>
        <v>64.112398167999999</v>
      </c>
    </row>
    <row r="80" spans="1:15" ht="15.9" customHeight="1">
      <c r="A80" s="101">
        <v>45534</v>
      </c>
      <c r="B80" s="102" t="s">
        <v>630</v>
      </c>
      <c r="C80" s="106" t="s">
        <v>631</v>
      </c>
      <c r="D80" s="107" t="s">
        <v>467</v>
      </c>
      <c r="E80" s="105">
        <v>31.78</v>
      </c>
      <c r="F80" s="11">
        <v>18.34</v>
      </c>
      <c r="G80" s="52">
        <f t="shared" si="11"/>
        <v>25.951547999999999</v>
      </c>
      <c r="H80" s="11">
        <v>48.3</v>
      </c>
      <c r="I80" s="11">
        <v>3.47</v>
      </c>
      <c r="J80" s="11">
        <v>0.66</v>
      </c>
      <c r="K80" s="57">
        <v>2378</v>
      </c>
      <c r="L80" s="58">
        <f t="shared" si="16"/>
        <v>12.534597684</v>
      </c>
      <c r="M80" s="58">
        <f t="shared" si="17"/>
        <v>0.90051871559999996</v>
      </c>
      <c r="N80" s="58">
        <f t="shared" si="18"/>
        <v>0.1712802168</v>
      </c>
      <c r="O80" s="58">
        <f t="shared" si="19"/>
        <v>61.712781143999997</v>
      </c>
    </row>
    <row r="81" spans="1:15" ht="15.9" customHeight="1">
      <c r="A81" s="101">
        <v>45534</v>
      </c>
      <c r="B81" s="102" t="s">
        <v>632</v>
      </c>
      <c r="C81" s="106" t="s">
        <v>554</v>
      </c>
      <c r="D81" s="107" t="s">
        <v>468</v>
      </c>
      <c r="E81" s="105">
        <v>33.46</v>
      </c>
      <c r="F81" s="11">
        <v>17.47</v>
      </c>
      <c r="G81" s="52">
        <f t="shared" si="11"/>
        <v>27.614538</v>
      </c>
      <c r="H81" s="11">
        <v>49.92</v>
      </c>
      <c r="I81" s="11">
        <v>3.66</v>
      </c>
      <c r="J81" s="11">
        <v>0.69</v>
      </c>
      <c r="K81" s="57">
        <v>2415</v>
      </c>
      <c r="L81" s="58">
        <f t="shared" si="16"/>
        <v>13.7851773696</v>
      </c>
      <c r="M81" s="58">
        <f t="shared" si="17"/>
        <v>1.0106920908000001</v>
      </c>
      <c r="N81" s="58">
        <f t="shared" si="18"/>
        <v>0.19054031220000001</v>
      </c>
      <c r="O81" s="58">
        <f t="shared" si="19"/>
        <v>66.689109270000003</v>
      </c>
    </row>
    <row r="82" spans="1:15" ht="15.9" customHeight="1">
      <c r="A82" s="101">
        <v>45534</v>
      </c>
      <c r="B82" s="102" t="s">
        <v>633</v>
      </c>
      <c r="C82" s="106" t="s">
        <v>544</v>
      </c>
      <c r="D82" s="107" t="s">
        <v>469</v>
      </c>
      <c r="E82" s="105">
        <v>34.24</v>
      </c>
      <c r="F82" s="11">
        <v>18.059999999999999</v>
      </c>
      <c r="G82" s="52">
        <f t="shared" si="11"/>
        <v>28.056256000000001</v>
      </c>
      <c r="H82" s="11">
        <v>48.79</v>
      </c>
      <c r="I82" s="11">
        <v>3.47</v>
      </c>
      <c r="J82" s="11">
        <v>0.69</v>
      </c>
      <c r="K82" s="57">
        <v>2373</v>
      </c>
      <c r="L82" s="58">
        <f t="shared" si="16"/>
        <v>13.6886473024</v>
      </c>
      <c r="M82" s="58">
        <f t="shared" si="17"/>
        <v>0.97355208319999997</v>
      </c>
      <c r="N82" s="58">
        <f t="shared" si="18"/>
        <v>0.19358816640000001</v>
      </c>
      <c r="O82" s="58">
        <f t="shared" si="19"/>
        <v>66.577495487999997</v>
      </c>
    </row>
    <row r="83" spans="1:15" ht="15.9" customHeight="1">
      <c r="A83" s="101">
        <v>45535</v>
      </c>
      <c r="B83" s="102" t="s">
        <v>634</v>
      </c>
      <c r="C83" s="106" t="s">
        <v>554</v>
      </c>
      <c r="D83" s="107" t="s">
        <v>470</v>
      </c>
      <c r="E83" s="105">
        <v>33.24</v>
      </c>
      <c r="F83" s="11">
        <v>16.79</v>
      </c>
      <c r="G83" s="52">
        <f t="shared" si="11"/>
        <v>27.659003999999999</v>
      </c>
      <c r="H83" s="11">
        <v>50.25</v>
      </c>
      <c r="I83" s="11">
        <v>3.3</v>
      </c>
      <c r="J83" s="11">
        <v>0.73</v>
      </c>
      <c r="K83" s="57">
        <v>2470</v>
      </c>
      <c r="L83" s="58">
        <f t="shared" si="16"/>
        <v>13.89864951</v>
      </c>
      <c r="M83" s="58">
        <f t="shared" si="17"/>
        <v>0.91274713200000002</v>
      </c>
      <c r="N83" s="58">
        <f t="shared" si="18"/>
        <v>0.2019107292</v>
      </c>
      <c r="O83" s="58">
        <f t="shared" si="19"/>
        <v>68.317739880000005</v>
      </c>
    </row>
    <row r="84" spans="1:15" ht="15.9" customHeight="1">
      <c r="A84" s="101">
        <v>45535</v>
      </c>
      <c r="B84" s="102" t="s">
        <v>635</v>
      </c>
      <c r="C84" s="106" t="s">
        <v>548</v>
      </c>
      <c r="D84" s="107" t="s">
        <v>471</v>
      </c>
      <c r="E84" s="105">
        <v>33.72</v>
      </c>
      <c r="F84" s="11">
        <v>16.18</v>
      </c>
      <c r="G84" s="52">
        <f t="shared" si="11"/>
        <v>28.264104</v>
      </c>
      <c r="H84" s="11">
        <v>51.2</v>
      </c>
      <c r="I84" s="11">
        <v>3.35</v>
      </c>
      <c r="J84" s="11">
        <v>0.71</v>
      </c>
      <c r="K84" s="57">
        <v>2511</v>
      </c>
      <c r="L84" s="58">
        <f t="shared" si="16"/>
        <v>14.471221248000001</v>
      </c>
      <c r="M84" s="58">
        <f t="shared" si="17"/>
        <v>0.94684748399999996</v>
      </c>
      <c r="N84" s="58">
        <f t="shared" si="18"/>
        <v>0.20067513840000001</v>
      </c>
      <c r="O84" s="58">
        <f t="shared" si="19"/>
        <v>70.971165143999997</v>
      </c>
    </row>
    <row r="85" spans="1:15" ht="15.9" customHeight="1">
      <c r="A85" s="101">
        <v>45535</v>
      </c>
      <c r="B85" s="102" t="s">
        <v>636</v>
      </c>
      <c r="C85" s="106" t="s">
        <v>550</v>
      </c>
      <c r="D85" s="107" t="s">
        <v>472</v>
      </c>
      <c r="E85" s="105">
        <v>33.46</v>
      </c>
      <c r="F85" s="11">
        <v>17.59</v>
      </c>
      <c r="G85" s="52">
        <f t="shared" si="11"/>
        <v>27.574386000000001</v>
      </c>
      <c r="H85" s="11">
        <v>48.76</v>
      </c>
      <c r="I85" s="11">
        <v>3.26</v>
      </c>
      <c r="J85" s="11">
        <v>0.69</v>
      </c>
      <c r="K85" s="57">
        <v>2372</v>
      </c>
      <c r="L85" s="58">
        <f t="shared" si="16"/>
        <v>13.4452706136</v>
      </c>
      <c r="M85" s="58">
        <f t="shared" si="17"/>
        <v>0.89892498359999995</v>
      </c>
      <c r="N85" s="58">
        <f t="shared" si="18"/>
        <v>0.19026326339999999</v>
      </c>
      <c r="O85" s="58">
        <f t="shared" si="19"/>
        <v>65.406443592000002</v>
      </c>
    </row>
    <row r="86" spans="1:15" ht="15.9" customHeight="1">
      <c r="A86" s="101">
        <v>45535</v>
      </c>
      <c r="B86" s="102" t="s">
        <v>637</v>
      </c>
      <c r="C86" s="106" t="s">
        <v>612</v>
      </c>
      <c r="D86" s="107" t="s">
        <v>473</v>
      </c>
      <c r="E86" s="105">
        <v>33.68</v>
      </c>
      <c r="F86" s="11">
        <v>16.72</v>
      </c>
      <c r="G86" s="52">
        <f t="shared" si="11"/>
        <v>28.048704000000001</v>
      </c>
      <c r="H86" s="11">
        <v>50.51</v>
      </c>
      <c r="I86" s="11">
        <v>3.26</v>
      </c>
      <c r="J86" s="11">
        <v>0.71</v>
      </c>
      <c r="K86" s="57">
        <v>2459</v>
      </c>
      <c r="L86" s="58">
        <f t="shared" si="16"/>
        <v>14.167400390399999</v>
      </c>
      <c r="M86" s="58">
        <f t="shared" si="17"/>
        <v>0.91438775039999998</v>
      </c>
      <c r="N86" s="58">
        <f t="shared" si="18"/>
        <v>0.19914579839999999</v>
      </c>
      <c r="O86" s="58">
        <f t="shared" si="19"/>
        <v>68.971763136000007</v>
      </c>
    </row>
    <row r="87" spans="1:15" ht="15.9" customHeight="1">
      <c r="A87" s="101">
        <v>45535</v>
      </c>
      <c r="B87" s="102" t="s">
        <v>638</v>
      </c>
      <c r="C87" s="106" t="s">
        <v>541</v>
      </c>
      <c r="D87" s="107" t="s">
        <v>474</v>
      </c>
      <c r="E87" s="105">
        <v>32.840000000000003</v>
      </c>
      <c r="F87" s="11">
        <v>16.62</v>
      </c>
      <c r="G87" s="52">
        <f t="shared" si="11"/>
        <v>27.381992</v>
      </c>
      <c r="H87" s="11">
        <v>50.71</v>
      </c>
      <c r="I87" s="11">
        <v>3.45</v>
      </c>
      <c r="J87" s="11">
        <v>0.7</v>
      </c>
      <c r="K87" s="57">
        <v>2441</v>
      </c>
      <c r="L87" s="58">
        <f t="shared" si="16"/>
        <v>13.885408143199999</v>
      </c>
      <c r="M87" s="58">
        <f t="shared" si="17"/>
        <v>0.94467872399999997</v>
      </c>
      <c r="N87" s="58">
        <f t="shared" si="18"/>
        <v>0.19167394400000001</v>
      </c>
      <c r="O87" s="58">
        <f t="shared" si="19"/>
        <v>66.839442472000002</v>
      </c>
    </row>
    <row r="88" spans="1:15" ht="15.9" customHeight="1">
      <c r="A88" s="101">
        <v>45535</v>
      </c>
      <c r="B88" s="102" t="s">
        <v>639</v>
      </c>
      <c r="C88" s="106" t="s">
        <v>543</v>
      </c>
      <c r="D88" s="107" t="s">
        <v>475</v>
      </c>
      <c r="E88" s="105">
        <v>33.08</v>
      </c>
      <c r="F88" s="11">
        <v>16.03</v>
      </c>
      <c r="G88" s="52">
        <f t="shared" si="11"/>
        <v>27.777276000000001</v>
      </c>
      <c r="H88" s="11">
        <v>51.12</v>
      </c>
      <c r="I88" s="11">
        <v>3.26</v>
      </c>
      <c r="J88" s="11">
        <v>0.74</v>
      </c>
      <c r="K88" s="57">
        <v>2516</v>
      </c>
      <c r="L88" s="58">
        <f t="shared" si="16"/>
        <v>14.1997434912</v>
      </c>
      <c r="M88" s="58">
        <f t="shared" si="17"/>
        <v>0.90553919760000001</v>
      </c>
      <c r="N88" s="58">
        <f t="shared" si="18"/>
        <v>0.20555184239999999</v>
      </c>
      <c r="O88" s="58">
        <f t="shared" si="19"/>
        <v>69.887626416000003</v>
      </c>
    </row>
    <row r="89" spans="1:15" ht="15.9" customHeight="1">
      <c r="A89" s="101">
        <v>45535</v>
      </c>
      <c r="B89" s="102" t="s">
        <v>640</v>
      </c>
      <c r="C89" s="106" t="s">
        <v>545</v>
      </c>
      <c r="D89" s="107" t="s">
        <v>476</v>
      </c>
      <c r="E89" s="105">
        <v>34.92</v>
      </c>
      <c r="F89" s="11">
        <v>16.86</v>
      </c>
      <c r="G89" s="52">
        <f t="shared" si="11"/>
        <v>29.032488000000001</v>
      </c>
      <c r="H89" s="11">
        <v>50.48</v>
      </c>
      <c r="I89" s="11">
        <v>3.3</v>
      </c>
      <c r="J89" s="11">
        <v>0.71</v>
      </c>
      <c r="K89" s="57">
        <v>2492</v>
      </c>
      <c r="L89" s="58">
        <f t="shared" si="16"/>
        <v>14.6555999424</v>
      </c>
      <c r="M89" s="58">
        <f t="shared" si="17"/>
        <v>0.95807210399999998</v>
      </c>
      <c r="N89" s="58">
        <f t="shared" si="18"/>
        <v>0.2061306648</v>
      </c>
      <c r="O89" s="58">
        <f t="shared" si="19"/>
        <v>72.348960095999999</v>
      </c>
    </row>
    <row r="90" spans="1:15" ht="15.9" customHeight="1">
      <c r="A90" s="101">
        <v>45535</v>
      </c>
      <c r="B90" s="102" t="s">
        <v>641</v>
      </c>
      <c r="C90" s="106" t="s">
        <v>642</v>
      </c>
      <c r="D90" s="107" t="s">
        <v>477</v>
      </c>
      <c r="E90" s="105">
        <v>32.299999999999997</v>
      </c>
      <c r="F90" s="11">
        <v>16.09</v>
      </c>
      <c r="G90" s="52">
        <f t="shared" si="11"/>
        <v>27.102930000000001</v>
      </c>
      <c r="H90" s="11">
        <v>51.53</v>
      </c>
      <c r="I90" s="11">
        <v>3.35</v>
      </c>
      <c r="J90" s="11">
        <v>0.72</v>
      </c>
      <c r="K90" s="57">
        <v>2496</v>
      </c>
      <c r="L90" s="58">
        <f t="shared" si="16"/>
        <v>13.966139828999999</v>
      </c>
      <c r="M90" s="58">
        <f t="shared" si="17"/>
        <v>0.90794815500000003</v>
      </c>
      <c r="N90" s="58">
        <f t="shared" si="18"/>
        <v>0.19514109600000001</v>
      </c>
      <c r="O90" s="58">
        <f t="shared" si="19"/>
        <v>67.648913280000002</v>
      </c>
    </row>
    <row r="91" spans="1:15" ht="15.9" customHeight="1">
      <c r="A91" s="101">
        <v>45535</v>
      </c>
      <c r="B91" s="102" t="s">
        <v>643</v>
      </c>
      <c r="C91" s="106" t="s">
        <v>544</v>
      </c>
      <c r="D91" s="107" t="s">
        <v>478</v>
      </c>
      <c r="E91" s="105">
        <v>34.380000000000003</v>
      </c>
      <c r="F91" s="11">
        <v>16.62</v>
      </c>
      <c r="G91" s="52">
        <f t="shared" ref="G91:G150" si="20">E91*(100-F91)/100</f>
        <v>28.666043999999999</v>
      </c>
      <c r="H91" s="11">
        <v>52.55</v>
      </c>
      <c r="I91" s="11">
        <v>3.45</v>
      </c>
      <c r="J91" s="11">
        <v>0.76</v>
      </c>
      <c r="K91" s="57">
        <v>2548</v>
      </c>
      <c r="L91" s="58">
        <f t="shared" si="16"/>
        <v>15.064006122</v>
      </c>
      <c r="M91" s="58">
        <f t="shared" si="17"/>
        <v>0.98897851800000003</v>
      </c>
      <c r="N91" s="58">
        <f t="shared" si="18"/>
        <v>0.21786193440000001</v>
      </c>
      <c r="O91" s="58">
        <f t="shared" si="19"/>
        <v>73.041080112000003</v>
      </c>
    </row>
    <row r="92" spans="1:15" ht="15.9" customHeight="1">
      <c r="A92" s="101">
        <v>45535</v>
      </c>
      <c r="B92" s="102" t="s">
        <v>644</v>
      </c>
      <c r="C92" s="106" t="s">
        <v>542</v>
      </c>
      <c r="D92" s="107" t="s">
        <v>479</v>
      </c>
      <c r="E92" s="105">
        <v>34.28</v>
      </c>
      <c r="F92" s="11">
        <v>17.53</v>
      </c>
      <c r="G92" s="52">
        <f t="shared" si="20"/>
        <v>28.270716</v>
      </c>
      <c r="H92" s="11">
        <v>51.24</v>
      </c>
      <c r="I92" s="11">
        <v>3.45</v>
      </c>
      <c r="J92" s="11">
        <v>0.72</v>
      </c>
      <c r="K92" s="57">
        <v>2437</v>
      </c>
      <c r="L92" s="58">
        <f t="shared" si="16"/>
        <v>14.485914878399999</v>
      </c>
      <c r="M92" s="58">
        <f t="shared" si="17"/>
        <v>0.97533970199999998</v>
      </c>
      <c r="N92" s="58">
        <f t="shared" si="18"/>
        <v>0.2035491552</v>
      </c>
      <c r="O92" s="58">
        <f t="shared" si="19"/>
        <v>68.895734891999993</v>
      </c>
    </row>
    <row r="93" spans="1:15" ht="15.9" customHeight="1">
      <c r="A93" s="101">
        <v>45535</v>
      </c>
      <c r="B93" s="102" t="s">
        <v>645</v>
      </c>
      <c r="C93" s="106" t="s">
        <v>540</v>
      </c>
      <c r="D93" s="107" t="s">
        <v>480</v>
      </c>
      <c r="E93" s="105">
        <v>33.08</v>
      </c>
      <c r="F93" s="11">
        <v>16.920000000000002</v>
      </c>
      <c r="G93" s="52">
        <f t="shared" si="20"/>
        <v>27.482863999999999</v>
      </c>
      <c r="H93" s="11">
        <v>51.43</v>
      </c>
      <c r="I93" s="11">
        <v>3.35</v>
      </c>
      <c r="J93" s="11">
        <v>0.73</v>
      </c>
      <c r="K93" s="57">
        <v>2497</v>
      </c>
      <c r="L93" s="58">
        <f t="shared" si="16"/>
        <v>14.1344369552</v>
      </c>
      <c r="M93" s="58">
        <f t="shared" si="17"/>
        <v>0.92067594399999997</v>
      </c>
      <c r="N93" s="58">
        <f t="shared" si="18"/>
        <v>0.20062490720000001</v>
      </c>
      <c r="O93" s="58">
        <f t="shared" si="19"/>
        <v>68.624711407999996</v>
      </c>
    </row>
    <row r="94" spans="1:15" ht="15.9" customHeight="1">
      <c r="A94" s="101">
        <v>45536</v>
      </c>
      <c r="B94" s="102" t="s">
        <v>646</v>
      </c>
      <c r="C94" s="106" t="s">
        <v>548</v>
      </c>
      <c r="D94" s="107" t="s">
        <v>481</v>
      </c>
      <c r="E94" s="105">
        <v>33.08</v>
      </c>
      <c r="F94" s="11">
        <v>16.73</v>
      </c>
      <c r="G94" s="52">
        <f t="shared" si="20"/>
        <v>27.545715999999999</v>
      </c>
      <c r="H94" s="11">
        <v>51.24</v>
      </c>
      <c r="I94" s="11">
        <v>3.47</v>
      </c>
      <c r="J94" s="11">
        <v>0.74</v>
      </c>
      <c r="K94" s="57">
        <v>2469</v>
      </c>
      <c r="L94" s="58">
        <f t="shared" si="16"/>
        <v>14.114424878399999</v>
      </c>
      <c r="M94" s="58">
        <f t="shared" si="17"/>
        <v>0.95583634520000005</v>
      </c>
      <c r="N94" s="58">
        <f t="shared" si="18"/>
        <v>0.20383829840000001</v>
      </c>
      <c r="O94" s="58">
        <f t="shared" si="19"/>
        <v>68.010372803999999</v>
      </c>
    </row>
    <row r="95" spans="1:15" ht="15.9" customHeight="1">
      <c r="A95" s="101">
        <v>45536</v>
      </c>
      <c r="B95" s="102" t="s">
        <v>647</v>
      </c>
      <c r="C95" s="106" t="s">
        <v>545</v>
      </c>
      <c r="D95" s="107" t="s">
        <v>482</v>
      </c>
      <c r="E95" s="105">
        <v>34.5</v>
      </c>
      <c r="F95" s="11">
        <v>16.739999999999998</v>
      </c>
      <c r="G95" s="52">
        <f t="shared" si="20"/>
        <v>28.724699999999999</v>
      </c>
      <c r="H95" s="11">
        <v>49.58</v>
      </c>
      <c r="I95" s="11">
        <v>3.59</v>
      </c>
      <c r="J95" s="11">
        <v>0.72</v>
      </c>
      <c r="K95" s="57">
        <v>2374</v>
      </c>
      <c r="L95" s="58">
        <f t="shared" si="16"/>
        <v>14.241706260000001</v>
      </c>
      <c r="M95" s="58">
        <f t="shared" si="17"/>
        <v>1.0312167299999999</v>
      </c>
      <c r="N95" s="58">
        <f t="shared" si="18"/>
        <v>0.20681784</v>
      </c>
      <c r="O95" s="58">
        <f t="shared" si="19"/>
        <v>68.192437799999993</v>
      </c>
    </row>
    <row r="96" spans="1:15" ht="15.9" customHeight="1">
      <c r="A96" s="101">
        <v>45536</v>
      </c>
      <c r="B96" s="102" t="s">
        <v>648</v>
      </c>
      <c r="C96" s="106" t="s">
        <v>612</v>
      </c>
      <c r="D96" s="107" t="s">
        <v>483</v>
      </c>
      <c r="E96" s="105">
        <v>33.76</v>
      </c>
      <c r="F96" s="11">
        <v>16.809999999999999</v>
      </c>
      <c r="G96" s="52">
        <f t="shared" si="20"/>
        <v>28.084944</v>
      </c>
      <c r="H96" s="11">
        <v>49.69</v>
      </c>
      <c r="I96" s="11">
        <v>3.8</v>
      </c>
      <c r="J96" s="11">
        <v>0.72</v>
      </c>
      <c r="K96" s="57">
        <v>2449</v>
      </c>
      <c r="L96" s="58">
        <f t="shared" si="16"/>
        <v>13.955408673599999</v>
      </c>
      <c r="M96" s="58">
        <f t="shared" si="17"/>
        <v>1.0672278719999999</v>
      </c>
      <c r="N96" s="58">
        <f t="shared" si="18"/>
        <v>0.2022115968</v>
      </c>
      <c r="O96" s="58">
        <f t="shared" si="19"/>
        <v>68.780027856000004</v>
      </c>
    </row>
    <row r="97" spans="1:15" ht="15.9" customHeight="1">
      <c r="A97" s="101">
        <v>45536</v>
      </c>
      <c r="B97" s="102" t="s">
        <v>649</v>
      </c>
      <c r="C97" s="106" t="s">
        <v>550</v>
      </c>
      <c r="D97" s="107" t="s">
        <v>484</v>
      </c>
      <c r="E97" s="105">
        <v>33.58</v>
      </c>
      <c r="F97" s="11">
        <v>15.76</v>
      </c>
      <c r="G97" s="52">
        <f t="shared" si="20"/>
        <v>28.287792</v>
      </c>
      <c r="H97" s="11">
        <v>51.94</v>
      </c>
      <c r="I97" s="11">
        <v>3.49</v>
      </c>
      <c r="J97" s="11">
        <v>0.74</v>
      </c>
      <c r="K97" s="57">
        <v>2446</v>
      </c>
      <c r="L97" s="58">
        <f t="shared" si="16"/>
        <v>14.692679164799999</v>
      </c>
      <c r="M97" s="58">
        <f t="shared" si="17"/>
        <v>0.9872439408</v>
      </c>
      <c r="N97" s="58">
        <f t="shared" si="18"/>
        <v>0.20932966080000001</v>
      </c>
      <c r="O97" s="58">
        <f t="shared" si="19"/>
        <v>69.191939231999996</v>
      </c>
    </row>
    <row r="98" spans="1:15" ht="15.9" customHeight="1">
      <c r="A98" s="101">
        <v>45536</v>
      </c>
      <c r="B98" s="102" t="s">
        <v>650</v>
      </c>
      <c r="C98" s="106" t="s">
        <v>543</v>
      </c>
      <c r="D98" s="107" t="s">
        <v>485</v>
      </c>
      <c r="E98" s="105">
        <v>33.32</v>
      </c>
      <c r="F98" s="11">
        <v>15.94</v>
      </c>
      <c r="G98" s="52">
        <f t="shared" si="20"/>
        <v>28.008792</v>
      </c>
      <c r="H98" s="11">
        <v>51.05</v>
      </c>
      <c r="I98" s="11">
        <v>3.61</v>
      </c>
      <c r="J98" s="11">
        <v>0.72</v>
      </c>
      <c r="K98" s="57">
        <v>2428</v>
      </c>
      <c r="L98" s="58">
        <f t="shared" si="16"/>
        <v>14.298488316</v>
      </c>
      <c r="M98" s="58">
        <f t="shared" si="17"/>
        <v>1.0111173912</v>
      </c>
      <c r="N98" s="58">
        <f t="shared" si="18"/>
        <v>0.20166330239999999</v>
      </c>
      <c r="O98" s="58">
        <f t="shared" si="19"/>
        <v>68.005346975999998</v>
      </c>
    </row>
    <row r="99" spans="1:15" ht="15.9" customHeight="1">
      <c r="A99" s="101">
        <v>45536</v>
      </c>
      <c r="B99" s="102" t="s">
        <v>651</v>
      </c>
      <c r="C99" s="106" t="s">
        <v>541</v>
      </c>
      <c r="D99" s="107" t="s">
        <v>486</v>
      </c>
      <c r="E99" s="105">
        <v>32.68</v>
      </c>
      <c r="F99" s="11">
        <v>16.14</v>
      </c>
      <c r="G99" s="52">
        <f t="shared" si="20"/>
        <v>27.405448</v>
      </c>
      <c r="H99" s="11">
        <v>51.42</v>
      </c>
      <c r="I99" s="11">
        <v>3.66</v>
      </c>
      <c r="J99" s="11">
        <v>0.74</v>
      </c>
      <c r="K99" s="57">
        <v>2452</v>
      </c>
      <c r="L99" s="58">
        <f t="shared" si="16"/>
        <v>14.0918813616</v>
      </c>
      <c r="M99" s="58">
        <f t="shared" si="17"/>
        <v>1.0030393968</v>
      </c>
      <c r="N99" s="58">
        <f t="shared" si="18"/>
        <v>0.2028003152</v>
      </c>
      <c r="O99" s="58">
        <f t="shared" si="19"/>
        <v>67.198158496000005</v>
      </c>
    </row>
    <row r="100" spans="1:15" ht="15.9" customHeight="1">
      <c r="A100" s="101">
        <v>45536</v>
      </c>
      <c r="B100" s="102" t="s">
        <v>652</v>
      </c>
      <c r="C100" s="106" t="s">
        <v>554</v>
      </c>
      <c r="D100" s="107" t="s">
        <v>487</v>
      </c>
      <c r="E100" s="105">
        <v>33.68</v>
      </c>
      <c r="F100" s="11">
        <v>16.37</v>
      </c>
      <c r="G100" s="52">
        <f t="shared" si="20"/>
        <v>28.166584</v>
      </c>
      <c r="H100" s="11">
        <v>50.71</v>
      </c>
      <c r="I100" s="11">
        <v>3.14</v>
      </c>
      <c r="J100" s="11">
        <v>0.76</v>
      </c>
      <c r="K100" s="57">
        <v>2416</v>
      </c>
      <c r="L100" s="58">
        <f t="shared" si="16"/>
        <v>14.2832747464</v>
      </c>
      <c r="M100" s="58">
        <f t="shared" si="17"/>
        <v>0.88443073760000002</v>
      </c>
      <c r="N100" s="58">
        <f t="shared" si="18"/>
        <v>0.21406603839999999</v>
      </c>
      <c r="O100" s="58">
        <f t="shared" si="19"/>
        <v>68.050466943999993</v>
      </c>
    </row>
    <row r="101" spans="1:15" ht="15.9" customHeight="1">
      <c r="A101" s="101">
        <v>45536</v>
      </c>
      <c r="B101" s="102" t="s">
        <v>653</v>
      </c>
      <c r="C101" s="106" t="s">
        <v>544</v>
      </c>
      <c r="D101" s="107" t="s">
        <v>488</v>
      </c>
      <c r="E101" s="105">
        <v>34.04</v>
      </c>
      <c r="F101" s="11">
        <v>16.100000000000001</v>
      </c>
      <c r="G101" s="52">
        <f t="shared" si="20"/>
        <v>28.559560000000001</v>
      </c>
      <c r="H101" s="11">
        <v>51.39</v>
      </c>
      <c r="I101" s="11">
        <v>3.54</v>
      </c>
      <c r="J101" s="11">
        <v>0.71</v>
      </c>
      <c r="K101" s="57">
        <v>2468</v>
      </c>
      <c r="L101" s="58">
        <f t="shared" si="16"/>
        <v>14.676757884000001</v>
      </c>
      <c r="M101" s="58">
        <f t="shared" si="17"/>
        <v>1.0110084239999999</v>
      </c>
      <c r="N101" s="58">
        <f t="shared" si="18"/>
        <v>0.20277287599999999</v>
      </c>
      <c r="O101" s="58">
        <f t="shared" si="19"/>
        <v>70.484994080000007</v>
      </c>
    </row>
    <row r="102" spans="1:15" ht="15.9" customHeight="1">
      <c r="A102" s="101">
        <v>45536</v>
      </c>
      <c r="B102" s="102" t="s">
        <v>654</v>
      </c>
      <c r="C102" s="106" t="s">
        <v>642</v>
      </c>
      <c r="D102" s="107" t="s">
        <v>489</v>
      </c>
      <c r="E102" s="105">
        <v>32.700000000000003</v>
      </c>
      <c r="F102" s="11">
        <v>16.04</v>
      </c>
      <c r="G102" s="52">
        <f t="shared" si="20"/>
        <v>27.454920000000001</v>
      </c>
      <c r="H102" s="11">
        <v>51.58</v>
      </c>
      <c r="I102" s="11">
        <v>3.16</v>
      </c>
      <c r="J102" s="11">
        <v>0.75</v>
      </c>
      <c r="K102" s="57">
        <v>2471</v>
      </c>
      <c r="L102" s="58">
        <f t="shared" si="16"/>
        <v>14.161247736</v>
      </c>
      <c r="M102" s="58">
        <f t="shared" si="17"/>
        <v>0.86757547199999996</v>
      </c>
      <c r="N102" s="58">
        <f t="shared" si="18"/>
        <v>0.20591190000000001</v>
      </c>
      <c r="O102" s="58">
        <f t="shared" si="19"/>
        <v>67.841107320000006</v>
      </c>
    </row>
    <row r="103" spans="1:15" ht="15.9" customHeight="1">
      <c r="A103" s="101">
        <v>45537</v>
      </c>
      <c r="B103" s="102" t="s">
        <v>655</v>
      </c>
      <c r="C103" s="106" t="s">
        <v>544</v>
      </c>
      <c r="D103" s="107" t="s">
        <v>490</v>
      </c>
      <c r="E103" s="105">
        <v>34.32</v>
      </c>
      <c r="F103" s="11">
        <v>15.56</v>
      </c>
      <c r="G103" s="52">
        <f t="shared" si="20"/>
        <v>28.979807999999998</v>
      </c>
      <c r="H103" s="11">
        <v>52.55</v>
      </c>
      <c r="I103" s="11">
        <v>3.26</v>
      </c>
      <c r="J103" s="11">
        <v>0.78</v>
      </c>
      <c r="K103" s="57">
        <v>2621</v>
      </c>
      <c r="L103" s="58">
        <f t="shared" si="16"/>
        <v>15.228889104</v>
      </c>
      <c r="M103" s="58">
        <f t="shared" si="17"/>
        <v>0.94474174079999995</v>
      </c>
      <c r="N103" s="58">
        <f t="shared" si="18"/>
        <v>0.22604250240000001</v>
      </c>
      <c r="O103" s="58">
        <f t="shared" si="19"/>
        <v>75.956076768000003</v>
      </c>
    </row>
    <row r="104" spans="1:15" ht="15.9" customHeight="1">
      <c r="A104" s="101">
        <v>45537</v>
      </c>
      <c r="B104" s="102" t="s">
        <v>656</v>
      </c>
      <c r="C104" s="106" t="s">
        <v>541</v>
      </c>
      <c r="D104" s="107" t="s">
        <v>491</v>
      </c>
      <c r="E104" s="105">
        <v>32.92</v>
      </c>
      <c r="F104" s="11">
        <v>15.94</v>
      </c>
      <c r="G104" s="52">
        <f t="shared" si="20"/>
        <v>27.672552</v>
      </c>
      <c r="H104" s="11">
        <v>53.38</v>
      </c>
      <c r="I104" s="11">
        <v>3.3</v>
      </c>
      <c r="J104" s="11">
        <v>0.8</v>
      </c>
      <c r="K104" s="57">
        <v>2629</v>
      </c>
      <c r="L104" s="58">
        <f t="shared" si="16"/>
        <v>14.771608257600001</v>
      </c>
      <c r="M104" s="58">
        <f t="shared" si="17"/>
        <v>0.91319421599999995</v>
      </c>
      <c r="N104" s="58">
        <f t="shared" si="18"/>
        <v>0.221380416</v>
      </c>
      <c r="O104" s="58">
        <f t="shared" si="19"/>
        <v>72.751139207999998</v>
      </c>
    </row>
    <row r="105" spans="1:15" ht="15.9" customHeight="1">
      <c r="A105" s="101">
        <v>45537</v>
      </c>
      <c r="B105" s="102" t="s">
        <v>657</v>
      </c>
      <c r="C105" s="106" t="s">
        <v>543</v>
      </c>
      <c r="D105" s="107" t="s">
        <v>492</v>
      </c>
      <c r="E105" s="105">
        <v>32.86</v>
      </c>
      <c r="F105" s="11">
        <v>15.58</v>
      </c>
      <c r="G105" s="52">
        <f t="shared" si="20"/>
        <v>27.740411999999999</v>
      </c>
      <c r="H105" s="11">
        <v>52.7</v>
      </c>
      <c r="I105" s="11">
        <v>3.28</v>
      </c>
      <c r="J105" s="11">
        <v>0.77</v>
      </c>
      <c r="K105" s="57">
        <v>2586</v>
      </c>
      <c r="L105" s="58">
        <f t="shared" si="16"/>
        <v>14.619197123999999</v>
      </c>
      <c r="M105" s="58">
        <f t="shared" si="17"/>
        <v>0.90988551360000003</v>
      </c>
      <c r="N105" s="58">
        <f t="shared" si="18"/>
        <v>0.21360117240000001</v>
      </c>
      <c r="O105" s="58">
        <f t="shared" si="19"/>
        <v>71.736705431999994</v>
      </c>
    </row>
    <row r="106" spans="1:15" ht="15.9" customHeight="1">
      <c r="A106" s="101">
        <v>45537</v>
      </c>
      <c r="B106" s="102" t="s">
        <v>658</v>
      </c>
      <c r="C106" s="106" t="s">
        <v>545</v>
      </c>
      <c r="D106" s="107" t="s">
        <v>493</v>
      </c>
      <c r="E106" s="105">
        <v>34.54</v>
      </c>
      <c r="F106" s="11">
        <v>15.18</v>
      </c>
      <c r="G106" s="52">
        <f t="shared" si="20"/>
        <v>29.296828000000001</v>
      </c>
      <c r="H106" s="11">
        <v>52.93</v>
      </c>
      <c r="I106" s="11">
        <v>3.23</v>
      </c>
      <c r="J106" s="11">
        <v>0.79</v>
      </c>
      <c r="K106" s="57">
        <v>2597</v>
      </c>
      <c r="L106" s="58">
        <f t="shared" si="16"/>
        <v>15.5068110604</v>
      </c>
      <c r="M106" s="58">
        <f t="shared" si="17"/>
        <v>0.94628754439999996</v>
      </c>
      <c r="N106" s="58">
        <f t="shared" si="18"/>
        <v>0.2314449412</v>
      </c>
      <c r="O106" s="58">
        <f t="shared" si="19"/>
        <v>76.083862315999994</v>
      </c>
    </row>
    <row r="107" spans="1:15" ht="15.9" customHeight="1">
      <c r="A107" s="101">
        <v>45537</v>
      </c>
      <c r="B107" s="102" t="s">
        <v>659</v>
      </c>
      <c r="C107" s="106" t="s">
        <v>548</v>
      </c>
      <c r="D107" s="107" t="s">
        <v>494</v>
      </c>
      <c r="E107" s="105">
        <v>33.26</v>
      </c>
      <c r="F107" s="11">
        <v>15.51</v>
      </c>
      <c r="G107" s="52">
        <f t="shared" si="20"/>
        <v>28.101374</v>
      </c>
      <c r="H107" s="11">
        <v>52.93</v>
      </c>
      <c r="I107" s="11">
        <v>3.33</v>
      </c>
      <c r="J107" s="11">
        <v>0.78</v>
      </c>
      <c r="K107" s="57">
        <v>2646</v>
      </c>
      <c r="L107" s="58">
        <f t="shared" si="16"/>
        <v>14.874057258200001</v>
      </c>
      <c r="M107" s="58">
        <f t="shared" si="17"/>
        <v>0.93577575420000003</v>
      </c>
      <c r="N107" s="58">
        <f t="shared" si="18"/>
        <v>0.2191907172</v>
      </c>
      <c r="O107" s="58">
        <f t="shared" si="19"/>
        <v>74.356235604000005</v>
      </c>
    </row>
    <row r="108" spans="1:15" ht="15.9" customHeight="1">
      <c r="A108" s="101">
        <v>45537</v>
      </c>
      <c r="B108" s="102" t="s">
        <v>660</v>
      </c>
      <c r="C108" s="106" t="s">
        <v>542</v>
      </c>
      <c r="D108" s="107" t="s">
        <v>495</v>
      </c>
      <c r="E108" s="105">
        <v>34</v>
      </c>
      <c r="F108" s="11">
        <v>15.51</v>
      </c>
      <c r="G108" s="52">
        <f t="shared" si="20"/>
        <v>28.726600000000001</v>
      </c>
      <c r="H108" s="11">
        <v>51.73</v>
      </c>
      <c r="I108" s="11">
        <v>3.23</v>
      </c>
      <c r="J108" s="11">
        <v>0.75</v>
      </c>
      <c r="K108" s="57">
        <v>2529</v>
      </c>
      <c r="L108" s="58">
        <f t="shared" si="16"/>
        <v>14.860270180000001</v>
      </c>
      <c r="M108" s="58">
        <f t="shared" si="17"/>
        <v>0.92786917999999996</v>
      </c>
      <c r="N108" s="58">
        <f t="shared" si="18"/>
        <v>0.21544949999999999</v>
      </c>
      <c r="O108" s="58">
        <f t="shared" si="19"/>
        <v>72.649571399999999</v>
      </c>
    </row>
    <row r="109" spans="1:15" ht="15.9" customHeight="1">
      <c r="A109" s="101">
        <v>45537</v>
      </c>
      <c r="B109" s="102" t="s">
        <v>661</v>
      </c>
      <c r="C109" s="106" t="s">
        <v>554</v>
      </c>
      <c r="D109" s="107" t="s">
        <v>496</v>
      </c>
      <c r="E109" s="105">
        <v>33.36</v>
      </c>
      <c r="F109" s="11">
        <v>16.84</v>
      </c>
      <c r="G109" s="52">
        <f t="shared" si="20"/>
        <v>27.742176000000001</v>
      </c>
      <c r="H109" s="11">
        <v>50.06</v>
      </c>
      <c r="I109" s="11">
        <v>3.16</v>
      </c>
      <c r="J109" s="11">
        <v>0.73</v>
      </c>
      <c r="K109" s="57">
        <v>2451</v>
      </c>
      <c r="L109" s="58">
        <f t="shared" si="16"/>
        <v>13.887733305599999</v>
      </c>
      <c r="M109" s="58">
        <f t="shared" si="17"/>
        <v>0.87665276160000005</v>
      </c>
      <c r="N109" s="58">
        <f t="shared" si="18"/>
        <v>0.20251788479999999</v>
      </c>
      <c r="O109" s="58">
        <f t="shared" si="19"/>
        <v>67.996073375999998</v>
      </c>
    </row>
    <row r="110" spans="1:15" ht="15.9" customHeight="1">
      <c r="A110" s="101">
        <v>45537</v>
      </c>
      <c r="B110" s="102" t="s">
        <v>662</v>
      </c>
      <c r="C110" s="106" t="s">
        <v>663</v>
      </c>
      <c r="D110" s="107" t="s">
        <v>497</v>
      </c>
      <c r="E110" s="105">
        <v>34.04</v>
      </c>
      <c r="F110" s="11">
        <v>15.22</v>
      </c>
      <c r="G110" s="52">
        <f t="shared" si="20"/>
        <v>28.859112</v>
      </c>
      <c r="H110" s="11">
        <v>52.73</v>
      </c>
      <c r="I110" s="11">
        <v>3.21</v>
      </c>
      <c r="J110" s="11">
        <v>0.77</v>
      </c>
      <c r="K110" s="57">
        <v>2566</v>
      </c>
      <c r="L110" s="58">
        <f t="shared" si="16"/>
        <v>15.2174097576</v>
      </c>
      <c r="M110" s="58">
        <f t="shared" si="17"/>
        <v>0.92637749520000001</v>
      </c>
      <c r="N110" s="58">
        <f t="shared" si="18"/>
        <v>0.2222151624</v>
      </c>
      <c r="O110" s="58">
        <f t="shared" si="19"/>
        <v>74.052481392000004</v>
      </c>
    </row>
    <row r="111" spans="1:15" ht="15.9" customHeight="1">
      <c r="A111" s="101">
        <v>45538</v>
      </c>
      <c r="B111" s="102" t="s">
        <v>664</v>
      </c>
      <c r="C111" s="106" t="s">
        <v>543</v>
      </c>
      <c r="D111" s="107" t="s">
        <v>498</v>
      </c>
      <c r="E111" s="105">
        <v>33.24</v>
      </c>
      <c r="F111" s="11">
        <v>13.47</v>
      </c>
      <c r="G111" s="52">
        <f t="shared" si="20"/>
        <v>28.762571999999999</v>
      </c>
      <c r="H111" s="11">
        <v>56.26</v>
      </c>
      <c r="I111" s="11">
        <v>3.75</v>
      </c>
      <c r="J111" s="11">
        <v>0.92</v>
      </c>
      <c r="K111" s="57">
        <v>2820</v>
      </c>
      <c r="L111" s="58">
        <f t="shared" si="16"/>
        <v>16.181823007199998</v>
      </c>
      <c r="M111" s="58">
        <f t="shared" si="17"/>
        <v>1.07859645</v>
      </c>
      <c r="N111" s="58">
        <f t="shared" si="18"/>
        <v>0.26461566240000001</v>
      </c>
      <c r="O111" s="58">
        <f t="shared" si="19"/>
        <v>81.110453039999996</v>
      </c>
    </row>
    <row r="112" spans="1:15" ht="15.9" customHeight="1">
      <c r="A112" s="101">
        <v>45538</v>
      </c>
      <c r="B112" s="102" t="s">
        <v>665</v>
      </c>
      <c r="C112" s="106" t="s">
        <v>541</v>
      </c>
      <c r="D112" s="107" t="s">
        <v>499</v>
      </c>
      <c r="E112" s="105">
        <v>32.58</v>
      </c>
      <c r="F112" s="11">
        <v>16.43</v>
      </c>
      <c r="G112" s="52">
        <f t="shared" si="20"/>
        <v>27.227105999999999</v>
      </c>
      <c r="H112" s="11">
        <v>51.53</v>
      </c>
      <c r="I112" s="11">
        <v>3.45</v>
      </c>
      <c r="J112" s="11">
        <v>0.78</v>
      </c>
      <c r="K112" s="57">
        <v>2568</v>
      </c>
      <c r="L112" s="58">
        <f t="shared" si="16"/>
        <v>14.0301277218</v>
      </c>
      <c r="M112" s="58">
        <f t="shared" si="17"/>
        <v>0.93933515700000003</v>
      </c>
      <c r="N112" s="58">
        <f t="shared" si="18"/>
        <v>0.21237142680000001</v>
      </c>
      <c r="O112" s="58">
        <f t="shared" si="19"/>
        <v>69.919208208000001</v>
      </c>
    </row>
    <row r="113" spans="1:15" ht="15.9" customHeight="1">
      <c r="A113" s="101">
        <v>45538</v>
      </c>
      <c r="B113" s="102" t="s">
        <v>666</v>
      </c>
      <c r="C113" s="106" t="s">
        <v>550</v>
      </c>
      <c r="D113" s="107" t="s">
        <v>500</v>
      </c>
      <c r="E113" s="105">
        <v>33.159999999999997</v>
      </c>
      <c r="F113" s="11">
        <v>15.28</v>
      </c>
      <c r="G113" s="52">
        <f t="shared" si="20"/>
        <v>28.093152</v>
      </c>
      <c r="H113" s="11">
        <v>52.62</v>
      </c>
      <c r="I113" s="11">
        <v>3.3</v>
      </c>
      <c r="J113" s="11">
        <v>0.83</v>
      </c>
      <c r="K113" s="57">
        <v>2634</v>
      </c>
      <c r="L113" s="58">
        <f t="shared" si="16"/>
        <v>14.782616582399999</v>
      </c>
      <c r="M113" s="58">
        <f t="shared" si="17"/>
        <v>0.92707401599999995</v>
      </c>
      <c r="N113" s="58">
        <f t="shared" si="18"/>
        <v>0.23317316160000001</v>
      </c>
      <c r="O113" s="58">
        <f t="shared" si="19"/>
        <v>73.997362367999997</v>
      </c>
    </row>
    <row r="114" spans="1:15" ht="15.9" customHeight="1">
      <c r="A114" s="101">
        <v>45538</v>
      </c>
      <c r="B114" s="102" t="s">
        <v>667</v>
      </c>
      <c r="C114" s="106" t="s">
        <v>554</v>
      </c>
      <c r="D114" s="107" t="s">
        <v>501</v>
      </c>
      <c r="E114" s="105">
        <v>33.4</v>
      </c>
      <c r="F114" s="11">
        <v>17.41</v>
      </c>
      <c r="G114" s="52">
        <f t="shared" si="20"/>
        <v>27.585059999999999</v>
      </c>
      <c r="H114" s="11">
        <v>51</v>
      </c>
      <c r="I114" s="11">
        <v>3.21</v>
      </c>
      <c r="J114" s="11">
        <v>0.78</v>
      </c>
      <c r="K114" s="57">
        <v>2563</v>
      </c>
      <c r="L114" s="58">
        <f t="shared" si="16"/>
        <v>14.068380599999999</v>
      </c>
      <c r="M114" s="58">
        <f t="shared" si="17"/>
        <v>0.88548042599999999</v>
      </c>
      <c r="N114" s="58">
        <f t="shared" si="18"/>
        <v>0.215163468</v>
      </c>
      <c r="O114" s="58">
        <f t="shared" si="19"/>
        <v>70.700508780000007</v>
      </c>
    </row>
    <row r="115" spans="1:15" ht="15.9" customHeight="1">
      <c r="A115" s="101">
        <v>45538</v>
      </c>
      <c r="B115" s="102" t="s">
        <v>668</v>
      </c>
      <c r="C115" s="106" t="s">
        <v>548</v>
      </c>
      <c r="D115" s="107" t="s">
        <v>502</v>
      </c>
      <c r="E115" s="105">
        <v>33.78</v>
      </c>
      <c r="F115" s="11">
        <v>14.35</v>
      </c>
      <c r="G115" s="52">
        <f t="shared" si="20"/>
        <v>28.932569999999998</v>
      </c>
      <c r="H115" s="11">
        <v>54.9</v>
      </c>
      <c r="I115" s="11">
        <v>3.4</v>
      </c>
      <c r="J115" s="11">
        <v>0.85</v>
      </c>
      <c r="K115" s="57">
        <v>2748</v>
      </c>
      <c r="L115" s="58">
        <f t="shared" si="16"/>
        <v>15.88398093</v>
      </c>
      <c r="M115" s="58">
        <f t="shared" si="17"/>
        <v>0.98370738000000002</v>
      </c>
      <c r="N115" s="58">
        <f t="shared" si="18"/>
        <v>0.24592684500000001</v>
      </c>
      <c r="O115" s="58">
        <f t="shared" si="19"/>
        <v>79.506702360000006</v>
      </c>
    </row>
    <row r="116" spans="1:15" ht="15.9" customHeight="1">
      <c r="A116" s="101">
        <v>45538</v>
      </c>
      <c r="B116" s="102" t="s">
        <v>669</v>
      </c>
      <c r="C116" s="106" t="s">
        <v>542</v>
      </c>
      <c r="D116" s="107" t="s">
        <v>503</v>
      </c>
      <c r="E116" s="105">
        <v>34.18</v>
      </c>
      <c r="F116" s="11">
        <v>15.26</v>
      </c>
      <c r="G116" s="52">
        <f t="shared" si="20"/>
        <v>28.964131999999999</v>
      </c>
      <c r="H116" s="11">
        <v>53.75</v>
      </c>
      <c r="I116" s="11">
        <v>3.4</v>
      </c>
      <c r="J116" s="11">
        <v>0.75</v>
      </c>
      <c r="K116" s="57">
        <v>2689</v>
      </c>
      <c r="L116" s="58">
        <f t="shared" si="16"/>
        <v>15.568220950000001</v>
      </c>
      <c r="M116" s="58">
        <f t="shared" si="17"/>
        <v>0.98478048799999995</v>
      </c>
      <c r="N116" s="58">
        <f t="shared" si="18"/>
        <v>0.21723099000000001</v>
      </c>
      <c r="O116" s="58">
        <f t="shared" si="19"/>
        <v>77.884550947999998</v>
      </c>
    </row>
    <row r="117" spans="1:15" ht="15.9" customHeight="1">
      <c r="A117" s="101">
        <v>45538</v>
      </c>
      <c r="B117" s="102" t="s">
        <v>670</v>
      </c>
      <c r="C117" s="106" t="s">
        <v>612</v>
      </c>
      <c r="D117" s="107" t="s">
        <v>504</v>
      </c>
      <c r="E117" s="105">
        <v>34.06</v>
      </c>
      <c r="F117" s="11">
        <v>15</v>
      </c>
      <c r="G117" s="52">
        <f t="shared" si="20"/>
        <v>28.951000000000001</v>
      </c>
      <c r="H117" s="11">
        <v>50.89</v>
      </c>
      <c r="I117" s="11">
        <v>3.26</v>
      </c>
      <c r="J117" s="11">
        <v>0.74</v>
      </c>
      <c r="K117" s="57">
        <v>2480</v>
      </c>
      <c r="L117" s="58">
        <f t="shared" si="16"/>
        <v>14.733163899999999</v>
      </c>
      <c r="M117" s="58">
        <f t="shared" si="17"/>
        <v>0.94380260000000005</v>
      </c>
      <c r="N117" s="58">
        <f t="shared" si="18"/>
        <v>0.21423739999999999</v>
      </c>
      <c r="O117" s="58">
        <f t="shared" si="19"/>
        <v>71.798479999999998</v>
      </c>
    </row>
    <row r="118" spans="1:15" ht="15.9" customHeight="1">
      <c r="A118" s="101">
        <v>45538</v>
      </c>
      <c r="B118" s="102" t="s">
        <v>671</v>
      </c>
      <c r="C118" s="106" t="s">
        <v>545</v>
      </c>
      <c r="D118" s="107" t="s">
        <v>505</v>
      </c>
      <c r="E118" s="105">
        <v>34.5</v>
      </c>
      <c r="F118" s="11">
        <v>14.44</v>
      </c>
      <c r="G118" s="52">
        <f t="shared" si="20"/>
        <v>29.5182</v>
      </c>
      <c r="H118" s="11">
        <v>53.93</v>
      </c>
      <c r="I118" s="11">
        <v>3.71</v>
      </c>
      <c r="J118" s="11">
        <v>0.88</v>
      </c>
      <c r="K118" s="57">
        <v>2710</v>
      </c>
      <c r="L118" s="58">
        <f t="shared" si="16"/>
        <v>15.91916526</v>
      </c>
      <c r="M118" s="58">
        <f t="shared" si="17"/>
        <v>1.0951252199999999</v>
      </c>
      <c r="N118" s="58">
        <f t="shared" si="18"/>
        <v>0.25976016000000002</v>
      </c>
      <c r="O118" s="58">
        <f t="shared" si="19"/>
        <v>79.994321999999997</v>
      </c>
    </row>
    <row r="119" spans="1:15" ht="15.9" customHeight="1">
      <c r="A119" s="101">
        <v>45538</v>
      </c>
      <c r="B119" s="102" t="s">
        <v>672</v>
      </c>
      <c r="C119" s="106" t="s">
        <v>544</v>
      </c>
      <c r="D119" s="107" t="s">
        <v>506</v>
      </c>
      <c r="E119" s="105">
        <v>34.26</v>
      </c>
      <c r="F119" s="11">
        <v>14.34</v>
      </c>
      <c r="G119" s="52">
        <f t="shared" si="20"/>
        <v>29.347116</v>
      </c>
      <c r="H119" s="11">
        <v>53.78</v>
      </c>
      <c r="I119" s="11">
        <v>3.75</v>
      </c>
      <c r="J119" s="11">
        <v>0.85</v>
      </c>
      <c r="K119" s="57">
        <v>2680</v>
      </c>
      <c r="L119" s="58">
        <f t="shared" si="16"/>
        <v>15.7828789848</v>
      </c>
      <c r="M119" s="58">
        <f t="shared" si="17"/>
        <v>1.10051685</v>
      </c>
      <c r="N119" s="58">
        <f t="shared" si="18"/>
        <v>0.249450486</v>
      </c>
      <c r="O119" s="58">
        <f t="shared" si="19"/>
        <v>78.650270879999994</v>
      </c>
    </row>
    <row r="120" spans="1:15" ht="15.9" customHeight="1">
      <c r="A120" s="101">
        <v>45539</v>
      </c>
      <c r="B120" s="102" t="s">
        <v>673</v>
      </c>
      <c r="C120" s="106" t="s">
        <v>550</v>
      </c>
      <c r="D120" s="107" t="s">
        <v>507</v>
      </c>
      <c r="E120" s="105">
        <v>33.659999999999997</v>
      </c>
      <c r="F120" s="11">
        <v>14.16</v>
      </c>
      <c r="G120" s="52">
        <f t="shared" si="20"/>
        <v>28.893744000000002</v>
      </c>
      <c r="H120" s="11">
        <v>54.95</v>
      </c>
      <c r="I120" s="11">
        <v>3.66</v>
      </c>
      <c r="J120" s="11">
        <v>0.85</v>
      </c>
      <c r="K120" s="57">
        <v>2745</v>
      </c>
      <c r="L120" s="58">
        <f t="shared" si="16"/>
        <v>15.877112328000001</v>
      </c>
      <c r="M120" s="58">
        <f t="shared" si="17"/>
        <v>1.0575110303999999</v>
      </c>
      <c r="N120" s="58">
        <f t="shared" si="18"/>
        <v>0.24559682399999999</v>
      </c>
      <c r="O120" s="58">
        <f t="shared" si="19"/>
        <v>79.313327279999996</v>
      </c>
    </row>
    <row r="121" spans="1:15" ht="15.9" customHeight="1">
      <c r="A121" s="101">
        <v>45539</v>
      </c>
      <c r="B121" s="102" t="s">
        <v>674</v>
      </c>
      <c r="C121" s="106" t="s">
        <v>554</v>
      </c>
      <c r="D121" s="107" t="s">
        <v>508</v>
      </c>
      <c r="E121" s="105">
        <v>33.44</v>
      </c>
      <c r="F121" s="11">
        <v>15.23</v>
      </c>
      <c r="G121" s="52">
        <f t="shared" si="20"/>
        <v>28.347087999999999</v>
      </c>
      <c r="H121" s="11">
        <v>53.12</v>
      </c>
      <c r="I121" s="11">
        <v>3.54</v>
      </c>
      <c r="J121" s="11">
        <v>0.84</v>
      </c>
      <c r="K121" s="57">
        <v>2589</v>
      </c>
      <c r="L121" s="58">
        <f t="shared" si="16"/>
        <v>15.0579731456</v>
      </c>
      <c r="M121" s="58">
        <f t="shared" si="17"/>
        <v>1.0034869152000001</v>
      </c>
      <c r="N121" s="58">
        <f t="shared" si="18"/>
        <v>0.2381155392</v>
      </c>
      <c r="O121" s="58">
        <f t="shared" si="19"/>
        <v>73.390610831999993</v>
      </c>
    </row>
    <row r="122" spans="1:15" ht="15.9" customHeight="1">
      <c r="A122" s="101">
        <v>45539</v>
      </c>
      <c r="B122" s="102" t="s">
        <v>675</v>
      </c>
      <c r="C122" s="106" t="s">
        <v>548</v>
      </c>
      <c r="D122" s="107" t="s">
        <v>509</v>
      </c>
      <c r="E122" s="105">
        <v>33.58</v>
      </c>
      <c r="F122" s="11">
        <v>13.83</v>
      </c>
      <c r="G122" s="52">
        <f t="shared" si="20"/>
        <v>28.935886</v>
      </c>
      <c r="H122" s="11">
        <v>55.02</v>
      </c>
      <c r="I122" s="11">
        <v>3.61</v>
      </c>
      <c r="J122" s="11">
        <v>0.86</v>
      </c>
      <c r="K122" s="57">
        <v>2732</v>
      </c>
      <c r="L122" s="58">
        <f t="shared" si="16"/>
        <v>15.920524477200001</v>
      </c>
      <c r="M122" s="58">
        <f t="shared" si="17"/>
        <v>1.0445854846</v>
      </c>
      <c r="N122" s="58">
        <f t="shared" si="18"/>
        <v>0.24884861959999999</v>
      </c>
      <c r="O122" s="58">
        <f t="shared" si="19"/>
        <v>79.052840552000006</v>
      </c>
    </row>
    <row r="123" spans="1:15" ht="15.9" customHeight="1">
      <c r="A123" s="101">
        <v>45539</v>
      </c>
      <c r="B123" s="102" t="s">
        <v>676</v>
      </c>
      <c r="C123" s="106" t="s">
        <v>542</v>
      </c>
      <c r="D123" s="107" t="s">
        <v>510</v>
      </c>
      <c r="E123" s="105">
        <v>33.94</v>
      </c>
      <c r="F123" s="11">
        <v>17.39</v>
      </c>
      <c r="G123" s="52">
        <f t="shared" si="20"/>
        <v>28.037834</v>
      </c>
      <c r="H123" s="11">
        <v>50.62</v>
      </c>
      <c r="I123" s="11">
        <v>3.17</v>
      </c>
      <c r="J123" s="11">
        <v>0.73</v>
      </c>
      <c r="K123" s="57">
        <v>2494</v>
      </c>
      <c r="L123" s="58">
        <f t="shared" si="16"/>
        <v>14.1927515708</v>
      </c>
      <c r="M123" s="58">
        <f t="shared" si="17"/>
        <v>0.88879933779999998</v>
      </c>
      <c r="N123" s="58">
        <f t="shared" si="18"/>
        <v>0.2046761882</v>
      </c>
      <c r="O123" s="58">
        <f t="shared" si="19"/>
        <v>69.926357995999993</v>
      </c>
    </row>
    <row r="124" spans="1:15" ht="15.9" customHeight="1">
      <c r="A124" s="101">
        <v>45539</v>
      </c>
      <c r="B124" s="102" t="s">
        <v>677</v>
      </c>
      <c r="C124" s="106" t="s">
        <v>612</v>
      </c>
      <c r="D124" s="107" t="s">
        <v>511</v>
      </c>
      <c r="E124" s="105">
        <v>33.68</v>
      </c>
      <c r="F124" s="11">
        <v>16.399999999999999</v>
      </c>
      <c r="G124" s="52">
        <f t="shared" si="20"/>
        <v>28.156479999999998</v>
      </c>
      <c r="H124" s="11">
        <v>52.86</v>
      </c>
      <c r="I124" s="11">
        <v>3.8</v>
      </c>
      <c r="J124" s="11">
        <v>0.86</v>
      </c>
      <c r="K124" s="57">
        <v>2655</v>
      </c>
      <c r="L124" s="58">
        <f t="shared" si="16"/>
        <v>14.883515328</v>
      </c>
      <c r="M124" s="58">
        <f t="shared" si="17"/>
        <v>1.0699462399999999</v>
      </c>
      <c r="N124" s="58">
        <f t="shared" si="18"/>
        <v>0.242145728</v>
      </c>
      <c r="O124" s="58">
        <f t="shared" si="19"/>
        <v>74.755454400000005</v>
      </c>
    </row>
    <row r="125" spans="1:15" ht="15.9" customHeight="1">
      <c r="A125" s="101">
        <v>45539</v>
      </c>
      <c r="B125" s="102" t="s">
        <v>678</v>
      </c>
      <c r="C125" s="106" t="s">
        <v>544</v>
      </c>
      <c r="D125" s="107" t="s">
        <v>512</v>
      </c>
      <c r="E125" s="105">
        <v>34.119999999999997</v>
      </c>
      <c r="F125" s="11">
        <v>14.45</v>
      </c>
      <c r="G125" s="52">
        <f t="shared" si="20"/>
        <v>29.18966</v>
      </c>
      <c r="H125" s="11">
        <v>53.78</v>
      </c>
      <c r="I125" s="11">
        <v>3.57</v>
      </c>
      <c r="J125" s="11">
        <v>0.82</v>
      </c>
      <c r="K125" s="57">
        <v>2689</v>
      </c>
      <c r="L125" s="58">
        <f t="shared" si="16"/>
        <v>15.698199148</v>
      </c>
      <c r="M125" s="58">
        <f t="shared" si="17"/>
        <v>1.0420708620000001</v>
      </c>
      <c r="N125" s="58">
        <f t="shared" si="18"/>
        <v>0.23935521200000001</v>
      </c>
      <c r="O125" s="58">
        <f t="shared" si="19"/>
        <v>78.490995740000002</v>
      </c>
    </row>
    <row r="126" spans="1:15" ht="15.9" customHeight="1">
      <c r="A126" s="101">
        <v>45539</v>
      </c>
      <c r="B126" s="102" t="s">
        <v>679</v>
      </c>
      <c r="C126" s="106" t="s">
        <v>541</v>
      </c>
      <c r="D126" s="107" t="s">
        <v>513</v>
      </c>
      <c r="E126" s="105">
        <v>32.74</v>
      </c>
      <c r="F126" s="11">
        <v>17.04</v>
      </c>
      <c r="G126" s="52">
        <f t="shared" si="20"/>
        <v>27.161104000000002</v>
      </c>
      <c r="H126" s="11">
        <v>50.44</v>
      </c>
      <c r="I126" s="11">
        <v>3.19</v>
      </c>
      <c r="J126" s="11">
        <v>0.73</v>
      </c>
      <c r="K126" s="57">
        <v>2577</v>
      </c>
      <c r="L126" s="58">
        <f t="shared" si="16"/>
        <v>13.7000608576</v>
      </c>
      <c r="M126" s="58">
        <f t="shared" si="17"/>
        <v>0.86643921759999998</v>
      </c>
      <c r="N126" s="58">
        <f t="shared" si="18"/>
        <v>0.19827605919999999</v>
      </c>
      <c r="O126" s="58">
        <f t="shared" si="19"/>
        <v>69.994165007999996</v>
      </c>
    </row>
    <row r="127" spans="1:15" ht="15.9" customHeight="1">
      <c r="A127" s="101">
        <v>45539</v>
      </c>
      <c r="B127" s="102" t="s">
        <v>680</v>
      </c>
      <c r="C127" s="106" t="s">
        <v>543</v>
      </c>
      <c r="D127" s="107" t="s">
        <v>514</v>
      </c>
      <c r="E127" s="105">
        <v>33.020000000000003</v>
      </c>
      <c r="F127" s="11">
        <v>16.34</v>
      </c>
      <c r="G127" s="52">
        <f t="shared" si="20"/>
        <v>27.624531999999999</v>
      </c>
      <c r="H127" s="11">
        <v>51.57</v>
      </c>
      <c r="I127" s="11">
        <v>3.43</v>
      </c>
      <c r="J127" s="11">
        <v>0.79</v>
      </c>
      <c r="K127" s="57">
        <v>2627</v>
      </c>
      <c r="L127" s="58">
        <f t="shared" si="16"/>
        <v>14.245971152399999</v>
      </c>
      <c r="M127" s="58">
        <f t="shared" si="17"/>
        <v>0.94752144760000001</v>
      </c>
      <c r="N127" s="58">
        <f t="shared" si="18"/>
        <v>0.21823380279999999</v>
      </c>
      <c r="O127" s="58">
        <f t="shared" si="19"/>
        <v>72.569645563999998</v>
      </c>
    </row>
    <row r="128" spans="1:15" ht="15.9" customHeight="1">
      <c r="A128" s="101">
        <v>45539</v>
      </c>
      <c r="B128" s="102" t="s">
        <v>681</v>
      </c>
      <c r="C128" s="106" t="s">
        <v>545</v>
      </c>
      <c r="D128" s="107" t="s">
        <v>515</v>
      </c>
      <c r="E128" s="105">
        <v>34.700000000000003</v>
      </c>
      <c r="F128" s="11">
        <v>16.510000000000002</v>
      </c>
      <c r="G128" s="52">
        <f t="shared" si="20"/>
        <v>28.971029999999999</v>
      </c>
      <c r="H128" s="11">
        <v>51.4</v>
      </c>
      <c r="I128" s="11">
        <v>3.38</v>
      </c>
      <c r="J128" s="11">
        <v>0.78</v>
      </c>
      <c r="K128" s="57">
        <v>2592</v>
      </c>
      <c r="L128" s="58">
        <f t="shared" si="16"/>
        <v>14.891109419999999</v>
      </c>
      <c r="M128" s="58">
        <f t="shared" si="17"/>
        <v>0.97922081400000005</v>
      </c>
      <c r="N128" s="58">
        <f t="shared" si="18"/>
        <v>0.22597403399999999</v>
      </c>
      <c r="O128" s="58">
        <f t="shared" si="19"/>
        <v>75.092909759999998</v>
      </c>
    </row>
    <row r="129" spans="1:15" ht="15.9" customHeight="1">
      <c r="A129" s="101">
        <v>45540</v>
      </c>
      <c r="B129" s="102" t="s">
        <v>682</v>
      </c>
      <c r="C129" s="106" t="s">
        <v>548</v>
      </c>
      <c r="D129" s="107" t="s">
        <v>516</v>
      </c>
      <c r="E129" s="105">
        <v>33.44</v>
      </c>
      <c r="F129" s="11">
        <v>15.18</v>
      </c>
      <c r="G129" s="52">
        <f t="shared" si="20"/>
        <v>28.363807999999999</v>
      </c>
      <c r="H129" s="11">
        <v>52.42</v>
      </c>
      <c r="I129" s="11">
        <v>4.0199999999999996</v>
      </c>
      <c r="J129" s="11">
        <v>0.81</v>
      </c>
      <c r="K129" s="57">
        <v>2677</v>
      </c>
      <c r="L129" s="58">
        <f t="shared" si="16"/>
        <v>14.868308153599999</v>
      </c>
      <c r="M129" s="58">
        <f t="shared" si="17"/>
        <v>1.1402250815999999</v>
      </c>
      <c r="N129" s="58">
        <f t="shared" si="18"/>
        <v>0.22974684479999999</v>
      </c>
      <c r="O129" s="58">
        <f t="shared" si="19"/>
        <v>75.929914015999998</v>
      </c>
    </row>
    <row r="130" spans="1:15" ht="15.9" customHeight="1">
      <c r="A130" s="101">
        <v>45540</v>
      </c>
      <c r="B130" s="102" t="s">
        <v>683</v>
      </c>
      <c r="C130" s="106" t="s">
        <v>612</v>
      </c>
      <c r="D130" s="107" t="s">
        <v>517</v>
      </c>
      <c r="E130" s="105">
        <v>33.76</v>
      </c>
      <c r="F130" s="11">
        <v>16.64</v>
      </c>
      <c r="G130" s="52">
        <f t="shared" si="20"/>
        <v>28.142336</v>
      </c>
      <c r="H130" s="11">
        <v>50.87</v>
      </c>
      <c r="I130" s="11">
        <v>3.79</v>
      </c>
      <c r="J130" s="11">
        <v>0.77</v>
      </c>
      <c r="K130" s="57">
        <v>2578</v>
      </c>
      <c r="L130" s="58">
        <f t="shared" si="16"/>
        <v>14.3160063232</v>
      </c>
      <c r="M130" s="58">
        <f t="shared" si="17"/>
        <v>1.0665945344000001</v>
      </c>
      <c r="N130" s="58">
        <f t="shared" si="18"/>
        <v>0.2166959872</v>
      </c>
      <c r="O130" s="58">
        <f t="shared" si="19"/>
        <v>72.550942207999995</v>
      </c>
    </row>
    <row r="131" spans="1:15" ht="15.9" customHeight="1">
      <c r="A131" s="101">
        <v>45540</v>
      </c>
      <c r="B131" s="102" t="s">
        <v>684</v>
      </c>
      <c r="C131" s="106" t="s">
        <v>544</v>
      </c>
      <c r="D131" s="107" t="s">
        <v>518</v>
      </c>
      <c r="E131" s="105">
        <v>34.22</v>
      </c>
      <c r="F131" s="11">
        <v>16.82</v>
      </c>
      <c r="G131" s="52">
        <f t="shared" si="20"/>
        <v>28.464196000000001</v>
      </c>
      <c r="H131" s="11">
        <v>49.48</v>
      </c>
      <c r="I131" s="11">
        <v>3.61</v>
      </c>
      <c r="J131" s="11">
        <v>0.76</v>
      </c>
      <c r="K131" s="57">
        <v>2524</v>
      </c>
      <c r="L131" s="58">
        <f t="shared" si="16"/>
        <v>14.0840841808</v>
      </c>
      <c r="M131" s="58">
        <f t="shared" si="17"/>
        <v>1.0275574756000001</v>
      </c>
      <c r="N131" s="58">
        <f t="shared" si="18"/>
        <v>0.21632788959999999</v>
      </c>
      <c r="O131" s="58">
        <f t="shared" si="19"/>
        <v>71.843630704000006</v>
      </c>
    </row>
    <row r="132" spans="1:15" ht="15.9" customHeight="1">
      <c r="A132" s="101">
        <v>45540</v>
      </c>
      <c r="B132" s="102" t="s">
        <v>685</v>
      </c>
      <c r="C132" s="106" t="s">
        <v>541</v>
      </c>
      <c r="D132" s="107" t="s">
        <v>519</v>
      </c>
      <c r="E132" s="105">
        <v>32.92</v>
      </c>
      <c r="F132" s="11">
        <v>17.309999999999999</v>
      </c>
      <c r="G132" s="52">
        <f t="shared" si="20"/>
        <v>27.221547999999999</v>
      </c>
      <c r="H132" s="11">
        <v>50.36</v>
      </c>
      <c r="I132" s="11">
        <v>3.54</v>
      </c>
      <c r="J132" s="11">
        <v>0.74</v>
      </c>
      <c r="K132" s="57">
        <v>2579</v>
      </c>
      <c r="L132" s="58">
        <f t="shared" si="16"/>
        <v>13.7087715728</v>
      </c>
      <c r="M132" s="58">
        <f t="shared" si="17"/>
        <v>0.96364279919999996</v>
      </c>
      <c r="N132" s="58">
        <f t="shared" si="18"/>
        <v>0.20143945520000001</v>
      </c>
      <c r="O132" s="58">
        <f t="shared" si="19"/>
        <v>70.204372292000002</v>
      </c>
    </row>
    <row r="133" spans="1:15" ht="15.9" customHeight="1">
      <c r="A133" s="101">
        <v>45540</v>
      </c>
      <c r="B133" s="102" t="s">
        <v>686</v>
      </c>
      <c r="C133" s="106" t="s">
        <v>542</v>
      </c>
      <c r="D133" s="107" t="s">
        <v>520</v>
      </c>
      <c r="E133" s="105">
        <v>34.04</v>
      </c>
      <c r="F133" s="11">
        <v>16.54</v>
      </c>
      <c r="G133" s="52">
        <f t="shared" si="20"/>
        <v>28.409783999999998</v>
      </c>
      <c r="H133" s="11">
        <v>50.43</v>
      </c>
      <c r="I133" s="11">
        <v>3.7</v>
      </c>
      <c r="J133" s="11">
        <v>0.77</v>
      </c>
      <c r="K133" s="57">
        <v>2572</v>
      </c>
      <c r="L133" s="58">
        <f t="shared" si="16"/>
        <v>14.327054071199999</v>
      </c>
      <c r="M133" s="58">
        <f t="shared" si="17"/>
        <v>1.0511620079999999</v>
      </c>
      <c r="N133" s="58">
        <f t="shared" si="18"/>
        <v>0.21875533680000001</v>
      </c>
      <c r="O133" s="58">
        <f t="shared" si="19"/>
        <v>73.069964447999993</v>
      </c>
    </row>
    <row r="134" spans="1:15" ht="15.9" customHeight="1">
      <c r="A134" s="101">
        <v>45540</v>
      </c>
      <c r="B134" s="102" t="s">
        <v>687</v>
      </c>
      <c r="C134" s="106" t="s">
        <v>545</v>
      </c>
      <c r="D134" s="107" t="s">
        <v>521</v>
      </c>
      <c r="E134" s="105">
        <v>34.72</v>
      </c>
      <c r="F134" s="11">
        <v>17.350000000000001</v>
      </c>
      <c r="G134" s="52">
        <f t="shared" si="20"/>
        <v>28.696079999999998</v>
      </c>
      <c r="H134" s="11">
        <v>48.46</v>
      </c>
      <c r="I134" s="11">
        <v>3.14</v>
      </c>
      <c r="J134" s="11">
        <v>0.68</v>
      </c>
      <c r="K134" s="57">
        <v>2474</v>
      </c>
      <c r="L134" s="58">
        <f t="shared" si="16"/>
        <v>13.906120368</v>
      </c>
      <c r="M134" s="58">
        <f t="shared" si="17"/>
        <v>0.90105691200000004</v>
      </c>
      <c r="N134" s="58">
        <f t="shared" si="18"/>
        <v>0.19513334399999999</v>
      </c>
      <c r="O134" s="58">
        <f t="shared" si="19"/>
        <v>70.994101920000006</v>
      </c>
    </row>
    <row r="135" spans="1:15" ht="15.9" customHeight="1">
      <c r="A135" s="101">
        <v>45540</v>
      </c>
      <c r="B135" s="102" t="s">
        <v>688</v>
      </c>
      <c r="C135" s="106" t="s">
        <v>543</v>
      </c>
      <c r="D135" s="107" t="s">
        <v>522</v>
      </c>
      <c r="E135" s="105">
        <v>33.119999999999997</v>
      </c>
      <c r="F135" s="11">
        <v>17.399999999999999</v>
      </c>
      <c r="G135" s="52">
        <f t="shared" si="20"/>
        <v>27.357119999999998</v>
      </c>
      <c r="H135" s="11">
        <v>48.53</v>
      </c>
      <c r="I135" s="11">
        <v>3.4</v>
      </c>
      <c r="J135" s="11">
        <v>0.68</v>
      </c>
      <c r="K135" s="57">
        <v>2464</v>
      </c>
      <c r="L135" s="58">
        <f t="shared" si="16"/>
        <v>13.276410336</v>
      </c>
      <c r="M135" s="58">
        <f t="shared" si="17"/>
        <v>0.93014207999999998</v>
      </c>
      <c r="N135" s="58">
        <f t="shared" si="18"/>
        <v>0.186028416</v>
      </c>
      <c r="O135" s="58">
        <f t="shared" si="19"/>
        <v>67.407943680000002</v>
      </c>
    </row>
    <row r="136" spans="1:15" ht="15.9" customHeight="1">
      <c r="A136" s="101">
        <v>45540</v>
      </c>
      <c r="B136" s="102" t="s">
        <v>689</v>
      </c>
      <c r="C136" s="106" t="s">
        <v>550</v>
      </c>
      <c r="D136" s="107" t="s">
        <v>523</v>
      </c>
      <c r="E136" s="105">
        <v>33.5</v>
      </c>
      <c r="F136" s="11">
        <v>17.53</v>
      </c>
      <c r="G136" s="52">
        <f t="shared" si="20"/>
        <v>27.62745</v>
      </c>
      <c r="H136" s="11">
        <v>49.59</v>
      </c>
      <c r="I136" s="11">
        <v>3.61</v>
      </c>
      <c r="J136" s="11">
        <v>0.72</v>
      </c>
      <c r="K136" s="57">
        <v>2540</v>
      </c>
      <c r="L136" s="58">
        <f t="shared" si="16"/>
        <v>13.700452455000001</v>
      </c>
      <c r="M136" s="58">
        <f t="shared" si="17"/>
        <v>0.99735094499999999</v>
      </c>
      <c r="N136" s="58">
        <f t="shared" si="18"/>
        <v>0.19891764000000001</v>
      </c>
      <c r="O136" s="58">
        <f t="shared" si="19"/>
        <v>70.173722999999995</v>
      </c>
    </row>
    <row r="137" spans="1:15" ht="15.9" customHeight="1">
      <c r="A137" s="101">
        <v>45540</v>
      </c>
      <c r="B137" s="102" t="s">
        <v>690</v>
      </c>
      <c r="C137" s="106" t="s">
        <v>554</v>
      </c>
      <c r="D137" s="107" t="s">
        <v>524</v>
      </c>
      <c r="E137" s="105">
        <v>33.32</v>
      </c>
      <c r="F137" s="11">
        <v>17.46</v>
      </c>
      <c r="G137" s="52">
        <f t="shared" si="20"/>
        <v>27.502327999999999</v>
      </c>
      <c r="H137" s="11">
        <v>48.31</v>
      </c>
      <c r="I137" s="11">
        <v>3.28</v>
      </c>
      <c r="J137" s="11">
        <v>0.68</v>
      </c>
      <c r="K137" s="57">
        <v>2513</v>
      </c>
      <c r="L137" s="58">
        <f t="shared" si="16"/>
        <v>13.2863746568</v>
      </c>
      <c r="M137" s="58">
        <f t="shared" si="17"/>
        <v>0.9020763584</v>
      </c>
      <c r="N137" s="58">
        <f t="shared" si="18"/>
        <v>0.1870158304</v>
      </c>
      <c r="O137" s="58">
        <f t="shared" si="19"/>
        <v>69.113350264000005</v>
      </c>
    </row>
    <row r="138" spans="1:15" ht="15.9" customHeight="1">
      <c r="A138" s="101">
        <v>45541</v>
      </c>
      <c r="B138" s="102" t="s">
        <v>691</v>
      </c>
      <c r="C138" s="106" t="s">
        <v>543</v>
      </c>
      <c r="D138" s="107" t="s">
        <v>525</v>
      </c>
      <c r="E138" s="105">
        <v>33.08</v>
      </c>
      <c r="F138" s="11">
        <v>17</v>
      </c>
      <c r="G138" s="52">
        <f t="shared" si="20"/>
        <v>27.456399999999999</v>
      </c>
      <c r="H138" s="11">
        <v>48.46</v>
      </c>
      <c r="I138" s="11">
        <v>3.15</v>
      </c>
      <c r="J138" s="11">
        <v>0.72</v>
      </c>
      <c r="K138" s="57">
        <v>2429</v>
      </c>
      <c r="L138" s="58">
        <f t="shared" ref="L138:L150" si="21">G138*H138/100</f>
        <v>13.30537144</v>
      </c>
      <c r="M138" s="58">
        <f t="shared" ref="M138:M150" si="22">G138*I138/100</f>
        <v>0.8648766</v>
      </c>
      <c r="N138" s="58">
        <f t="shared" ref="N138:N150" si="23">G138*J138/100</f>
        <v>0.19768607999999999</v>
      </c>
      <c r="O138" s="58">
        <f t="shared" ref="O138:O150" si="24">G138*K138/1000</f>
        <v>66.691595599999999</v>
      </c>
    </row>
    <row r="139" spans="1:15" ht="15.9" customHeight="1">
      <c r="A139" s="101">
        <v>45541</v>
      </c>
      <c r="B139" s="102" t="s">
        <v>692</v>
      </c>
      <c r="C139" s="106" t="s">
        <v>612</v>
      </c>
      <c r="D139" s="107" t="s">
        <v>526</v>
      </c>
      <c r="E139" s="105">
        <v>34</v>
      </c>
      <c r="F139" s="11">
        <v>17.170000000000002</v>
      </c>
      <c r="G139" s="52">
        <f t="shared" si="20"/>
        <v>28.162199999999999</v>
      </c>
      <c r="H139" s="11">
        <v>48.31</v>
      </c>
      <c r="I139" s="11">
        <v>2.78</v>
      </c>
      <c r="J139" s="11">
        <v>0.69</v>
      </c>
      <c r="K139" s="57">
        <v>2420</v>
      </c>
      <c r="L139" s="58">
        <f t="shared" si="21"/>
        <v>13.60515882</v>
      </c>
      <c r="M139" s="58">
        <f t="shared" si="22"/>
        <v>0.78290915999999999</v>
      </c>
      <c r="N139" s="58">
        <f t="shared" si="23"/>
        <v>0.19431918000000001</v>
      </c>
      <c r="O139" s="58">
        <f t="shared" si="24"/>
        <v>68.152524</v>
      </c>
    </row>
    <row r="140" spans="1:15" ht="15.9" customHeight="1">
      <c r="A140" s="101">
        <v>45541</v>
      </c>
      <c r="B140" s="102" t="s">
        <v>693</v>
      </c>
      <c r="C140" s="106" t="s">
        <v>541</v>
      </c>
      <c r="D140" s="107" t="s">
        <v>527</v>
      </c>
      <c r="E140" s="105">
        <v>32.94</v>
      </c>
      <c r="F140" s="11">
        <v>17.66</v>
      </c>
      <c r="G140" s="52">
        <f t="shared" si="20"/>
        <v>27.122796000000001</v>
      </c>
      <c r="H140" s="11">
        <v>49.52</v>
      </c>
      <c r="I140" s="11">
        <v>3.13</v>
      </c>
      <c r="J140" s="11">
        <v>0.71</v>
      </c>
      <c r="K140" s="57">
        <v>2485</v>
      </c>
      <c r="L140" s="58">
        <f t="shared" si="21"/>
        <v>13.4312085792</v>
      </c>
      <c r="M140" s="58">
        <f t="shared" si="22"/>
        <v>0.84894351479999997</v>
      </c>
      <c r="N140" s="58">
        <f t="shared" si="23"/>
        <v>0.19257185160000001</v>
      </c>
      <c r="O140" s="58">
        <f t="shared" si="24"/>
        <v>67.400148060000006</v>
      </c>
    </row>
    <row r="141" spans="1:15" ht="15.9" customHeight="1">
      <c r="A141" s="101">
        <v>45541</v>
      </c>
      <c r="B141" s="102" t="s">
        <v>694</v>
      </c>
      <c r="C141" s="106" t="s">
        <v>545</v>
      </c>
      <c r="D141" s="107" t="s">
        <v>528</v>
      </c>
      <c r="E141" s="105">
        <v>34.659999999999997</v>
      </c>
      <c r="F141" s="11">
        <v>17.559999999999999</v>
      </c>
      <c r="G141" s="52">
        <f t="shared" si="20"/>
        <v>28.573703999999999</v>
      </c>
      <c r="H141" s="11">
        <v>48.09</v>
      </c>
      <c r="I141" s="11">
        <v>2.87</v>
      </c>
      <c r="J141" s="11">
        <v>0.69</v>
      </c>
      <c r="K141" s="57">
        <v>2380</v>
      </c>
      <c r="L141" s="58">
        <f t="shared" si="21"/>
        <v>13.7410942536</v>
      </c>
      <c r="M141" s="58">
        <f t="shared" si="22"/>
        <v>0.82006530479999995</v>
      </c>
      <c r="N141" s="58">
        <f t="shared" si="23"/>
        <v>0.19715855760000001</v>
      </c>
      <c r="O141" s="58">
        <f t="shared" si="24"/>
        <v>68.00541552</v>
      </c>
    </row>
    <row r="142" spans="1:15" ht="15.9" customHeight="1">
      <c r="A142" s="101">
        <v>45541</v>
      </c>
      <c r="B142" s="102" t="s">
        <v>695</v>
      </c>
      <c r="C142" s="106" t="s">
        <v>544</v>
      </c>
      <c r="D142" s="107" t="s">
        <v>529</v>
      </c>
      <c r="E142" s="105">
        <v>34.06</v>
      </c>
      <c r="F142" s="11">
        <v>17.84</v>
      </c>
      <c r="G142" s="52">
        <f t="shared" si="20"/>
        <v>27.983695999999998</v>
      </c>
      <c r="H142" s="11">
        <v>49.41</v>
      </c>
      <c r="I142" s="11">
        <v>2.94</v>
      </c>
      <c r="J142" s="11">
        <v>0.71</v>
      </c>
      <c r="K142" s="57">
        <v>2424</v>
      </c>
      <c r="L142" s="58">
        <f t="shared" si="21"/>
        <v>13.8267441936</v>
      </c>
      <c r="M142" s="58">
        <f t="shared" si="22"/>
        <v>0.82272066239999997</v>
      </c>
      <c r="N142" s="58">
        <f t="shared" si="23"/>
        <v>0.19868424160000001</v>
      </c>
      <c r="O142" s="58">
        <f t="shared" si="24"/>
        <v>67.832479104000001</v>
      </c>
    </row>
    <row r="143" spans="1:15" ht="15.9" customHeight="1">
      <c r="A143" s="101">
        <v>45541</v>
      </c>
      <c r="B143" s="102" t="s">
        <v>696</v>
      </c>
      <c r="C143" s="106" t="s">
        <v>550</v>
      </c>
      <c r="D143" s="107" t="s">
        <v>530</v>
      </c>
      <c r="E143" s="105">
        <v>33.700000000000003</v>
      </c>
      <c r="F143" s="11">
        <v>17.079999999999998</v>
      </c>
      <c r="G143" s="52">
        <f t="shared" si="20"/>
        <v>27.944040000000001</v>
      </c>
      <c r="H143" s="11">
        <v>48.53</v>
      </c>
      <c r="I143" s="11">
        <v>3.24</v>
      </c>
      <c r="J143" s="11">
        <v>0.71</v>
      </c>
      <c r="K143" s="57">
        <v>2471</v>
      </c>
      <c r="L143" s="58">
        <f t="shared" si="21"/>
        <v>13.561242611999999</v>
      </c>
      <c r="M143" s="58">
        <f t="shared" si="22"/>
        <v>0.905386896</v>
      </c>
      <c r="N143" s="58">
        <f t="shared" si="23"/>
        <v>0.198402684</v>
      </c>
      <c r="O143" s="58">
        <f t="shared" si="24"/>
        <v>69.049722840000001</v>
      </c>
    </row>
    <row r="144" spans="1:15" ht="15.9" customHeight="1">
      <c r="A144" s="101">
        <v>45541</v>
      </c>
      <c r="B144" s="102" t="s">
        <v>697</v>
      </c>
      <c r="C144" s="106" t="s">
        <v>542</v>
      </c>
      <c r="D144" s="107" t="s">
        <v>531</v>
      </c>
      <c r="E144" s="105">
        <v>33.68</v>
      </c>
      <c r="F144" s="11">
        <v>17.93</v>
      </c>
      <c r="G144" s="52">
        <f t="shared" si="20"/>
        <v>27.641176000000002</v>
      </c>
      <c r="H144" s="11">
        <v>49.85</v>
      </c>
      <c r="I144" s="11">
        <v>3.24</v>
      </c>
      <c r="J144" s="11">
        <v>0.74</v>
      </c>
      <c r="K144" s="57">
        <v>2528</v>
      </c>
      <c r="L144" s="58">
        <f t="shared" si="21"/>
        <v>13.779126236</v>
      </c>
      <c r="M144" s="58">
        <f t="shared" si="22"/>
        <v>0.89557410240000002</v>
      </c>
      <c r="N144" s="58">
        <f t="shared" si="23"/>
        <v>0.2045447024</v>
      </c>
      <c r="O144" s="58">
        <f t="shared" si="24"/>
        <v>69.876892928000004</v>
      </c>
    </row>
    <row r="145" spans="1:15" ht="15.9" customHeight="1">
      <c r="A145" s="101">
        <v>45541</v>
      </c>
      <c r="B145" s="102" t="s">
        <v>698</v>
      </c>
      <c r="C145" s="106" t="s">
        <v>554</v>
      </c>
      <c r="D145" s="107" t="s">
        <v>532</v>
      </c>
      <c r="E145" s="105">
        <v>33.26</v>
      </c>
      <c r="F145" s="11">
        <v>18.09</v>
      </c>
      <c r="G145" s="52">
        <f t="shared" si="20"/>
        <v>27.243265999999998</v>
      </c>
      <c r="H145" s="11">
        <v>49.92</v>
      </c>
      <c r="I145" s="11">
        <v>3.19</v>
      </c>
      <c r="J145" s="11">
        <v>0.72</v>
      </c>
      <c r="K145" s="57">
        <v>2517</v>
      </c>
      <c r="L145" s="58">
        <f t="shared" si="21"/>
        <v>13.5998383872</v>
      </c>
      <c r="M145" s="58">
        <f t="shared" si="22"/>
        <v>0.86906018539999996</v>
      </c>
      <c r="N145" s="58">
        <f t="shared" si="23"/>
        <v>0.19615151519999999</v>
      </c>
      <c r="O145" s="58">
        <f t="shared" si="24"/>
        <v>68.571300522000001</v>
      </c>
    </row>
    <row r="146" spans="1:15" ht="15.9" customHeight="1">
      <c r="A146" s="101">
        <v>45541</v>
      </c>
      <c r="B146" s="102" t="s">
        <v>699</v>
      </c>
      <c r="C146" s="106" t="s">
        <v>548</v>
      </c>
      <c r="D146" s="107" t="s">
        <v>533</v>
      </c>
      <c r="E146" s="105">
        <v>33.14</v>
      </c>
      <c r="F146" s="11">
        <v>17.95</v>
      </c>
      <c r="G146" s="52">
        <f t="shared" si="20"/>
        <v>27.191369999999999</v>
      </c>
      <c r="H146" s="11">
        <v>49.48</v>
      </c>
      <c r="I146" s="11">
        <v>3.08</v>
      </c>
      <c r="J146" s="11">
        <v>0.71</v>
      </c>
      <c r="K146" s="57">
        <v>2525</v>
      </c>
      <c r="L146" s="58">
        <f t="shared" si="21"/>
        <v>13.454289876000001</v>
      </c>
      <c r="M146" s="58">
        <f t="shared" si="22"/>
        <v>0.83749419599999997</v>
      </c>
      <c r="N146" s="58">
        <f t="shared" si="23"/>
        <v>0.19305872700000001</v>
      </c>
      <c r="O146" s="58">
        <f t="shared" si="24"/>
        <v>68.658209249999999</v>
      </c>
    </row>
    <row r="147" spans="1:15" ht="15.9" customHeight="1">
      <c r="A147" s="101">
        <v>45542</v>
      </c>
      <c r="B147" s="102" t="s">
        <v>700</v>
      </c>
      <c r="C147" s="106" t="s">
        <v>612</v>
      </c>
      <c r="D147" s="107" t="s">
        <v>534</v>
      </c>
      <c r="E147" s="105">
        <v>34.06</v>
      </c>
      <c r="F147" s="11">
        <v>17.75</v>
      </c>
      <c r="G147" s="52">
        <f t="shared" si="20"/>
        <v>28.01435</v>
      </c>
      <c r="H147" s="11">
        <v>48.74</v>
      </c>
      <c r="I147" s="11">
        <v>3.29</v>
      </c>
      <c r="J147" s="11">
        <v>0.7</v>
      </c>
      <c r="K147" s="57">
        <v>2377</v>
      </c>
      <c r="L147" s="58">
        <f t="shared" si="21"/>
        <v>13.65419419</v>
      </c>
      <c r="M147" s="58">
        <f t="shared" si="22"/>
        <v>0.92167211500000001</v>
      </c>
      <c r="N147" s="58">
        <f t="shared" si="23"/>
        <v>0.19610045000000001</v>
      </c>
      <c r="O147" s="58">
        <f t="shared" si="24"/>
        <v>66.590109949999999</v>
      </c>
    </row>
    <row r="148" spans="1:15" ht="15.9" customHeight="1">
      <c r="A148" s="101">
        <v>45542</v>
      </c>
      <c r="B148" s="102" t="s">
        <v>701</v>
      </c>
      <c r="C148" s="106" t="s">
        <v>543</v>
      </c>
      <c r="D148" s="107" t="s">
        <v>535</v>
      </c>
      <c r="E148" s="105">
        <v>33.32</v>
      </c>
      <c r="F148" s="11">
        <v>16.54</v>
      </c>
      <c r="G148" s="52">
        <f t="shared" si="20"/>
        <v>27.808872000000001</v>
      </c>
      <c r="H148" s="11">
        <v>49.98</v>
      </c>
      <c r="I148" s="11">
        <v>3.75</v>
      </c>
      <c r="J148" s="11">
        <v>0.76</v>
      </c>
      <c r="K148" s="57">
        <v>2470</v>
      </c>
      <c r="L148" s="58">
        <f t="shared" si="21"/>
        <v>13.8988742256</v>
      </c>
      <c r="M148" s="58">
        <f t="shared" si="22"/>
        <v>1.0428326999999999</v>
      </c>
      <c r="N148" s="58">
        <f t="shared" si="23"/>
        <v>0.21134742719999999</v>
      </c>
      <c r="O148" s="58">
        <f t="shared" si="24"/>
        <v>68.687913839999993</v>
      </c>
    </row>
    <row r="149" spans="1:15" ht="15.9" customHeight="1">
      <c r="A149" s="101">
        <v>45542</v>
      </c>
      <c r="B149" s="102" t="s">
        <v>702</v>
      </c>
      <c r="C149" s="106" t="s">
        <v>544</v>
      </c>
      <c r="D149" s="107" t="s">
        <v>536</v>
      </c>
      <c r="E149" s="105">
        <v>34.22</v>
      </c>
      <c r="F149" s="11">
        <v>16.96</v>
      </c>
      <c r="G149" s="52">
        <f t="shared" si="20"/>
        <v>28.416288000000002</v>
      </c>
      <c r="H149" s="11">
        <v>49.32</v>
      </c>
      <c r="I149" s="11">
        <v>3.73</v>
      </c>
      <c r="J149" s="11">
        <v>0.74</v>
      </c>
      <c r="K149" s="57">
        <v>2420</v>
      </c>
      <c r="L149" s="58">
        <f t="shared" si="21"/>
        <v>14.0149132416</v>
      </c>
      <c r="M149" s="58">
        <f t="shared" si="22"/>
        <v>1.0599275424000001</v>
      </c>
      <c r="N149" s="58">
        <f t="shared" si="23"/>
        <v>0.21028053120000001</v>
      </c>
      <c r="O149" s="58">
        <f t="shared" si="24"/>
        <v>68.767416960000006</v>
      </c>
    </row>
    <row r="150" spans="1:15" ht="15.9" customHeight="1">
      <c r="A150" s="101">
        <v>45542</v>
      </c>
      <c r="B150" s="102" t="s">
        <v>703</v>
      </c>
      <c r="C150" s="106" t="s">
        <v>541</v>
      </c>
      <c r="D150" s="107" t="s">
        <v>537</v>
      </c>
      <c r="E150" s="105">
        <v>32.82</v>
      </c>
      <c r="F150" s="11">
        <v>16.93</v>
      </c>
      <c r="G150" s="52">
        <f t="shared" si="20"/>
        <v>27.263573999999998</v>
      </c>
      <c r="H150" s="11">
        <v>49.18</v>
      </c>
      <c r="I150" s="11">
        <v>3.73</v>
      </c>
      <c r="J150" s="11">
        <v>0.74</v>
      </c>
      <c r="K150" s="57">
        <v>2440</v>
      </c>
      <c r="L150" s="58">
        <f t="shared" si="21"/>
        <v>13.4082256932</v>
      </c>
      <c r="M150" s="58">
        <f t="shared" si="22"/>
        <v>1.0169313101999999</v>
      </c>
      <c r="N150" s="58">
        <f t="shared" si="23"/>
        <v>0.20175044759999999</v>
      </c>
      <c r="O150" s="58">
        <f t="shared" si="24"/>
        <v>66.523120559999995</v>
      </c>
    </row>
    <row r="151" spans="1:15" ht="15.9" customHeight="1">
      <c r="A151" s="101">
        <v>45542</v>
      </c>
      <c r="B151" s="102" t="s">
        <v>704</v>
      </c>
      <c r="C151" s="106" t="s">
        <v>550</v>
      </c>
      <c r="D151" s="107" t="s">
        <v>538</v>
      </c>
      <c r="E151" s="105">
        <v>33.64</v>
      </c>
      <c r="F151" s="11">
        <v>16.8</v>
      </c>
      <c r="G151" s="52">
        <f t="shared" ref="G151:G166" si="25">E151*(100-F151)/100</f>
        <v>27.988479999999999</v>
      </c>
      <c r="H151" s="11">
        <v>49</v>
      </c>
      <c r="I151" s="11">
        <v>3.66</v>
      </c>
      <c r="J151" s="11">
        <v>0.73</v>
      </c>
      <c r="K151" s="57">
        <v>2410</v>
      </c>
      <c r="L151" s="58">
        <f t="shared" ref="L151:L173" si="26">G151*H151/100</f>
        <v>13.7143552</v>
      </c>
      <c r="M151" s="58">
        <f t="shared" ref="M151:M173" si="27">G151*I151/100</f>
        <v>1.024378368</v>
      </c>
      <c r="N151" s="58">
        <f t="shared" ref="N151:N173" si="28">G151*J151/100</f>
        <v>0.20431590399999999</v>
      </c>
      <c r="O151" s="58">
        <f t="shared" ref="O151:O173" si="29">G151*K151/1000</f>
        <v>67.452236799999994</v>
      </c>
    </row>
    <row r="152" spans="1:15" ht="15.9" customHeight="1">
      <c r="A152" s="101">
        <v>45542</v>
      </c>
      <c r="B152" s="102" t="s">
        <v>705</v>
      </c>
      <c r="C152" s="106" t="s">
        <v>545</v>
      </c>
      <c r="D152" s="107" t="s">
        <v>539</v>
      </c>
      <c r="E152" s="105">
        <v>34.32</v>
      </c>
      <c r="F152" s="11">
        <v>15.92</v>
      </c>
      <c r="G152" s="52">
        <f t="shared" si="25"/>
        <v>28.856255999999998</v>
      </c>
      <c r="H152" s="11">
        <v>47.68</v>
      </c>
      <c r="I152" s="11">
        <v>4.21</v>
      </c>
      <c r="J152" s="11">
        <v>0.79</v>
      </c>
      <c r="K152" s="57">
        <v>2320</v>
      </c>
      <c r="L152" s="58">
        <f t="shared" si="26"/>
        <v>13.758662860799999</v>
      </c>
      <c r="M152" s="58">
        <f t="shared" si="27"/>
        <v>1.2148483776000001</v>
      </c>
      <c r="N152" s="58">
        <f t="shared" si="28"/>
        <v>0.22796442240000001</v>
      </c>
      <c r="O152" s="58">
        <f t="shared" si="29"/>
        <v>66.946513920000001</v>
      </c>
    </row>
    <row r="153" spans="1:15" ht="15.9" customHeight="1">
      <c r="A153" s="101"/>
      <c r="B153" s="102"/>
      <c r="C153" s="106"/>
      <c r="D153" s="107"/>
      <c r="E153" s="105">
        <v>32.94</v>
      </c>
      <c r="F153" s="11">
        <v>17.66</v>
      </c>
      <c r="G153" s="52">
        <f t="shared" si="25"/>
        <v>27.122796000000001</v>
      </c>
      <c r="H153" s="11">
        <v>49.52</v>
      </c>
      <c r="I153" s="11">
        <v>3.13</v>
      </c>
      <c r="J153" s="11">
        <v>0.71</v>
      </c>
      <c r="K153" s="57">
        <v>2485</v>
      </c>
      <c r="L153" s="58">
        <f t="shared" si="26"/>
        <v>13.4312085792</v>
      </c>
      <c r="M153" s="58">
        <f t="shared" si="27"/>
        <v>0.84894351479999997</v>
      </c>
      <c r="N153" s="58">
        <f t="shared" si="28"/>
        <v>0.19257185160000001</v>
      </c>
      <c r="O153" s="58">
        <f t="shared" si="29"/>
        <v>67.400148060000006</v>
      </c>
    </row>
    <row r="154" spans="1:15" ht="15.9" customHeight="1">
      <c r="A154" s="101"/>
      <c r="B154" s="102"/>
      <c r="C154" s="106"/>
      <c r="D154" s="107"/>
      <c r="E154" s="105">
        <v>34.659999999999997</v>
      </c>
      <c r="F154" s="11">
        <v>17.559999999999999</v>
      </c>
      <c r="G154" s="52">
        <f t="shared" si="25"/>
        <v>28.573703999999999</v>
      </c>
      <c r="H154" s="11">
        <v>48.09</v>
      </c>
      <c r="I154" s="11">
        <v>2.87</v>
      </c>
      <c r="J154" s="11">
        <v>0.69</v>
      </c>
      <c r="K154" s="57">
        <v>2380</v>
      </c>
      <c r="L154" s="58">
        <f t="shared" si="26"/>
        <v>13.7410942536</v>
      </c>
      <c r="M154" s="58">
        <f t="shared" si="27"/>
        <v>0.82006530479999995</v>
      </c>
      <c r="N154" s="58">
        <f t="shared" si="28"/>
        <v>0.19715855760000001</v>
      </c>
      <c r="O154" s="58">
        <f t="shared" si="29"/>
        <v>68.00541552</v>
      </c>
    </row>
    <row r="155" spans="1:15" ht="15.9" customHeight="1">
      <c r="A155" s="101"/>
      <c r="B155" s="102"/>
      <c r="C155" s="106"/>
      <c r="D155" s="107"/>
      <c r="E155" s="105">
        <v>34.06</v>
      </c>
      <c r="F155" s="11">
        <v>17.84</v>
      </c>
      <c r="G155" s="52">
        <f t="shared" si="25"/>
        <v>27.983695999999998</v>
      </c>
      <c r="H155" s="11">
        <v>49.41</v>
      </c>
      <c r="I155" s="11">
        <v>2.94</v>
      </c>
      <c r="J155" s="11">
        <v>0.71</v>
      </c>
      <c r="K155" s="57">
        <v>2424</v>
      </c>
      <c r="L155" s="58">
        <f t="shared" si="26"/>
        <v>13.8267441936</v>
      </c>
      <c r="M155" s="58">
        <f t="shared" si="27"/>
        <v>0.82272066239999997</v>
      </c>
      <c r="N155" s="58">
        <f t="shared" si="28"/>
        <v>0.19868424160000001</v>
      </c>
      <c r="O155" s="58">
        <f t="shared" si="29"/>
        <v>67.832479104000001</v>
      </c>
    </row>
    <row r="156" spans="1:15" ht="15.9" customHeight="1">
      <c r="A156" s="101"/>
      <c r="B156" s="102"/>
      <c r="C156" s="106"/>
      <c r="D156" s="107"/>
      <c r="E156" s="105">
        <v>33.700000000000003</v>
      </c>
      <c r="F156" s="11">
        <v>17.079999999999998</v>
      </c>
      <c r="G156" s="52">
        <f t="shared" si="25"/>
        <v>27.944040000000001</v>
      </c>
      <c r="H156" s="11">
        <v>48.53</v>
      </c>
      <c r="I156" s="11">
        <v>3.24</v>
      </c>
      <c r="J156" s="11">
        <v>0.71</v>
      </c>
      <c r="K156" s="57">
        <v>2471</v>
      </c>
      <c r="L156" s="58">
        <f t="shared" si="26"/>
        <v>13.561242611999999</v>
      </c>
      <c r="M156" s="58">
        <f t="shared" si="27"/>
        <v>0.905386896</v>
      </c>
      <c r="N156" s="58">
        <f t="shared" si="28"/>
        <v>0.198402684</v>
      </c>
      <c r="O156" s="58">
        <f t="shared" si="29"/>
        <v>69.049722840000001</v>
      </c>
    </row>
    <row r="157" spans="1:15" ht="15.9" customHeight="1">
      <c r="A157" s="101"/>
      <c r="B157" s="102"/>
      <c r="C157" s="106"/>
      <c r="D157" s="107"/>
      <c r="E157" s="105">
        <v>33.68</v>
      </c>
      <c r="F157" s="11">
        <v>17.93</v>
      </c>
      <c r="G157" s="52">
        <f t="shared" si="25"/>
        <v>27.641176000000002</v>
      </c>
      <c r="H157" s="11">
        <v>49.85</v>
      </c>
      <c r="I157" s="11">
        <v>3.24</v>
      </c>
      <c r="J157" s="11">
        <v>0.74</v>
      </c>
      <c r="K157" s="57">
        <v>2528</v>
      </c>
      <c r="L157" s="58">
        <f t="shared" si="26"/>
        <v>13.779126236</v>
      </c>
      <c r="M157" s="58">
        <f t="shared" si="27"/>
        <v>0.89557410240000002</v>
      </c>
      <c r="N157" s="58">
        <f t="shared" si="28"/>
        <v>0.2045447024</v>
      </c>
      <c r="O157" s="58">
        <f t="shared" si="29"/>
        <v>69.876892928000004</v>
      </c>
    </row>
    <row r="158" spans="1:15" ht="15.9" customHeight="1">
      <c r="A158" s="101"/>
      <c r="B158" s="102"/>
      <c r="C158" s="106"/>
      <c r="D158" s="107"/>
      <c r="E158" s="105">
        <v>33.26</v>
      </c>
      <c r="F158" s="11">
        <v>18.09</v>
      </c>
      <c r="G158" s="52">
        <f t="shared" si="25"/>
        <v>27.243265999999998</v>
      </c>
      <c r="H158" s="11">
        <v>49.92</v>
      </c>
      <c r="I158" s="11">
        <v>3.19</v>
      </c>
      <c r="J158" s="11">
        <v>0.72</v>
      </c>
      <c r="K158" s="57">
        <v>2517</v>
      </c>
      <c r="L158" s="58">
        <f t="shared" si="26"/>
        <v>13.5998383872</v>
      </c>
      <c r="M158" s="58">
        <f t="shared" si="27"/>
        <v>0.86906018539999996</v>
      </c>
      <c r="N158" s="58">
        <f t="shared" si="28"/>
        <v>0.19615151519999999</v>
      </c>
      <c r="O158" s="58">
        <f t="shared" si="29"/>
        <v>68.571300522000001</v>
      </c>
    </row>
    <row r="159" spans="1:15" ht="15.9" customHeight="1">
      <c r="A159" s="101"/>
      <c r="B159" s="102"/>
      <c r="C159" s="106"/>
      <c r="D159" s="107"/>
      <c r="E159" s="105">
        <v>33.14</v>
      </c>
      <c r="F159" s="11">
        <v>17.95</v>
      </c>
      <c r="G159" s="52">
        <f t="shared" si="25"/>
        <v>27.191369999999999</v>
      </c>
      <c r="H159" s="11">
        <v>49.48</v>
      </c>
      <c r="I159" s="11">
        <v>3.08</v>
      </c>
      <c r="J159" s="11">
        <v>0.71</v>
      </c>
      <c r="K159" s="57">
        <v>2525</v>
      </c>
      <c r="L159" s="58">
        <f t="shared" si="26"/>
        <v>13.454289876000001</v>
      </c>
      <c r="M159" s="58">
        <f t="shared" si="27"/>
        <v>0.83749419599999997</v>
      </c>
      <c r="N159" s="58">
        <f t="shared" si="28"/>
        <v>0.19305872700000001</v>
      </c>
      <c r="O159" s="58">
        <f t="shared" si="29"/>
        <v>68.658209249999999</v>
      </c>
    </row>
    <row r="160" spans="1:15" ht="15.9" customHeight="1">
      <c r="A160" s="101"/>
      <c r="B160" s="102"/>
      <c r="C160" s="106"/>
      <c r="D160" s="107"/>
      <c r="E160" s="105">
        <v>34.06</v>
      </c>
      <c r="F160" s="11">
        <v>17.75</v>
      </c>
      <c r="G160" s="52">
        <f t="shared" si="25"/>
        <v>28.01435</v>
      </c>
      <c r="H160" s="11">
        <v>48.74</v>
      </c>
      <c r="I160" s="11">
        <v>3.29</v>
      </c>
      <c r="J160" s="11">
        <v>0.7</v>
      </c>
      <c r="K160" s="57">
        <v>2377</v>
      </c>
      <c r="L160" s="58">
        <f t="shared" si="26"/>
        <v>13.65419419</v>
      </c>
      <c r="M160" s="58">
        <f t="shared" si="27"/>
        <v>0.92167211500000001</v>
      </c>
      <c r="N160" s="58">
        <f t="shared" si="28"/>
        <v>0.19610045000000001</v>
      </c>
      <c r="O160" s="58">
        <f t="shared" si="29"/>
        <v>66.590109949999999</v>
      </c>
    </row>
    <row r="161" spans="1:15" ht="15.9" customHeight="1">
      <c r="A161" s="101"/>
      <c r="B161" s="102"/>
      <c r="C161" s="106"/>
      <c r="D161" s="107"/>
      <c r="E161" s="105">
        <v>33.32</v>
      </c>
      <c r="F161" s="11">
        <v>16.54</v>
      </c>
      <c r="G161" s="52">
        <f t="shared" si="25"/>
        <v>27.808872000000001</v>
      </c>
      <c r="H161" s="11">
        <v>49.98</v>
      </c>
      <c r="I161" s="11">
        <v>3.75</v>
      </c>
      <c r="J161" s="11">
        <v>0.76</v>
      </c>
      <c r="K161" s="57">
        <v>2470</v>
      </c>
      <c r="L161" s="58">
        <f t="shared" si="26"/>
        <v>13.8988742256</v>
      </c>
      <c r="M161" s="58">
        <f t="shared" si="27"/>
        <v>1.0428326999999999</v>
      </c>
      <c r="N161" s="58">
        <f t="shared" si="28"/>
        <v>0.21134742719999999</v>
      </c>
      <c r="O161" s="58">
        <f t="shared" si="29"/>
        <v>68.687913839999993</v>
      </c>
    </row>
    <row r="162" spans="1:15" ht="15.9" customHeight="1">
      <c r="A162" s="101"/>
      <c r="B162" s="102"/>
      <c r="C162" s="106"/>
      <c r="D162" s="107"/>
      <c r="E162" s="105">
        <v>34.22</v>
      </c>
      <c r="F162" s="11">
        <v>16.96</v>
      </c>
      <c r="G162" s="52">
        <f t="shared" si="25"/>
        <v>28.416288000000002</v>
      </c>
      <c r="H162" s="11">
        <v>49.32</v>
      </c>
      <c r="I162" s="11">
        <v>3.73</v>
      </c>
      <c r="J162" s="11">
        <v>0.74</v>
      </c>
      <c r="K162" s="57">
        <v>2420</v>
      </c>
      <c r="L162" s="58">
        <f t="shared" si="26"/>
        <v>14.0149132416</v>
      </c>
      <c r="M162" s="58">
        <f t="shared" si="27"/>
        <v>1.0599275424000001</v>
      </c>
      <c r="N162" s="58">
        <f t="shared" si="28"/>
        <v>0.21028053120000001</v>
      </c>
      <c r="O162" s="58">
        <f t="shared" si="29"/>
        <v>68.767416960000006</v>
      </c>
    </row>
    <row r="163" spans="1:15" ht="15.9" customHeight="1">
      <c r="A163" s="101"/>
      <c r="B163" s="102"/>
      <c r="C163" s="106"/>
      <c r="D163" s="107"/>
      <c r="E163" s="105">
        <v>32.82</v>
      </c>
      <c r="F163" s="11">
        <v>16.93</v>
      </c>
      <c r="G163" s="52">
        <f t="shared" si="25"/>
        <v>27.263573999999998</v>
      </c>
      <c r="H163" s="11">
        <v>49.18</v>
      </c>
      <c r="I163" s="11">
        <v>3.73</v>
      </c>
      <c r="J163" s="11">
        <v>0.74</v>
      </c>
      <c r="K163" s="57">
        <v>2440</v>
      </c>
      <c r="L163" s="58">
        <f t="shared" si="26"/>
        <v>13.4082256932</v>
      </c>
      <c r="M163" s="58">
        <f t="shared" si="27"/>
        <v>1.0169313101999999</v>
      </c>
      <c r="N163" s="58">
        <f t="shared" si="28"/>
        <v>0.20175044759999999</v>
      </c>
      <c r="O163" s="58">
        <f t="shared" si="29"/>
        <v>66.523120559999995</v>
      </c>
    </row>
    <row r="164" spans="1:15" ht="15.9" customHeight="1">
      <c r="A164" s="101"/>
      <c r="B164" s="102"/>
      <c r="C164" s="106"/>
      <c r="D164" s="107"/>
      <c r="E164" s="105">
        <v>33.64</v>
      </c>
      <c r="F164" s="11">
        <v>16.8</v>
      </c>
      <c r="G164" s="52">
        <f t="shared" si="25"/>
        <v>27.988479999999999</v>
      </c>
      <c r="H164" s="11">
        <v>49</v>
      </c>
      <c r="I164" s="11">
        <v>3.66</v>
      </c>
      <c r="J164" s="11">
        <v>0.73</v>
      </c>
      <c r="K164" s="57">
        <v>2410</v>
      </c>
      <c r="L164" s="58">
        <f t="shared" si="26"/>
        <v>13.7143552</v>
      </c>
      <c r="M164" s="58">
        <f t="shared" si="27"/>
        <v>1.024378368</v>
      </c>
      <c r="N164" s="58">
        <f t="shared" si="28"/>
        <v>0.20431590399999999</v>
      </c>
      <c r="O164" s="58">
        <f t="shared" si="29"/>
        <v>67.452236799999994</v>
      </c>
    </row>
    <row r="165" spans="1:15" ht="15.9" customHeight="1">
      <c r="A165" s="101"/>
      <c r="B165" s="102"/>
      <c r="C165" s="106"/>
      <c r="D165" s="107"/>
      <c r="E165" s="105">
        <v>34.32</v>
      </c>
      <c r="F165" s="11">
        <v>15.92</v>
      </c>
      <c r="G165" s="52">
        <f t="shared" si="25"/>
        <v>28.856255999999998</v>
      </c>
      <c r="H165" s="11">
        <v>47.68</v>
      </c>
      <c r="I165" s="11">
        <v>4.21</v>
      </c>
      <c r="J165" s="11">
        <v>0.79</v>
      </c>
      <c r="K165" s="57">
        <v>2320</v>
      </c>
      <c r="L165" s="58">
        <f t="shared" si="26"/>
        <v>13.758662860799999</v>
      </c>
      <c r="M165" s="58">
        <f t="shared" si="27"/>
        <v>1.2148483776000001</v>
      </c>
      <c r="N165" s="58">
        <f t="shared" si="28"/>
        <v>0.22796442240000001</v>
      </c>
      <c r="O165" s="58">
        <f t="shared" si="29"/>
        <v>66.946513920000001</v>
      </c>
    </row>
    <row r="166" spans="1:15" ht="15.9" customHeight="1">
      <c r="A166" s="101"/>
      <c r="B166" s="102"/>
      <c r="C166" s="106"/>
      <c r="D166" s="107"/>
      <c r="E166" s="105"/>
      <c r="F166" s="11"/>
      <c r="G166" s="52">
        <f t="shared" si="25"/>
        <v>0</v>
      </c>
      <c r="H166" s="11"/>
      <c r="I166" s="11"/>
      <c r="J166" s="11"/>
      <c r="K166" s="57"/>
      <c r="L166" s="58">
        <f t="shared" si="26"/>
        <v>0</v>
      </c>
      <c r="M166" s="58">
        <f t="shared" si="27"/>
        <v>0</v>
      </c>
      <c r="N166" s="58">
        <f t="shared" si="28"/>
        <v>0</v>
      </c>
      <c r="O166" s="58">
        <f t="shared" si="29"/>
        <v>0</v>
      </c>
    </row>
    <row r="167" spans="1:15" ht="15.9" customHeight="1">
      <c r="A167" s="101"/>
      <c r="B167" s="102"/>
      <c r="C167" s="106"/>
      <c r="D167" s="107"/>
      <c r="E167" s="105"/>
      <c r="F167" s="11"/>
      <c r="G167" s="52">
        <f t="shared" ref="G167:G173" si="30">E167*(100-F167)/100</f>
        <v>0</v>
      </c>
      <c r="H167" s="11"/>
      <c r="I167" s="11"/>
      <c r="J167" s="11"/>
      <c r="K167" s="57"/>
      <c r="L167" s="58">
        <f t="shared" si="26"/>
        <v>0</v>
      </c>
      <c r="M167" s="58">
        <f t="shared" si="27"/>
        <v>0</v>
      </c>
      <c r="N167" s="58">
        <f t="shared" si="28"/>
        <v>0</v>
      </c>
      <c r="O167" s="58">
        <f t="shared" si="29"/>
        <v>0</v>
      </c>
    </row>
    <row r="168" spans="1:15" ht="15.9" customHeight="1">
      <c r="A168" s="101"/>
      <c r="B168" s="102"/>
      <c r="C168" s="106"/>
      <c r="D168" s="107"/>
      <c r="E168" s="105"/>
      <c r="F168" s="11"/>
      <c r="G168" s="52">
        <f t="shared" si="30"/>
        <v>0</v>
      </c>
      <c r="H168" s="11"/>
      <c r="I168" s="11"/>
      <c r="J168" s="11"/>
      <c r="K168" s="57"/>
      <c r="L168" s="58">
        <f t="shared" si="26"/>
        <v>0</v>
      </c>
      <c r="M168" s="58">
        <f t="shared" si="27"/>
        <v>0</v>
      </c>
      <c r="N168" s="58">
        <f t="shared" si="28"/>
        <v>0</v>
      </c>
      <c r="O168" s="58">
        <f t="shared" si="29"/>
        <v>0</v>
      </c>
    </row>
    <row r="169" spans="1:15" ht="15.9" customHeight="1">
      <c r="A169" s="101"/>
      <c r="B169" s="102"/>
      <c r="C169" s="106"/>
      <c r="D169" s="107"/>
      <c r="E169" s="105"/>
      <c r="F169" s="11"/>
      <c r="G169" s="52">
        <f t="shared" si="30"/>
        <v>0</v>
      </c>
      <c r="H169" s="11"/>
      <c r="I169" s="11"/>
      <c r="J169" s="11"/>
      <c r="K169" s="57"/>
      <c r="L169" s="58">
        <f t="shared" si="26"/>
        <v>0</v>
      </c>
      <c r="M169" s="58">
        <f t="shared" si="27"/>
        <v>0</v>
      </c>
      <c r="N169" s="58">
        <f t="shared" si="28"/>
        <v>0</v>
      </c>
      <c r="O169" s="58">
        <f t="shared" si="29"/>
        <v>0</v>
      </c>
    </row>
    <row r="170" spans="1:15" ht="15.9" customHeight="1">
      <c r="A170" s="101"/>
      <c r="B170" s="102"/>
      <c r="C170" s="106"/>
      <c r="D170" s="107"/>
      <c r="E170" s="105"/>
      <c r="F170" s="11"/>
      <c r="G170" s="52">
        <f t="shared" si="30"/>
        <v>0</v>
      </c>
      <c r="H170" s="11"/>
      <c r="I170" s="11"/>
      <c r="J170" s="11"/>
      <c r="K170" s="57"/>
      <c r="L170" s="58">
        <f t="shared" si="26"/>
        <v>0</v>
      </c>
      <c r="M170" s="58">
        <f t="shared" si="27"/>
        <v>0</v>
      </c>
      <c r="N170" s="58">
        <f t="shared" si="28"/>
        <v>0</v>
      </c>
      <c r="O170" s="58">
        <f t="shared" si="29"/>
        <v>0</v>
      </c>
    </row>
    <row r="171" spans="1:15" ht="15.9" customHeight="1">
      <c r="A171" s="101"/>
      <c r="B171" s="102"/>
      <c r="C171" s="106"/>
      <c r="D171" s="107"/>
      <c r="E171" s="105"/>
      <c r="F171" s="11"/>
      <c r="G171" s="52">
        <f t="shared" si="30"/>
        <v>0</v>
      </c>
      <c r="H171" s="11"/>
      <c r="I171" s="11"/>
      <c r="J171" s="11"/>
      <c r="K171" s="57"/>
      <c r="L171" s="58">
        <f t="shared" si="26"/>
        <v>0</v>
      </c>
      <c r="M171" s="58">
        <f t="shared" si="27"/>
        <v>0</v>
      </c>
      <c r="N171" s="58">
        <f t="shared" si="28"/>
        <v>0</v>
      </c>
      <c r="O171" s="58">
        <f t="shared" si="29"/>
        <v>0</v>
      </c>
    </row>
    <row r="172" spans="1:15" ht="15.9" customHeight="1">
      <c r="A172" s="101"/>
      <c r="B172" s="102"/>
      <c r="C172" s="106"/>
      <c r="D172" s="107"/>
      <c r="E172" s="105"/>
      <c r="F172" s="11"/>
      <c r="G172" s="52">
        <f t="shared" si="30"/>
        <v>0</v>
      </c>
      <c r="H172" s="11"/>
      <c r="I172" s="11"/>
      <c r="J172" s="11"/>
      <c r="K172" s="57"/>
      <c r="L172" s="58">
        <f t="shared" si="26"/>
        <v>0</v>
      </c>
      <c r="M172" s="58">
        <f t="shared" si="27"/>
        <v>0</v>
      </c>
      <c r="N172" s="58">
        <f t="shared" si="28"/>
        <v>0</v>
      </c>
      <c r="O172" s="58">
        <f t="shared" si="29"/>
        <v>0</v>
      </c>
    </row>
    <row r="173" spans="1:15" ht="15.9" customHeight="1">
      <c r="A173" s="109"/>
      <c r="B173" s="110"/>
      <c r="C173" s="106" t="s">
        <v>319</v>
      </c>
      <c r="D173" s="107"/>
      <c r="E173" s="105"/>
      <c r="F173" s="111"/>
      <c r="G173" s="52">
        <f t="shared" si="30"/>
        <v>0</v>
      </c>
      <c r="H173" s="52"/>
      <c r="I173" s="52"/>
      <c r="J173" s="52"/>
      <c r="K173" s="118"/>
      <c r="L173" s="58">
        <f t="shared" si="26"/>
        <v>0</v>
      </c>
      <c r="M173" s="58">
        <f t="shared" si="27"/>
        <v>0</v>
      </c>
      <c r="N173" s="58">
        <f t="shared" si="28"/>
        <v>0</v>
      </c>
      <c r="O173" s="58">
        <f t="shared" si="29"/>
        <v>0</v>
      </c>
    </row>
    <row r="174" spans="1:15" ht="15.9" customHeight="1">
      <c r="A174" s="810" t="s">
        <v>546</v>
      </c>
      <c r="B174" s="811"/>
      <c r="C174" s="812"/>
      <c r="D174" s="813"/>
      <c r="E174" s="112">
        <f>SUM(E4:E173)</f>
        <v>5441.92</v>
      </c>
      <c r="F174" s="113">
        <f>(E174-G174)/E174*100</f>
        <v>16.179227441785201</v>
      </c>
      <c r="G174" s="114">
        <f>SUM(G4:G173)</f>
        <v>4561.4593860000004</v>
      </c>
      <c r="H174" s="114">
        <f>L174/G174*100</f>
        <v>50.019571776965499</v>
      </c>
      <c r="I174" s="114">
        <f>M174/G174*100</f>
        <v>3.2943970494490298</v>
      </c>
      <c r="J174" s="114">
        <f>N174/G174*100</f>
        <v>0.72177505115245599</v>
      </c>
      <c r="K174" s="119">
        <f>O174/G174*1000</f>
        <v>2459.5658363215798</v>
      </c>
      <c r="L174" s="120">
        <f>SUM(L4:L173)</f>
        <v>2281.6224516573998</v>
      </c>
      <c r="M174" s="120">
        <f>SUM(M4:M173)</f>
        <v>150.27258342420001</v>
      </c>
      <c r="N174" s="120">
        <f>SUM(N4:N173)</f>
        <v>32.923475816600003</v>
      </c>
      <c r="O174" s="120">
        <f>SUM(O4:O173)</f>
        <v>11219.209669574</v>
      </c>
    </row>
    <row r="175" spans="1:15" ht="15.9" customHeight="1"/>
    <row r="176" spans="1:15" ht="15.9" customHeight="1">
      <c r="G176" s="83"/>
      <c r="H176" s="83"/>
      <c r="I176" s="83"/>
      <c r="J176" s="83"/>
      <c r="K176" s="83"/>
      <c r="L176" s="121"/>
      <c r="M176" s="121"/>
      <c r="N176" s="121"/>
      <c r="O176" s="121"/>
    </row>
    <row r="177" spans="2:15" ht="15.9" customHeight="1">
      <c r="D177" s="115"/>
      <c r="E177" s="78">
        <v>5090.5</v>
      </c>
      <c r="F177" s="116"/>
      <c r="G177" s="90"/>
      <c r="H177" s="90"/>
      <c r="I177" s="90"/>
      <c r="J177" s="90"/>
      <c r="K177" s="90"/>
      <c r="L177" s="90"/>
      <c r="M177" s="90"/>
      <c r="N177" s="90"/>
      <c r="O177" s="90"/>
    </row>
    <row r="178" spans="2:15" ht="15.9" customHeight="1">
      <c r="B178" s="36"/>
      <c r="C178" s="117"/>
      <c r="D178" s="36"/>
    </row>
    <row r="179" spans="2:15" ht="15.9" customHeight="1">
      <c r="B179" s="36"/>
      <c r="C179" s="117"/>
      <c r="D179" s="36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2:15" ht="15.9" customHeight="1">
      <c r="B180" s="36"/>
      <c r="C180" s="117"/>
      <c r="D180" s="36"/>
      <c r="E180" s="40">
        <f>E177-E174</f>
        <v>-351.42</v>
      </c>
      <c r="F180" s="40"/>
    </row>
    <row r="181" spans="2:15" ht="15.9" customHeight="1">
      <c r="B181" s="36"/>
      <c r="C181" s="117"/>
      <c r="D181" s="36"/>
    </row>
    <row r="182" spans="2:15" ht="15.9" customHeight="1">
      <c r="B182" s="36"/>
      <c r="C182" s="117"/>
      <c r="D182" s="36"/>
      <c r="F182" s="40"/>
      <c r="H182" s="40">
        <v>50.559493560254097</v>
      </c>
      <c r="I182" s="83"/>
      <c r="J182" s="83"/>
      <c r="K182" s="122">
        <v>2479.7397394117302</v>
      </c>
      <c r="L182" s="83">
        <v>2092.7391735185902</v>
      </c>
      <c r="M182" s="83"/>
      <c r="O182" s="83">
        <v>10264.043659007801</v>
      </c>
    </row>
    <row r="183" spans="2:15" ht="15.9" customHeight="1">
      <c r="B183" s="36"/>
      <c r="C183" s="117"/>
      <c r="D183" s="36"/>
      <c r="G183" s="83"/>
      <c r="H183" s="83"/>
      <c r="I183" s="83"/>
      <c r="J183" s="83"/>
      <c r="K183" s="122"/>
      <c r="L183" s="83"/>
      <c r="M183" s="83"/>
      <c r="N183" s="83"/>
      <c r="O183" s="83"/>
    </row>
    <row r="184" spans="2:15" ht="15" customHeight="1">
      <c r="B184" s="36"/>
      <c r="C184" s="117"/>
      <c r="D184" s="36"/>
      <c r="G184" s="83"/>
      <c r="H184" s="83"/>
      <c r="I184" s="83"/>
      <c r="J184" s="83"/>
      <c r="K184" s="83"/>
      <c r="L184" s="83">
        <f>L174-L182</f>
        <v>188.88327813881099</v>
      </c>
      <c r="M184" s="83"/>
      <c r="N184" s="83"/>
      <c r="O184" s="83">
        <f>O174-O182</f>
        <v>955.16601056619197</v>
      </c>
    </row>
    <row r="185" spans="2:15" ht="15" customHeight="1">
      <c r="B185" s="36"/>
      <c r="C185" s="117"/>
      <c r="D185" s="36"/>
      <c r="F185" s="40"/>
      <c r="G185" s="83"/>
      <c r="H185" s="83"/>
      <c r="I185" s="83"/>
      <c r="J185" s="83"/>
      <c r="K185" s="83"/>
      <c r="L185" s="83"/>
      <c r="M185" s="83"/>
      <c r="N185" s="83"/>
      <c r="O185" s="83"/>
    </row>
    <row r="186" spans="2:15" ht="15.9" customHeight="1">
      <c r="B186" s="36"/>
      <c r="C186" s="117"/>
      <c r="D186" s="36"/>
      <c r="F186" s="40"/>
      <c r="G186" s="83"/>
      <c r="H186" s="83"/>
      <c r="I186" s="83"/>
      <c r="J186" s="83"/>
      <c r="K186" s="83"/>
      <c r="L186" s="83"/>
      <c r="M186" s="83"/>
      <c r="N186" s="83"/>
      <c r="O186" s="83"/>
    </row>
    <row r="187" spans="2:15" ht="15.9" customHeight="1">
      <c r="B187" s="36"/>
      <c r="C187" s="117"/>
      <c r="D187" s="36"/>
      <c r="F187" s="40"/>
      <c r="G187" s="83"/>
      <c r="H187" s="83"/>
      <c r="I187" s="83"/>
      <c r="J187" s="83"/>
      <c r="K187" s="83"/>
      <c r="L187" s="83"/>
      <c r="M187" s="83"/>
      <c r="N187" s="83"/>
      <c r="O187" s="83"/>
    </row>
    <row r="188" spans="2:15" ht="15.9" customHeight="1">
      <c r="B188" s="36"/>
      <c r="C188" s="117"/>
      <c r="D188" s="36"/>
    </row>
  </sheetData>
  <mergeCells count="9">
    <mergeCell ref="A1:O1"/>
    <mergeCell ref="E2:G2"/>
    <mergeCell ref="H2:K2"/>
    <mergeCell ref="L2:O2"/>
    <mergeCell ref="A174:D174"/>
    <mergeCell ref="A2:A3"/>
    <mergeCell ref="B2:B3"/>
    <mergeCell ref="C2:C3"/>
    <mergeCell ref="D2:D3"/>
  </mergeCells>
  <phoneticPr fontId="54" type="noConversion"/>
  <pageMargins left="0.69930555555555596" right="0.69930555555555596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2"/>
  <dimension ref="A1:Q982"/>
  <sheetViews>
    <sheetView topLeftCell="A29" workbookViewId="0">
      <selection activeCell="Q7" sqref="Q7"/>
    </sheetView>
  </sheetViews>
  <sheetFormatPr defaultColWidth="9" defaultRowHeight="15.6"/>
  <cols>
    <col min="1" max="1" width="9.109375" style="36" customWidth="1"/>
    <col min="2" max="2" width="10.77734375" style="37" customWidth="1"/>
    <col min="3" max="3" width="12.88671875" style="38" customWidth="1"/>
    <col min="4" max="4" width="15.44140625" style="39" customWidth="1"/>
    <col min="5" max="5" width="9.88671875" style="36" customWidth="1"/>
    <col min="6" max="6" width="7.6640625" style="40" customWidth="1"/>
    <col min="7" max="7" width="10.33203125" style="36" customWidth="1"/>
    <col min="8" max="10" width="7.6640625" style="36" customWidth="1"/>
    <col min="11" max="11" width="9.88671875" style="36" customWidth="1"/>
    <col min="12" max="12" width="8.6640625" style="36" customWidth="1"/>
    <col min="13" max="13" width="8.21875" style="36" customWidth="1"/>
    <col min="14" max="14" width="10.44140625" style="36" customWidth="1"/>
    <col min="15" max="15" width="11" style="36" customWidth="1"/>
    <col min="16" max="21" width="9.109375" style="36" customWidth="1"/>
    <col min="22" max="22" width="9.44140625" style="36" customWidth="1"/>
    <col min="23" max="23" width="9.109375" style="36" customWidth="1"/>
    <col min="24" max="16384" width="9" style="36"/>
  </cols>
  <sheetData>
    <row r="1" spans="1:15" ht="23.25" customHeight="1">
      <c r="A1" s="822" t="s">
        <v>706</v>
      </c>
      <c r="B1" s="822"/>
      <c r="C1" s="822"/>
      <c r="D1" s="822"/>
      <c r="E1" s="822"/>
      <c r="F1" s="823"/>
      <c r="G1" s="822"/>
      <c r="H1" s="822"/>
      <c r="I1" s="822"/>
      <c r="J1" s="822"/>
      <c r="K1" s="822"/>
      <c r="L1" s="822"/>
      <c r="M1" s="822"/>
      <c r="N1" s="822"/>
      <c r="O1" s="822"/>
    </row>
    <row r="2" spans="1:15">
      <c r="A2" s="41" t="s">
        <v>707</v>
      </c>
      <c r="B2" s="42"/>
      <c r="C2" s="43"/>
      <c r="D2" s="44"/>
      <c r="E2" s="41"/>
      <c r="F2" s="45"/>
      <c r="G2" s="41"/>
      <c r="H2" s="41"/>
      <c r="I2" s="41"/>
      <c r="J2" s="41"/>
      <c r="K2" s="41"/>
      <c r="L2" s="41"/>
      <c r="M2" s="41"/>
      <c r="N2" s="55" t="s">
        <v>708</v>
      </c>
      <c r="O2" s="41" t="s">
        <v>709</v>
      </c>
    </row>
    <row r="3" spans="1:15" ht="15.75" customHeight="1">
      <c r="A3" s="830" t="s">
        <v>388</v>
      </c>
      <c r="B3" s="816" t="s">
        <v>177</v>
      </c>
      <c r="C3" s="832" t="s">
        <v>389</v>
      </c>
      <c r="D3" s="820" t="s">
        <v>710</v>
      </c>
      <c r="E3" s="808" t="s">
        <v>293</v>
      </c>
      <c r="F3" s="807"/>
      <c r="G3" s="808"/>
      <c r="H3" s="808" t="s">
        <v>294</v>
      </c>
      <c r="I3" s="808"/>
      <c r="J3" s="808"/>
      <c r="K3" s="808"/>
      <c r="L3" s="808" t="s">
        <v>295</v>
      </c>
      <c r="M3" s="808"/>
      <c r="N3" s="808"/>
      <c r="O3" s="809"/>
    </row>
    <row r="4" spans="1:15" ht="17.25" customHeight="1">
      <c r="A4" s="831"/>
      <c r="B4" s="817"/>
      <c r="C4" s="833"/>
      <c r="D4" s="821"/>
      <c r="E4" s="46" t="s">
        <v>296</v>
      </c>
      <c r="F4" s="47" t="s">
        <v>154</v>
      </c>
      <c r="G4" s="46" t="s">
        <v>297</v>
      </c>
      <c r="H4" s="46" t="s">
        <v>62</v>
      </c>
      <c r="I4" s="46" t="s">
        <v>6</v>
      </c>
      <c r="J4" s="46" t="s">
        <v>7</v>
      </c>
      <c r="K4" s="46" t="s">
        <v>51</v>
      </c>
      <c r="L4" s="46" t="s">
        <v>298</v>
      </c>
      <c r="M4" s="46" t="s">
        <v>299</v>
      </c>
      <c r="N4" s="46" t="s">
        <v>300</v>
      </c>
      <c r="O4" s="56" t="s">
        <v>301</v>
      </c>
    </row>
    <row r="5" spans="1:15" ht="15.9" customHeight="1">
      <c r="A5" s="48"/>
      <c r="B5" s="49"/>
      <c r="C5" s="50"/>
      <c r="D5" s="51"/>
      <c r="E5" s="52"/>
      <c r="F5" s="52"/>
      <c r="G5" s="53">
        <f>E5*(100-F5)/100</f>
        <v>0</v>
      </c>
      <c r="H5" s="11"/>
      <c r="I5" s="11"/>
      <c r="J5" s="11"/>
      <c r="K5" s="57"/>
      <c r="L5" s="58">
        <f>G5*H5/100</f>
        <v>0</v>
      </c>
      <c r="M5" s="59">
        <f>G5*I5/100</f>
        <v>0</v>
      </c>
      <c r="N5" s="59">
        <f>G5*J5/100</f>
        <v>0</v>
      </c>
      <c r="O5" s="60">
        <f>G5*K5/1000</f>
        <v>0</v>
      </c>
    </row>
    <row r="6" spans="1:15" ht="15.9" customHeight="1">
      <c r="A6" s="48"/>
      <c r="B6" s="49"/>
      <c r="C6" s="50"/>
      <c r="D6" s="51"/>
      <c r="E6" s="52"/>
      <c r="F6" s="52"/>
      <c r="G6" s="53">
        <f t="shared" ref="G6:G13" si="0">E6*(100-F6)/100</f>
        <v>0</v>
      </c>
      <c r="H6" s="11"/>
      <c r="I6" s="11"/>
      <c r="J6" s="11"/>
      <c r="K6" s="57"/>
      <c r="L6" s="58">
        <f t="shared" ref="L6:L13" si="1">G6*H6/100</f>
        <v>0</v>
      </c>
      <c r="M6" s="59">
        <f t="shared" ref="M6:M13" si="2">G6*I6/100</f>
        <v>0</v>
      </c>
      <c r="N6" s="59">
        <f t="shared" ref="N6:N13" si="3">G6*J6/100</f>
        <v>0</v>
      </c>
      <c r="O6" s="60">
        <f t="shared" ref="O6:O13" si="4">G6*K6/1000</f>
        <v>0</v>
      </c>
    </row>
    <row r="7" spans="1:15" ht="15.9" customHeight="1">
      <c r="A7" s="48"/>
      <c r="B7" s="49"/>
      <c r="C7" s="50"/>
      <c r="D7" s="51"/>
      <c r="E7" s="52"/>
      <c r="F7" s="52"/>
      <c r="G7" s="53">
        <f t="shared" si="0"/>
        <v>0</v>
      </c>
      <c r="H7" s="11"/>
      <c r="I7" s="11"/>
      <c r="J7" s="11"/>
      <c r="K7" s="57"/>
      <c r="L7" s="58">
        <f t="shared" si="1"/>
        <v>0</v>
      </c>
      <c r="M7" s="59">
        <f t="shared" si="2"/>
        <v>0</v>
      </c>
      <c r="N7" s="59">
        <f t="shared" si="3"/>
        <v>0</v>
      </c>
      <c r="O7" s="60">
        <f t="shared" si="4"/>
        <v>0</v>
      </c>
    </row>
    <row r="8" spans="1:15" ht="15.9" customHeight="1">
      <c r="A8" s="48"/>
      <c r="B8" s="49"/>
      <c r="C8" s="50"/>
      <c r="D8" s="51"/>
      <c r="E8" s="52"/>
      <c r="F8" s="52"/>
      <c r="G8" s="53">
        <f t="shared" si="0"/>
        <v>0</v>
      </c>
      <c r="H8" s="11"/>
      <c r="I8" s="11"/>
      <c r="J8" s="11"/>
      <c r="K8" s="57"/>
      <c r="L8" s="58">
        <f t="shared" si="1"/>
        <v>0</v>
      </c>
      <c r="M8" s="59">
        <f t="shared" si="2"/>
        <v>0</v>
      </c>
      <c r="N8" s="59">
        <f t="shared" si="3"/>
        <v>0</v>
      </c>
      <c r="O8" s="60">
        <f t="shared" si="4"/>
        <v>0</v>
      </c>
    </row>
    <row r="9" spans="1:15" ht="15.9" customHeight="1">
      <c r="A9" s="48"/>
      <c r="B9" s="49"/>
      <c r="C9" s="50"/>
      <c r="D9" s="51"/>
      <c r="E9" s="52"/>
      <c r="F9" s="52"/>
      <c r="G9" s="53">
        <f t="shared" si="0"/>
        <v>0</v>
      </c>
      <c r="H9" s="11"/>
      <c r="I9" s="11"/>
      <c r="J9" s="11"/>
      <c r="K9" s="57"/>
      <c r="L9" s="58">
        <f t="shared" si="1"/>
        <v>0</v>
      </c>
      <c r="M9" s="59">
        <f t="shared" si="2"/>
        <v>0</v>
      </c>
      <c r="N9" s="59">
        <f t="shared" si="3"/>
        <v>0</v>
      </c>
      <c r="O9" s="60">
        <f t="shared" si="4"/>
        <v>0</v>
      </c>
    </row>
    <row r="10" spans="1:15" ht="15.9" customHeight="1">
      <c r="A10" s="48"/>
      <c r="B10" s="49"/>
      <c r="C10" s="50"/>
      <c r="D10" s="51"/>
      <c r="E10" s="52"/>
      <c r="F10" s="52"/>
      <c r="G10" s="53">
        <f t="shared" si="0"/>
        <v>0</v>
      </c>
      <c r="H10" s="11"/>
      <c r="I10" s="11"/>
      <c r="J10" s="11"/>
      <c r="K10" s="57"/>
      <c r="L10" s="58">
        <f t="shared" si="1"/>
        <v>0</v>
      </c>
      <c r="M10" s="59">
        <f t="shared" si="2"/>
        <v>0</v>
      </c>
      <c r="N10" s="59">
        <f t="shared" si="3"/>
        <v>0</v>
      </c>
      <c r="O10" s="60">
        <f t="shared" si="4"/>
        <v>0</v>
      </c>
    </row>
    <row r="11" spans="1:15" ht="15.9" customHeight="1">
      <c r="A11" s="48"/>
      <c r="B11" s="49"/>
      <c r="C11" s="50"/>
      <c r="D11" s="51"/>
      <c r="E11" s="52"/>
      <c r="F11" s="52"/>
      <c r="G11" s="53">
        <f t="shared" si="0"/>
        <v>0</v>
      </c>
      <c r="H11" s="11"/>
      <c r="I11" s="11"/>
      <c r="J11" s="11"/>
      <c r="K11" s="57"/>
      <c r="L11" s="58">
        <f t="shared" si="1"/>
        <v>0</v>
      </c>
      <c r="M11" s="59">
        <f t="shared" si="2"/>
        <v>0</v>
      </c>
      <c r="N11" s="59">
        <f t="shared" si="3"/>
        <v>0</v>
      </c>
      <c r="O11" s="60">
        <f t="shared" si="4"/>
        <v>0</v>
      </c>
    </row>
    <row r="12" spans="1:15" ht="15.9" customHeight="1">
      <c r="A12" s="48"/>
      <c r="B12" s="49"/>
      <c r="C12" s="50"/>
      <c r="D12" s="51"/>
      <c r="E12" s="52"/>
      <c r="F12" s="52"/>
      <c r="G12" s="53">
        <f t="shared" si="0"/>
        <v>0</v>
      </c>
      <c r="H12" s="11"/>
      <c r="I12" s="11"/>
      <c r="J12" s="11"/>
      <c r="K12" s="57"/>
      <c r="L12" s="58">
        <f t="shared" si="1"/>
        <v>0</v>
      </c>
      <c r="M12" s="59">
        <f t="shared" si="2"/>
        <v>0</v>
      </c>
      <c r="N12" s="59">
        <f t="shared" si="3"/>
        <v>0</v>
      </c>
      <c r="O12" s="60">
        <f t="shared" si="4"/>
        <v>0</v>
      </c>
    </row>
    <row r="13" spans="1:15" ht="15.9" customHeight="1">
      <c r="A13" s="48"/>
      <c r="B13" s="49"/>
      <c r="C13" s="50"/>
      <c r="D13" s="51"/>
      <c r="E13" s="52"/>
      <c r="F13" s="52"/>
      <c r="G13" s="53">
        <f t="shared" si="0"/>
        <v>0</v>
      </c>
      <c r="H13" s="11"/>
      <c r="I13" s="11"/>
      <c r="J13" s="11"/>
      <c r="K13" s="57"/>
      <c r="L13" s="58">
        <f t="shared" si="1"/>
        <v>0</v>
      </c>
      <c r="M13" s="59">
        <f t="shared" si="2"/>
        <v>0</v>
      </c>
      <c r="N13" s="59">
        <f t="shared" si="3"/>
        <v>0</v>
      </c>
      <c r="O13" s="60">
        <f t="shared" si="4"/>
        <v>0</v>
      </c>
    </row>
    <row r="14" spans="1:15" ht="15.9" customHeight="1">
      <c r="A14" s="48"/>
      <c r="B14" s="49"/>
      <c r="C14" s="50"/>
      <c r="D14" s="51"/>
      <c r="E14" s="52"/>
      <c r="F14" s="52"/>
      <c r="G14" s="53">
        <f t="shared" ref="G14:G34" si="5">E14*(100-F14)/100</f>
        <v>0</v>
      </c>
      <c r="H14" s="11"/>
      <c r="I14" s="11"/>
      <c r="J14" s="11"/>
      <c r="K14" s="57"/>
      <c r="L14" s="58">
        <f t="shared" ref="L14:L22" si="6">G14*H14/100</f>
        <v>0</v>
      </c>
      <c r="M14" s="59">
        <f t="shared" ref="M14:M22" si="7">G14*I14/100</f>
        <v>0</v>
      </c>
      <c r="N14" s="59">
        <f t="shared" ref="N14:N22" si="8">G14*J14/100</f>
        <v>0</v>
      </c>
      <c r="O14" s="60">
        <f t="shared" ref="O14:O22" si="9">G14*K14/1000</f>
        <v>0</v>
      </c>
    </row>
    <row r="15" spans="1:15" ht="15.9" customHeight="1">
      <c r="A15" s="48"/>
      <c r="B15" s="49"/>
      <c r="C15" s="50"/>
      <c r="D15" s="51"/>
      <c r="E15" s="52"/>
      <c r="F15" s="52"/>
      <c r="G15" s="53">
        <f t="shared" si="5"/>
        <v>0</v>
      </c>
      <c r="H15" s="11"/>
      <c r="I15" s="11"/>
      <c r="J15" s="11"/>
      <c r="K15" s="57"/>
      <c r="L15" s="58">
        <f t="shared" si="6"/>
        <v>0</v>
      </c>
      <c r="M15" s="59">
        <f t="shared" si="7"/>
        <v>0</v>
      </c>
      <c r="N15" s="59">
        <f t="shared" si="8"/>
        <v>0</v>
      </c>
      <c r="O15" s="60">
        <f t="shared" si="9"/>
        <v>0</v>
      </c>
    </row>
    <row r="16" spans="1:15" ht="15.9" customHeight="1">
      <c r="A16" s="48"/>
      <c r="B16" s="49"/>
      <c r="C16" s="50"/>
      <c r="D16" s="51"/>
      <c r="E16" s="52"/>
      <c r="F16" s="52"/>
      <c r="G16" s="53">
        <f t="shared" si="5"/>
        <v>0</v>
      </c>
      <c r="H16" s="11"/>
      <c r="I16" s="11"/>
      <c r="J16" s="11"/>
      <c r="K16" s="57"/>
      <c r="L16" s="58">
        <f t="shared" si="6"/>
        <v>0</v>
      </c>
      <c r="M16" s="59">
        <f t="shared" si="7"/>
        <v>0</v>
      </c>
      <c r="N16" s="59">
        <f t="shared" si="8"/>
        <v>0</v>
      </c>
      <c r="O16" s="60">
        <f t="shared" si="9"/>
        <v>0</v>
      </c>
    </row>
    <row r="17" spans="1:15" ht="15.9" customHeight="1">
      <c r="A17" s="48"/>
      <c r="B17" s="49"/>
      <c r="C17" s="50"/>
      <c r="D17" s="51"/>
      <c r="E17" s="52"/>
      <c r="F17" s="52"/>
      <c r="G17" s="53">
        <f t="shared" si="5"/>
        <v>0</v>
      </c>
      <c r="H17" s="11"/>
      <c r="I17" s="11"/>
      <c r="J17" s="11"/>
      <c r="K17" s="57"/>
      <c r="L17" s="58">
        <f t="shared" si="6"/>
        <v>0</v>
      </c>
      <c r="M17" s="59">
        <f t="shared" si="7"/>
        <v>0</v>
      </c>
      <c r="N17" s="59">
        <f t="shared" si="8"/>
        <v>0</v>
      </c>
      <c r="O17" s="60">
        <f t="shared" si="9"/>
        <v>0</v>
      </c>
    </row>
    <row r="18" spans="1:15" ht="15.9" customHeight="1">
      <c r="A18" s="48"/>
      <c r="B18" s="49"/>
      <c r="C18" s="50"/>
      <c r="D18" s="51"/>
      <c r="E18" s="52"/>
      <c r="F18" s="52"/>
      <c r="G18" s="53">
        <f t="shared" si="5"/>
        <v>0</v>
      </c>
      <c r="H18" s="11"/>
      <c r="I18" s="11"/>
      <c r="J18" s="11"/>
      <c r="K18" s="57"/>
      <c r="L18" s="58">
        <f t="shared" si="6"/>
        <v>0</v>
      </c>
      <c r="M18" s="59">
        <f t="shared" si="7"/>
        <v>0</v>
      </c>
      <c r="N18" s="59">
        <f t="shared" si="8"/>
        <v>0</v>
      </c>
      <c r="O18" s="60">
        <f t="shared" si="9"/>
        <v>0</v>
      </c>
    </row>
    <row r="19" spans="1:15" ht="15.9" customHeight="1">
      <c r="A19" s="48"/>
      <c r="B19" s="49"/>
      <c r="C19" s="50"/>
      <c r="D19" s="51"/>
      <c r="E19" s="52"/>
      <c r="F19" s="52"/>
      <c r="G19" s="53">
        <f t="shared" si="5"/>
        <v>0</v>
      </c>
      <c r="H19" s="11"/>
      <c r="I19" s="11"/>
      <c r="J19" s="11"/>
      <c r="K19" s="57"/>
      <c r="L19" s="58">
        <f t="shared" si="6"/>
        <v>0</v>
      </c>
      <c r="M19" s="59">
        <f t="shared" si="7"/>
        <v>0</v>
      </c>
      <c r="N19" s="59">
        <f t="shared" si="8"/>
        <v>0</v>
      </c>
      <c r="O19" s="60">
        <f t="shared" si="9"/>
        <v>0</v>
      </c>
    </row>
    <row r="20" spans="1:15" ht="15.9" customHeight="1">
      <c r="A20" s="48"/>
      <c r="B20" s="49"/>
      <c r="C20" s="50"/>
      <c r="D20" s="51"/>
      <c r="E20" s="52"/>
      <c r="F20" s="52"/>
      <c r="G20" s="53">
        <f t="shared" si="5"/>
        <v>0</v>
      </c>
      <c r="H20" s="11"/>
      <c r="I20" s="11"/>
      <c r="J20" s="11"/>
      <c r="K20" s="57"/>
      <c r="L20" s="58">
        <f t="shared" si="6"/>
        <v>0</v>
      </c>
      <c r="M20" s="59">
        <f t="shared" si="7"/>
        <v>0</v>
      </c>
      <c r="N20" s="59">
        <f t="shared" si="8"/>
        <v>0</v>
      </c>
      <c r="O20" s="60">
        <f t="shared" si="9"/>
        <v>0</v>
      </c>
    </row>
    <row r="21" spans="1:15" ht="15.9" customHeight="1">
      <c r="A21" s="48"/>
      <c r="B21" s="49"/>
      <c r="C21" s="50"/>
      <c r="D21" s="51"/>
      <c r="E21" s="52"/>
      <c r="F21" s="52"/>
      <c r="G21" s="53">
        <f t="shared" si="5"/>
        <v>0</v>
      </c>
      <c r="H21" s="11"/>
      <c r="I21" s="11"/>
      <c r="J21" s="11"/>
      <c r="K21" s="57"/>
      <c r="L21" s="58">
        <f t="shared" si="6"/>
        <v>0</v>
      </c>
      <c r="M21" s="59">
        <f t="shared" si="7"/>
        <v>0</v>
      </c>
      <c r="N21" s="59">
        <f t="shared" si="8"/>
        <v>0</v>
      </c>
      <c r="O21" s="60">
        <f t="shared" si="9"/>
        <v>0</v>
      </c>
    </row>
    <row r="22" spans="1:15" ht="15.9" customHeight="1">
      <c r="A22" s="48"/>
      <c r="B22" s="49"/>
      <c r="C22" s="50"/>
      <c r="D22" s="51"/>
      <c r="E22" s="52"/>
      <c r="F22" s="52"/>
      <c r="G22" s="53">
        <f t="shared" si="5"/>
        <v>0</v>
      </c>
      <c r="H22" s="11"/>
      <c r="I22" s="11"/>
      <c r="J22" s="11"/>
      <c r="K22" s="57"/>
      <c r="L22" s="58">
        <f t="shared" si="6"/>
        <v>0</v>
      </c>
      <c r="M22" s="59">
        <f t="shared" si="7"/>
        <v>0</v>
      </c>
      <c r="N22" s="59">
        <f t="shared" si="8"/>
        <v>0</v>
      </c>
      <c r="O22" s="60">
        <f t="shared" si="9"/>
        <v>0</v>
      </c>
    </row>
    <row r="23" spans="1:15" ht="15.9" customHeight="1">
      <c r="A23" s="48"/>
      <c r="B23" s="49"/>
      <c r="C23" s="50"/>
      <c r="D23" s="51"/>
      <c r="E23" s="52"/>
      <c r="F23" s="52"/>
      <c r="G23" s="53">
        <f t="shared" si="5"/>
        <v>0</v>
      </c>
      <c r="H23" s="11"/>
      <c r="I23" s="11"/>
      <c r="J23" s="11"/>
      <c r="K23" s="57"/>
      <c r="L23" s="58">
        <f t="shared" ref="L23:L33" si="10">G23*H23/100</f>
        <v>0</v>
      </c>
      <c r="M23" s="59">
        <f t="shared" ref="M23:M33" si="11">G23*I23/100</f>
        <v>0</v>
      </c>
      <c r="N23" s="59">
        <f t="shared" ref="N23:N33" si="12">G23*J23/100</f>
        <v>0</v>
      </c>
      <c r="O23" s="60">
        <f t="shared" ref="O23:O33" si="13">G23*K23/1000</f>
        <v>0</v>
      </c>
    </row>
    <row r="24" spans="1:15" ht="15.9" customHeight="1">
      <c r="A24" s="48"/>
      <c r="B24" s="49"/>
      <c r="C24" s="50"/>
      <c r="D24" s="51"/>
      <c r="E24" s="52"/>
      <c r="F24" s="52"/>
      <c r="G24" s="53">
        <f t="shared" si="5"/>
        <v>0</v>
      </c>
      <c r="H24" s="11"/>
      <c r="I24" s="11"/>
      <c r="J24" s="11"/>
      <c r="K24" s="57"/>
      <c r="L24" s="58">
        <f t="shared" si="10"/>
        <v>0</v>
      </c>
      <c r="M24" s="59">
        <f t="shared" si="11"/>
        <v>0</v>
      </c>
      <c r="N24" s="59">
        <f t="shared" si="12"/>
        <v>0</v>
      </c>
      <c r="O24" s="60">
        <f t="shared" si="13"/>
        <v>0</v>
      </c>
    </row>
    <row r="25" spans="1:15" ht="15.9" customHeight="1">
      <c r="A25" s="48"/>
      <c r="B25" s="49"/>
      <c r="C25" s="50"/>
      <c r="D25" s="51"/>
      <c r="E25" s="52"/>
      <c r="F25" s="52"/>
      <c r="G25" s="53">
        <f t="shared" si="5"/>
        <v>0</v>
      </c>
      <c r="H25" s="11"/>
      <c r="I25" s="11"/>
      <c r="J25" s="11"/>
      <c r="K25" s="57"/>
      <c r="L25" s="58">
        <f t="shared" si="10"/>
        <v>0</v>
      </c>
      <c r="M25" s="59">
        <f t="shared" si="11"/>
        <v>0</v>
      </c>
      <c r="N25" s="59">
        <f t="shared" si="12"/>
        <v>0</v>
      </c>
      <c r="O25" s="60">
        <f t="shared" si="13"/>
        <v>0</v>
      </c>
    </row>
    <row r="26" spans="1:15" ht="15.9" customHeight="1">
      <c r="A26" s="48"/>
      <c r="B26" s="49"/>
      <c r="C26" s="50"/>
      <c r="D26" s="51"/>
      <c r="E26" s="52"/>
      <c r="F26" s="52"/>
      <c r="G26" s="53">
        <f t="shared" si="5"/>
        <v>0</v>
      </c>
      <c r="H26" s="11"/>
      <c r="I26" s="11"/>
      <c r="J26" s="11"/>
      <c r="K26" s="57"/>
      <c r="L26" s="58">
        <f t="shared" si="10"/>
        <v>0</v>
      </c>
      <c r="M26" s="59">
        <f t="shared" si="11"/>
        <v>0</v>
      </c>
      <c r="N26" s="59">
        <f t="shared" si="12"/>
        <v>0</v>
      </c>
      <c r="O26" s="60">
        <f t="shared" si="13"/>
        <v>0</v>
      </c>
    </row>
    <row r="27" spans="1:15" ht="15.9" customHeight="1">
      <c r="A27" s="48"/>
      <c r="B27" s="49"/>
      <c r="C27" s="50"/>
      <c r="D27" s="51"/>
      <c r="E27" s="52"/>
      <c r="F27" s="52"/>
      <c r="G27" s="53">
        <f t="shared" si="5"/>
        <v>0</v>
      </c>
      <c r="H27" s="11"/>
      <c r="I27" s="11"/>
      <c r="J27" s="11"/>
      <c r="K27" s="57"/>
      <c r="L27" s="58">
        <f t="shared" si="10"/>
        <v>0</v>
      </c>
      <c r="M27" s="59">
        <f t="shared" si="11"/>
        <v>0</v>
      </c>
      <c r="N27" s="59">
        <f t="shared" si="12"/>
        <v>0</v>
      </c>
      <c r="O27" s="60">
        <f t="shared" si="13"/>
        <v>0</v>
      </c>
    </row>
    <row r="28" spans="1:15" ht="15.9" customHeight="1">
      <c r="A28" s="48"/>
      <c r="B28" s="49"/>
      <c r="C28" s="50"/>
      <c r="D28" s="51"/>
      <c r="E28" s="52"/>
      <c r="F28" s="52"/>
      <c r="G28" s="53">
        <f t="shared" si="5"/>
        <v>0</v>
      </c>
      <c r="H28" s="11"/>
      <c r="I28" s="11"/>
      <c r="J28" s="11"/>
      <c r="K28" s="57"/>
      <c r="L28" s="58">
        <f t="shared" si="10"/>
        <v>0</v>
      </c>
      <c r="M28" s="59">
        <f t="shared" si="11"/>
        <v>0</v>
      </c>
      <c r="N28" s="59">
        <f t="shared" si="12"/>
        <v>0</v>
      </c>
      <c r="O28" s="60">
        <f t="shared" si="13"/>
        <v>0</v>
      </c>
    </row>
    <row r="29" spans="1:15" ht="15.9" customHeight="1">
      <c r="A29" s="48"/>
      <c r="B29" s="49"/>
      <c r="C29" s="50"/>
      <c r="D29" s="51"/>
      <c r="E29" s="52"/>
      <c r="F29" s="52"/>
      <c r="G29" s="53">
        <f t="shared" si="5"/>
        <v>0</v>
      </c>
      <c r="H29" s="11"/>
      <c r="I29" s="11"/>
      <c r="J29" s="11"/>
      <c r="K29" s="57"/>
      <c r="L29" s="58">
        <f t="shared" si="10"/>
        <v>0</v>
      </c>
      <c r="M29" s="59">
        <f t="shared" si="11"/>
        <v>0</v>
      </c>
      <c r="N29" s="59">
        <f t="shared" si="12"/>
        <v>0</v>
      </c>
      <c r="O29" s="60">
        <f t="shared" si="13"/>
        <v>0</v>
      </c>
    </row>
    <row r="30" spans="1:15" ht="15.9" customHeight="1">
      <c r="A30" s="48"/>
      <c r="B30" s="49"/>
      <c r="C30" s="50"/>
      <c r="D30" s="51"/>
      <c r="E30" s="52"/>
      <c r="F30" s="11"/>
      <c r="G30" s="53">
        <f t="shared" si="5"/>
        <v>0</v>
      </c>
      <c r="H30" s="11"/>
      <c r="I30" s="11"/>
      <c r="J30" s="11"/>
      <c r="K30" s="57"/>
      <c r="L30" s="58">
        <f t="shared" si="10"/>
        <v>0</v>
      </c>
      <c r="M30" s="59">
        <f t="shared" si="11"/>
        <v>0</v>
      </c>
      <c r="N30" s="59">
        <f t="shared" si="12"/>
        <v>0</v>
      </c>
      <c r="O30" s="60">
        <f t="shared" si="13"/>
        <v>0</v>
      </c>
    </row>
    <row r="31" spans="1:15" ht="15.9" customHeight="1">
      <c r="A31" s="48"/>
      <c r="B31" s="49"/>
      <c r="C31" s="50"/>
      <c r="D31" s="51"/>
      <c r="E31" s="52"/>
      <c r="F31" s="11"/>
      <c r="G31" s="53">
        <f t="shared" si="5"/>
        <v>0</v>
      </c>
      <c r="H31" s="11"/>
      <c r="I31" s="11"/>
      <c r="J31" s="11"/>
      <c r="K31" s="57"/>
      <c r="L31" s="58">
        <f t="shared" si="10"/>
        <v>0</v>
      </c>
      <c r="M31" s="59">
        <f t="shared" si="11"/>
        <v>0</v>
      </c>
      <c r="N31" s="59">
        <f t="shared" si="12"/>
        <v>0</v>
      </c>
      <c r="O31" s="60">
        <f t="shared" si="13"/>
        <v>0</v>
      </c>
    </row>
    <row r="32" spans="1:15" ht="15.9" customHeight="1">
      <c r="A32" s="48"/>
      <c r="B32" s="49"/>
      <c r="C32" s="50"/>
      <c r="D32" s="51"/>
      <c r="E32" s="52"/>
      <c r="F32" s="11"/>
      <c r="G32" s="53">
        <f t="shared" si="5"/>
        <v>0</v>
      </c>
      <c r="H32" s="11"/>
      <c r="I32" s="11"/>
      <c r="J32" s="11"/>
      <c r="K32" s="57"/>
      <c r="L32" s="58">
        <f t="shared" si="10"/>
        <v>0</v>
      </c>
      <c r="M32" s="59">
        <f t="shared" si="11"/>
        <v>0</v>
      </c>
      <c r="N32" s="59">
        <f t="shared" si="12"/>
        <v>0</v>
      </c>
      <c r="O32" s="60">
        <f t="shared" si="13"/>
        <v>0</v>
      </c>
    </row>
    <row r="33" spans="1:15" ht="15.9" customHeight="1">
      <c r="A33" s="48"/>
      <c r="B33" s="49"/>
      <c r="C33" s="52"/>
      <c r="D33" s="52"/>
      <c r="E33" s="52"/>
      <c r="F33" s="11"/>
      <c r="G33" s="52">
        <f t="shared" si="5"/>
        <v>0</v>
      </c>
      <c r="H33" s="11"/>
      <c r="I33" s="11"/>
      <c r="J33" s="11"/>
      <c r="K33" s="57"/>
      <c r="L33" s="52">
        <f t="shared" si="10"/>
        <v>0</v>
      </c>
      <c r="M33" s="52">
        <f t="shared" si="11"/>
        <v>0</v>
      </c>
      <c r="N33" s="52">
        <f t="shared" si="12"/>
        <v>0</v>
      </c>
      <c r="O33" s="52">
        <f t="shared" si="13"/>
        <v>0</v>
      </c>
    </row>
    <row r="34" spans="1:15" ht="15.9" customHeight="1">
      <c r="A34" s="48"/>
      <c r="B34" s="49"/>
      <c r="C34" s="52"/>
      <c r="D34" s="52"/>
      <c r="E34" s="52"/>
      <c r="F34" s="11"/>
      <c r="G34" s="52">
        <f t="shared" si="5"/>
        <v>0</v>
      </c>
      <c r="H34" s="11"/>
      <c r="I34" s="11"/>
      <c r="J34" s="11"/>
      <c r="K34" s="57"/>
      <c r="L34" s="52">
        <f t="shared" ref="L34" si="14">G34*H34/100</f>
        <v>0</v>
      </c>
      <c r="M34" s="52">
        <f t="shared" ref="M34" si="15">G34*I34/100</f>
        <v>0</v>
      </c>
      <c r="N34" s="52">
        <f t="shared" ref="N34" si="16">G34*J34/100</f>
        <v>0</v>
      </c>
      <c r="O34" s="52">
        <f t="shared" ref="O34" si="17">G34*K34/1000</f>
        <v>0</v>
      </c>
    </row>
    <row r="35" spans="1:15" ht="15.9" customHeight="1">
      <c r="A35" s="48"/>
      <c r="B35" s="49"/>
      <c r="C35" s="52"/>
      <c r="D35" s="52"/>
      <c r="E35" s="52"/>
      <c r="F35" s="11"/>
      <c r="G35" s="52">
        <f t="shared" ref="G35:G83" si="18">E35*(100-F35)/100</f>
        <v>0</v>
      </c>
      <c r="H35" s="11"/>
      <c r="I35" s="11"/>
      <c r="J35" s="11"/>
      <c r="K35" s="57"/>
      <c r="L35" s="52">
        <f t="shared" ref="L35:L83" si="19">G35*H35/100</f>
        <v>0</v>
      </c>
      <c r="M35" s="52">
        <f t="shared" ref="M35:M83" si="20">G35*I35/100</f>
        <v>0</v>
      </c>
      <c r="N35" s="52">
        <f t="shared" ref="N35:N83" si="21">G35*J35/100</f>
        <v>0</v>
      </c>
      <c r="O35" s="52">
        <f t="shared" ref="O35:O83" si="22">G35*K35/1000</f>
        <v>0</v>
      </c>
    </row>
    <row r="36" spans="1:15" ht="15.9" customHeight="1">
      <c r="A36" s="48"/>
      <c r="B36" s="49"/>
      <c r="C36" s="52"/>
      <c r="D36" s="52"/>
      <c r="E36" s="52"/>
      <c r="F36" s="11"/>
      <c r="G36" s="52">
        <f t="shared" si="18"/>
        <v>0</v>
      </c>
      <c r="H36" s="11"/>
      <c r="I36" s="11"/>
      <c r="J36" s="11"/>
      <c r="K36" s="57"/>
      <c r="L36" s="52">
        <f t="shared" si="19"/>
        <v>0</v>
      </c>
      <c r="M36" s="52">
        <f t="shared" si="20"/>
        <v>0</v>
      </c>
      <c r="N36" s="52">
        <f t="shared" si="21"/>
        <v>0</v>
      </c>
      <c r="O36" s="52">
        <f t="shared" si="22"/>
        <v>0</v>
      </c>
    </row>
    <row r="37" spans="1:15" ht="15.9" customHeight="1">
      <c r="A37" s="48"/>
      <c r="B37" s="49"/>
      <c r="C37" s="52"/>
      <c r="D37" s="52"/>
      <c r="E37" s="52"/>
      <c r="F37" s="11"/>
      <c r="G37" s="52">
        <f t="shared" si="18"/>
        <v>0</v>
      </c>
      <c r="H37" s="11"/>
      <c r="I37" s="11"/>
      <c r="J37" s="11"/>
      <c r="K37" s="57"/>
      <c r="L37" s="52">
        <f t="shared" si="19"/>
        <v>0</v>
      </c>
      <c r="M37" s="52">
        <f t="shared" si="20"/>
        <v>0</v>
      </c>
      <c r="N37" s="52">
        <f t="shared" si="21"/>
        <v>0</v>
      </c>
      <c r="O37" s="52">
        <f t="shared" si="22"/>
        <v>0</v>
      </c>
    </row>
    <row r="38" spans="1:15" ht="15.9" customHeight="1">
      <c r="A38" s="48"/>
      <c r="B38" s="49"/>
      <c r="C38" s="52"/>
      <c r="D38" s="52"/>
      <c r="E38" s="52"/>
      <c r="F38" s="11"/>
      <c r="G38" s="52">
        <f t="shared" si="18"/>
        <v>0</v>
      </c>
      <c r="H38" s="11"/>
      <c r="I38" s="11"/>
      <c r="J38" s="11"/>
      <c r="K38" s="57"/>
      <c r="L38" s="52">
        <f t="shared" si="19"/>
        <v>0</v>
      </c>
      <c r="M38" s="52">
        <f t="shared" si="20"/>
        <v>0</v>
      </c>
      <c r="N38" s="52">
        <f t="shared" si="21"/>
        <v>0</v>
      </c>
      <c r="O38" s="52">
        <f t="shared" si="22"/>
        <v>0</v>
      </c>
    </row>
    <row r="39" spans="1:15" ht="15.9" customHeight="1">
      <c r="A39" s="48"/>
      <c r="B39" s="49"/>
      <c r="C39" s="52"/>
      <c r="D39" s="52"/>
      <c r="E39" s="52"/>
      <c r="F39" s="11"/>
      <c r="G39" s="52">
        <f t="shared" si="18"/>
        <v>0</v>
      </c>
      <c r="H39" s="11"/>
      <c r="I39" s="11"/>
      <c r="J39" s="11"/>
      <c r="K39" s="57"/>
      <c r="L39" s="52">
        <f t="shared" si="19"/>
        <v>0</v>
      </c>
      <c r="M39" s="52">
        <f t="shared" si="20"/>
        <v>0</v>
      </c>
      <c r="N39" s="52">
        <f t="shared" si="21"/>
        <v>0</v>
      </c>
      <c r="O39" s="52">
        <f t="shared" si="22"/>
        <v>0</v>
      </c>
    </row>
    <row r="40" spans="1:15" ht="15.9" customHeight="1">
      <c r="A40" s="48"/>
      <c r="B40" s="49"/>
      <c r="C40" s="52"/>
      <c r="D40" s="52"/>
      <c r="E40" s="52"/>
      <c r="F40" s="11"/>
      <c r="G40" s="52">
        <f t="shared" si="18"/>
        <v>0</v>
      </c>
      <c r="H40" s="11"/>
      <c r="I40" s="11"/>
      <c r="J40" s="11"/>
      <c r="K40" s="57"/>
      <c r="L40" s="52">
        <f t="shared" si="19"/>
        <v>0</v>
      </c>
      <c r="M40" s="52">
        <f t="shared" si="20"/>
        <v>0</v>
      </c>
      <c r="N40" s="52">
        <f t="shared" si="21"/>
        <v>0</v>
      </c>
      <c r="O40" s="52">
        <f t="shared" si="22"/>
        <v>0</v>
      </c>
    </row>
    <row r="41" spans="1:15" ht="15.9" customHeight="1">
      <c r="A41" s="48"/>
      <c r="B41" s="49"/>
      <c r="C41" s="52"/>
      <c r="D41" s="52"/>
      <c r="E41" s="52"/>
      <c r="F41" s="11"/>
      <c r="G41" s="52">
        <f t="shared" si="18"/>
        <v>0</v>
      </c>
      <c r="H41" s="11"/>
      <c r="I41" s="11"/>
      <c r="J41" s="11"/>
      <c r="K41" s="57"/>
      <c r="L41" s="52">
        <f t="shared" si="19"/>
        <v>0</v>
      </c>
      <c r="M41" s="52">
        <f t="shared" si="20"/>
        <v>0</v>
      </c>
      <c r="N41" s="52">
        <f t="shared" si="21"/>
        <v>0</v>
      </c>
      <c r="O41" s="52">
        <f t="shared" si="22"/>
        <v>0</v>
      </c>
    </row>
    <row r="42" spans="1:15" ht="15.9" customHeight="1">
      <c r="A42" s="48"/>
      <c r="B42" s="49"/>
      <c r="C42" s="52"/>
      <c r="D42" s="52"/>
      <c r="E42" s="52"/>
      <c r="F42" s="11"/>
      <c r="G42" s="52">
        <f t="shared" si="18"/>
        <v>0</v>
      </c>
      <c r="H42" s="11"/>
      <c r="I42" s="11"/>
      <c r="J42" s="11"/>
      <c r="K42" s="57"/>
      <c r="L42" s="52">
        <f t="shared" si="19"/>
        <v>0</v>
      </c>
      <c r="M42" s="52">
        <f t="shared" si="20"/>
        <v>0</v>
      </c>
      <c r="N42" s="52">
        <f t="shared" si="21"/>
        <v>0</v>
      </c>
      <c r="O42" s="52">
        <f t="shared" si="22"/>
        <v>0</v>
      </c>
    </row>
    <row r="43" spans="1:15" ht="15.9" customHeight="1">
      <c r="A43" s="48"/>
      <c r="B43" s="49"/>
      <c r="C43" s="52"/>
      <c r="D43" s="52"/>
      <c r="E43" s="52"/>
      <c r="F43" s="11"/>
      <c r="G43" s="52">
        <f t="shared" si="18"/>
        <v>0</v>
      </c>
      <c r="H43" s="11"/>
      <c r="I43" s="11"/>
      <c r="J43" s="11"/>
      <c r="K43" s="57"/>
      <c r="L43" s="52">
        <f t="shared" si="19"/>
        <v>0</v>
      </c>
      <c r="M43" s="52">
        <f t="shared" si="20"/>
        <v>0</v>
      </c>
      <c r="N43" s="52">
        <f t="shared" si="21"/>
        <v>0</v>
      </c>
      <c r="O43" s="52">
        <f t="shared" si="22"/>
        <v>0</v>
      </c>
    </row>
    <row r="44" spans="1:15" ht="15.9" customHeight="1">
      <c r="A44" s="48"/>
      <c r="B44" s="49"/>
      <c r="C44" s="52"/>
      <c r="D44" s="52"/>
      <c r="E44" s="52"/>
      <c r="F44" s="11"/>
      <c r="G44" s="52">
        <f t="shared" si="18"/>
        <v>0</v>
      </c>
      <c r="H44" s="11"/>
      <c r="I44" s="11"/>
      <c r="J44" s="11"/>
      <c r="K44" s="57"/>
      <c r="L44" s="52">
        <f t="shared" ref="L44:L52" si="23">G44*H44/100</f>
        <v>0</v>
      </c>
      <c r="M44" s="52">
        <f t="shared" ref="M44:M52" si="24">G44*I44/100</f>
        <v>0</v>
      </c>
      <c r="N44" s="52">
        <f t="shared" ref="N44:N52" si="25">G44*J44/100</f>
        <v>0</v>
      </c>
      <c r="O44" s="52">
        <f t="shared" ref="O44:O52" si="26">G44*K44/1000</f>
        <v>0</v>
      </c>
    </row>
    <row r="45" spans="1:15" ht="15.9" customHeight="1">
      <c r="A45" s="48"/>
      <c r="B45" s="49"/>
      <c r="C45" s="52"/>
      <c r="D45" s="52"/>
      <c r="E45" s="52"/>
      <c r="F45" s="11"/>
      <c r="G45" s="52">
        <f t="shared" si="18"/>
        <v>0</v>
      </c>
      <c r="H45" s="11"/>
      <c r="I45" s="11"/>
      <c r="J45" s="11"/>
      <c r="K45" s="57"/>
      <c r="L45" s="52">
        <f t="shared" si="23"/>
        <v>0</v>
      </c>
      <c r="M45" s="52">
        <f t="shared" si="24"/>
        <v>0</v>
      </c>
      <c r="N45" s="52">
        <f t="shared" si="25"/>
        <v>0</v>
      </c>
      <c r="O45" s="52">
        <f t="shared" si="26"/>
        <v>0</v>
      </c>
    </row>
    <row r="46" spans="1:15" ht="15.9" customHeight="1">
      <c r="A46" s="48"/>
      <c r="B46" s="49"/>
      <c r="C46" s="52"/>
      <c r="D46" s="52"/>
      <c r="E46" s="52"/>
      <c r="F46" s="11"/>
      <c r="G46" s="52">
        <f t="shared" si="18"/>
        <v>0</v>
      </c>
      <c r="H46" s="11"/>
      <c r="I46" s="11"/>
      <c r="J46" s="11"/>
      <c r="K46" s="57"/>
      <c r="L46" s="52">
        <f t="shared" si="23"/>
        <v>0</v>
      </c>
      <c r="M46" s="52">
        <f t="shared" si="24"/>
        <v>0</v>
      </c>
      <c r="N46" s="52">
        <f t="shared" si="25"/>
        <v>0</v>
      </c>
      <c r="O46" s="52">
        <f t="shared" si="26"/>
        <v>0</v>
      </c>
    </row>
    <row r="47" spans="1:15" ht="15.9" customHeight="1">
      <c r="A47" s="48"/>
      <c r="B47" s="49"/>
      <c r="C47" s="52"/>
      <c r="D47" s="52"/>
      <c r="E47" s="52"/>
      <c r="F47" s="11"/>
      <c r="G47" s="52">
        <f t="shared" si="18"/>
        <v>0</v>
      </c>
      <c r="H47" s="11"/>
      <c r="I47" s="11"/>
      <c r="J47" s="11"/>
      <c r="K47" s="57"/>
      <c r="L47" s="52">
        <f t="shared" si="23"/>
        <v>0</v>
      </c>
      <c r="M47" s="52">
        <f t="shared" si="24"/>
        <v>0</v>
      </c>
      <c r="N47" s="52">
        <f t="shared" si="25"/>
        <v>0</v>
      </c>
      <c r="O47" s="52">
        <f t="shared" si="26"/>
        <v>0</v>
      </c>
    </row>
    <row r="48" spans="1:15" ht="15.9" customHeight="1">
      <c r="A48" s="48"/>
      <c r="B48" s="49"/>
      <c r="C48" s="52"/>
      <c r="D48" s="52"/>
      <c r="E48" s="52"/>
      <c r="F48" s="11"/>
      <c r="G48" s="52">
        <f t="shared" si="18"/>
        <v>0</v>
      </c>
      <c r="H48" s="11"/>
      <c r="I48" s="11"/>
      <c r="J48" s="11"/>
      <c r="K48" s="57"/>
      <c r="L48" s="52">
        <f t="shared" si="23"/>
        <v>0</v>
      </c>
      <c r="M48" s="52">
        <f t="shared" si="24"/>
        <v>0</v>
      </c>
      <c r="N48" s="52">
        <f t="shared" si="25"/>
        <v>0</v>
      </c>
      <c r="O48" s="52">
        <f t="shared" si="26"/>
        <v>0</v>
      </c>
    </row>
    <row r="49" spans="1:15" ht="15.9" customHeight="1">
      <c r="A49" s="48"/>
      <c r="B49" s="49"/>
      <c r="C49" s="52"/>
      <c r="D49" s="52"/>
      <c r="E49" s="52"/>
      <c r="F49" s="11"/>
      <c r="G49" s="52">
        <f t="shared" si="18"/>
        <v>0</v>
      </c>
      <c r="H49" s="11"/>
      <c r="I49" s="11"/>
      <c r="J49" s="11"/>
      <c r="K49" s="57"/>
      <c r="L49" s="52">
        <f t="shared" si="23"/>
        <v>0</v>
      </c>
      <c r="M49" s="52">
        <f t="shared" si="24"/>
        <v>0</v>
      </c>
      <c r="N49" s="52">
        <f t="shared" si="25"/>
        <v>0</v>
      </c>
      <c r="O49" s="52">
        <f t="shared" si="26"/>
        <v>0</v>
      </c>
    </row>
    <row r="50" spans="1:15" ht="15.9" customHeight="1">
      <c r="A50" s="48"/>
      <c r="B50" s="49"/>
      <c r="C50" s="52"/>
      <c r="D50" s="52"/>
      <c r="E50" s="52"/>
      <c r="F50" s="11"/>
      <c r="G50" s="52">
        <f t="shared" si="18"/>
        <v>0</v>
      </c>
      <c r="H50" s="11"/>
      <c r="I50" s="11"/>
      <c r="J50" s="11"/>
      <c r="K50" s="57"/>
      <c r="L50" s="52">
        <f t="shared" si="23"/>
        <v>0</v>
      </c>
      <c r="M50" s="52">
        <f t="shared" si="24"/>
        <v>0</v>
      </c>
      <c r="N50" s="52">
        <f t="shared" si="25"/>
        <v>0</v>
      </c>
      <c r="O50" s="52">
        <f t="shared" si="26"/>
        <v>0</v>
      </c>
    </row>
    <row r="51" spans="1:15" ht="15.9" customHeight="1">
      <c r="A51" s="48"/>
      <c r="B51" s="49"/>
      <c r="C51" s="52"/>
      <c r="D51" s="52"/>
      <c r="E51" s="52"/>
      <c r="F51" s="11"/>
      <c r="G51" s="52">
        <f t="shared" si="18"/>
        <v>0</v>
      </c>
      <c r="H51" s="11"/>
      <c r="I51" s="11"/>
      <c r="J51" s="11"/>
      <c r="K51" s="57"/>
      <c r="L51" s="52">
        <f t="shared" si="23"/>
        <v>0</v>
      </c>
      <c r="M51" s="52">
        <f t="shared" si="24"/>
        <v>0</v>
      </c>
      <c r="N51" s="52">
        <f t="shared" si="25"/>
        <v>0</v>
      </c>
      <c r="O51" s="52">
        <f t="shared" si="26"/>
        <v>0</v>
      </c>
    </row>
    <row r="52" spans="1:15" ht="15.9" customHeight="1">
      <c r="A52" s="48"/>
      <c r="B52" s="49"/>
      <c r="C52" s="52"/>
      <c r="D52" s="52"/>
      <c r="E52" s="52"/>
      <c r="F52" s="11"/>
      <c r="G52" s="52">
        <f t="shared" si="18"/>
        <v>0</v>
      </c>
      <c r="H52" s="11"/>
      <c r="I52" s="11"/>
      <c r="J52" s="11"/>
      <c r="K52" s="57"/>
      <c r="L52" s="52">
        <f t="shared" si="23"/>
        <v>0</v>
      </c>
      <c r="M52" s="52">
        <f t="shared" si="24"/>
        <v>0</v>
      </c>
      <c r="N52" s="52">
        <f t="shared" si="25"/>
        <v>0</v>
      </c>
      <c r="O52" s="52">
        <f t="shared" si="26"/>
        <v>0</v>
      </c>
    </row>
    <row r="53" spans="1:15" ht="15.9" customHeight="1">
      <c r="A53" s="48"/>
      <c r="B53" s="49"/>
      <c r="C53" s="52"/>
      <c r="D53" s="52"/>
      <c r="E53" s="52"/>
      <c r="F53" s="11"/>
      <c r="G53" s="52">
        <f t="shared" si="18"/>
        <v>0</v>
      </c>
      <c r="H53" s="11"/>
      <c r="I53" s="11"/>
      <c r="J53" s="11"/>
      <c r="K53" s="57"/>
      <c r="L53" s="52">
        <f t="shared" si="19"/>
        <v>0</v>
      </c>
      <c r="M53" s="52">
        <f t="shared" si="20"/>
        <v>0</v>
      </c>
      <c r="N53" s="52">
        <f t="shared" si="21"/>
        <v>0</v>
      </c>
      <c r="O53" s="52">
        <f t="shared" si="22"/>
        <v>0</v>
      </c>
    </row>
    <row r="54" spans="1:15" ht="15.9" customHeight="1">
      <c r="A54" s="48"/>
      <c r="B54" s="49"/>
      <c r="C54" s="52"/>
      <c r="D54" s="52"/>
      <c r="E54" s="52"/>
      <c r="F54" s="11"/>
      <c r="G54" s="52">
        <f t="shared" si="18"/>
        <v>0</v>
      </c>
      <c r="H54" s="11"/>
      <c r="I54" s="11"/>
      <c r="J54" s="11"/>
      <c r="K54" s="57"/>
      <c r="L54" s="52">
        <f t="shared" si="19"/>
        <v>0</v>
      </c>
      <c r="M54" s="52">
        <f t="shared" si="20"/>
        <v>0</v>
      </c>
      <c r="N54" s="52">
        <f t="shared" si="21"/>
        <v>0</v>
      </c>
      <c r="O54" s="52">
        <f t="shared" si="22"/>
        <v>0</v>
      </c>
    </row>
    <row r="55" spans="1:15" ht="15.9" customHeight="1">
      <c r="A55" s="48"/>
      <c r="B55" s="49"/>
      <c r="C55" s="52"/>
      <c r="D55" s="52"/>
      <c r="E55" s="52"/>
      <c r="F55" s="11"/>
      <c r="G55" s="52">
        <f t="shared" si="18"/>
        <v>0</v>
      </c>
      <c r="H55" s="11"/>
      <c r="I55" s="11"/>
      <c r="J55" s="11"/>
      <c r="K55" s="57"/>
      <c r="L55" s="52">
        <f t="shared" si="19"/>
        <v>0</v>
      </c>
      <c r="M55" s="52">
        <f t="shared" si="20"/>
        <v>0</v>
      </c>
      <c r="N55" s="52">
        <f t="shared" si="21"/>
        <v>0</v>
      </c>
      <c r="O55" s="52">
        <f t="shared" si="22"/>
        <v>0</v>
      </c>
    </row>
    <row r="56" spans="1:15" ht="15.9" customHeight="1">
      <c r="A56" s="48"/>
      <c r="B56" s="49"/>
      <c r="C56" s="52"/>
      <c r="D56" s="52"/>
      <c r="E56" s="52"/>
      <c r="F56" s="11"/>
      <c r="G56" s="52">
        <f t="shared" si="18"/>
        <v>0</v>
      </c>
      <c r="H56" s="11"/>
      <c r="I56" s="11"/>
      <c r="J56" s="11"/>
      <c r="K56" s="57"/>
      <c r="L56" s="52">
        <f t="shared" si="19"/>
        <v>0</v>
      </c>
      <c r="M56" s="52">
        <f t="shared" si="20"/>
        <v>0</v>
      </c>
      <c r="N56" s="52">
        <f t="shared" si="21"/>
        <v>0</v>
      </c>
      <c r="O56" s="52">
        <f t="shared" si="22"/>
        <v>0</v>
      </c>
    </row>
    <row r="57" spans="1:15" ht="15.9" customHeight="1">
      <c r="A57" s="48"/>
      <c r="B57" s="49"/>
      <c r="C57" s="52"/>
      <c r="D57" s="52"/>
      <c r="E57" s="52"/>
      <c r="F57" s="11"/>
      <c r="G57" s="52">
        <f t="shared" si="18"/>
        <v>0</v>
      </c>
      <c r="H57" s="11"/>
      <c r="I57" s="11"/>
      <c r="J57" s="11"/>
      <c r="K57" s="57"/>
      <c r="L57" s="52">
        <f t="shared" si="19"/>
        <v>0</v>
      </c>
      <c r="M57" s="52">
        <f t="shared" si="20"/>
        <v>0</v>
      </c>
      <c r="N57" s="52">
        <f t="shared" si="21"/>
        <v>0</v>
      </c>
      <c r="O57" s="52">
        <f t="shared" si="22"/>
        <v>0</v>
      </c>
    </row>
    <row r="58" spans="1:15" ht="15.9" customHeight="1">
      <c r="A58" s="48"/>
      <c r="B58" s="49"/>
      <c r="C58" s="52"/>
      <c r="D58" s="52"/>
      <c r="E58" s="52"/>
      <c r="F58" s="11"/>
      <c r="G58" s="52">
        <f t="shared" si="18"/>
        <v>0</v>
      </c>
      <c r="H58" s="11"/>
      <c r="I58" s="11"/>
      <c r="J58" s="11"/>
      <c r="K58" s="57"/>
      <c r="L58" s="52">
        <f t="shared" si="19"/>
        <v>0</v>
      </c>
      <c r="M58" s="52">
        <f t="shared" si="20"/>
        <v>0</v>
      </c>
      <c r="N58" s="52">
        <f t="shared" si="21"/>
        <v>0</v>
      </c>
      <c r="O58" s="52">
        <f t="shared" si="22"/>
        <v>0</v>
      </c>
    </row>
    <row r="59" spans="1:15" ht="15.9" customHeight="1">
      <c r="A59" s="48"/>
      <c r="B59" s="49"/>
      <c r="C59" s="52"/>
      <c r="D59" s="52"/>
      <c r="E59" s="52"/>
      <c r="F59" s="54"/>
      <c r="G59" s="52">
        <f t="shared" si="18"/>
        <v>0</v>
      </c>
      <c r="H59" s="11"/>
      <c r="I59" s="11"/>
      <c r="J59" s="11"/>
      <c r="K59" s="57"/>
      <c r="L59" s="52">
        <f t="shared" ref="L59:L79" si="27">G59*H59/100</f>
        <v>0</v>
      </c>
      <c r="M59" s="52">
        <f t="shared" ref="M59:M79" si="28">G59*I59/100</f>
        <v>0</v>
      </c>
      <c r="N59" s="52">
        <f t="shared" ref="N59:N79" si="29">G59*J59/100</f>
        <v>0</v>
      </c>
      <c r="O59" s="52">
        <f t="shared" ref="O59:O79" si="30">G59*K59/1000</f>
        <v>0</v>
      </c>
    </row>
    <row r="60" spans="1:15" ht="15.9" customHeight="1">
      <c r="A60" s="48"/>
      <c r="B60" s="49"/>
      <c r="C60" s="52"/>
      <c r="D60" s="52"/>
      <c r="E60" s="52"/>
      <c r="F60" s="54"/>
      <c r="G60" s="52">
        <f t="shared" si="18"/>
        <v>0</v>
      </c>
      <c r="H60" s="11"/>
      <c r="I60" s="11"/>
      <c r="J60" s="11"/>
      <c r="K60" s="57"/>
      <c r="L60" s="52">
        <f t="shared" si="27"/>
        <v>0</v>
      </c>
      <c r="M60" s="52">
        <f t="shared" si="28"/>
        <v>0</v>
      </c>
      <c r="N60" s="52">
        <f t="shared" si="29"/>
        <v>0</v>
      </c>
      <c r="O60" s="52">
        <f t="shared" si="30"/>
        <v>0</v>
      </c>
    </row>
    <row r="61" spans="1:15" ht="15.9" customHeight="1">
      <c r="A61" s="48"/>
      <c r="B61" s="49"/>
      <c r="C61" s="52"/>
      <c r="D61" s="52"/>
      <c r="E61" s="52"/>
      <c r="F61" s="54"/>
      <c r="G61" s="52">
        <f t="shared" si="18"/>
        <v>0</v>
      </c>
      <c r="H61" s="11"/>
      <c r="I61" s="11"/>
      <c r="J61" s="11"/>
      <c r="K61" s="57"/>
      <c r="L61" s="52">
        <f t="shared" si="27"/>
        <v>0</v>
      </c>
      <c r="M61" s="52">
        <f t="shared" si="28"/>
        <v>0</v>
      </c>
      <c r="N61" s="52">
        <f t="shared" si="29"/>
        <v>0</v>
      </c>
      <c r="O61" s="52">
        <f t="shared" si="30"/>
        <v>0</v>
      </c>
    </row>
    <row r="62" spans="1:15" ht="15.9" customHeight="1">
      <c r="A62" s="48"/>
      <c r="B62" s="49"/>
      <c r="C62" s="52"/>
      <c r="D62" s="52"/>
      <c r="E62" s="52"/>
      <c r="F62" s="54"/>
      <c r="G62" s="52">
        <f t="shared" si="18"/>
        <v>0</v>
      </c>
      <c r="H62" s="11"/>
      <c r="I62" s="11"/>
      <c r="J62" s="11"/>
      <c r="K62" s="57"/>
      <c r="L62" s="52">
        <f t="shared" si="27"/>
        <v>0</v>
      </c>
      <c r="M62" s="52">
        <f t="shared" si="28"/>
        <v>0</v>
      </c>
      <c r="N62" s="52">
        <f t="shared" si="29"/>
        <v>0</v>
      </c>
      <c r="O62" s="52">
        <f t="shared" si="30"/>
        <v>0</v>
      </c>
    </row>
    <row r="63" spans="1:15" ht="15.9" customHeight="1">
      <c r="A63" s="48"/>
      <c r="B63" s="49"/>
      <c r="C63" s="52"/>
      <c r="D63" s="52"/>
      <c r="E63" s="52"/>
      <c r="F63" s="54"/>
      <c r="G63" s="52">
        <f t="shared" si="18"/>
        <v>0</v>
      </c>
      <c r="H63" s="11"/>
      <c r="I63" s="11"/>
      <c r="J63" s="11"/>
      <c r="K63" s="57"/>
      <c r="L63" s="52">
        <f t="shared" si="27"/>
        <v>0</v>
      </c>
      <c r="M63" s="52">
        <f t="shared" si="28"/>
        <v>0</v>
      </c>
      <c r="N63" s="52">
        <f t="shared" si="29"/>
        <v>0</v>
      </c>
      <c r="O63" s="52">
        <f t="shared" si="30"/>
        <v>0</v>
      </c>
    </row>
    <row r="64" spans="1:15" ht="15.9" customHeight="1">
      <c r="A64" s="48"/>
      <c r="B64" s="49"/>
      <c r="C64" s="52"/>
      <c r="D64" s="52"/>
      <c r="E64" s="52"/>
      <c r="F64" s="54"/>
      <c r="G64" s="52">
        <f t="shared" si="18"/>
        <v>0</v>
      </c>
      <c r="H64" s="11"/>
      <c r="I64" s="11"/>
      <c r="J64" s="11"/>
      <c r="K64" s="57"/>
      <c r="L64" s="52">
        <f t="shared" si="27"/>
        <v>0</v>
      </c>
      <c r="M64" s="52">
        <f t="shared" si="28"/>
        <v>0</v>
      </c>
      <c r="N64" s="52">
        <f t="shared" si="29"/>
        <v>0</v>
      </c>
      <c r="O64" s="52">
        <f t="shared" si="30"/>
        <v>0</v>
      </c>
    </row>
    <row r="65" spans="1:15" ht="15.9" customHeight="1">
      <c r="A65" s="48"/>
      <c r="B65" s="49"/>
      <c r="C65" s="52"/>
      <c r="D65" s="52"/>
      <c r="E65" s="52"/>
      <c r="F65" s="54"/>
      <c r="G65" s="52">
        <f t="shared" si="18"/>
        <v>0</v>
      </c>
      <c r="H65" s="11"/>
      <c r="I65" s="11"/>
      <c r="J65" s="11"/>
      <c r="K65" s="57"/>
      <c r="L65" s="52">
        <f t="shared" si="27"/>
        <v>0</v>
      </c>
      <c r="M65" s="52">
        <f t="shared" si="28"/>
        <v>0</v>
      </c>
      <c r="N65" s="52">
        <f t="shared" si="29"/>
        <v>0</v>
      </c>
      <c r="O65" s="52">
        <f t="shared" si="30"/>
        <v>0</v>
      </c>
    </row>
    <row r="66" spans="1:15" ht="15.9" customHeight="1">
      <c r="A66" s="48"/>
      <c r="B66" s="49"/>
      <c r="C66" s="52"/>
      <c r="D66" s="52"/>
      <c r="E66" s="52"/>
      <c r="F66" s="54"/>
      <c r="G66" s="52">
        <f t="shared" si="18"/>
        <v>0</v>
      </c>
      <c r="H66" s="11"/>
      <c r="I66" s="11"/>
      <c r="J66" s="11"/>
      <c r="K66" s="57"/>
      <c r="L66" s="52">
        <f t="shared" si="27"/>
        <v>0</v>
      </c>
      <c r="M66" s="52">
        <f t="shared" si="28"/>
        <v>0</v>
      </c>
      <c r="N66" s="52">
        <f t="shared" si="29"/>
        <v>0</v>
      </c>
      <c r="O66" s="52">
        <f t="shared" si="30"/>
        <v>0</v>
      </c>
    </row>
    <row r="67" spans="1:15" ht="15.9" customHeight="1">
      <c r="A67" s="48"/>
      <c r="B67" s="49"/>
      <c r="C67" s="52"/>
      <c r="D67" s="52"/>
      <c r="E67" s="52"/>
      <c r="F67" s="54"/>
      <c r="G67" s="52">
        <f t="shared" si="18"/>
        <v>0</v>
      </c>
      <c r="H67" s="11"/>
      <c r="I67" s="11"/>
      <c r="J67" s="11"/>
      <c r="K67" s="57"/>
      <c r="L67" s="52">
        <f t="shared" si="27"/>
        <v>0</v>
      </c>
      <c r="M67" s="52">
        <f t="shared" si="28"/>
        <v>0</v>
      </c>
      <c r="N67" s="52">
        <f t="shared" si="29"/>
        <v>0</v>
      </c>
      <c r="O67" s="52">
        <f t="shared" si="30"/>
        <v>0</v>
      </c>
    </row>
    <row r="68" spans="1:15" ht="15.9" customHeight="1">
      <c r="A68" s="48"/>
      <c r="B68" s="49"/>
      <c r="C68" s="52"/>
      <c r="D68" s="52"/>
      <c r="E68" s="52"/>
      <c r="F68" s="54"/>
      <c r="G68" s="52">
        <f t="shared" si="18"/>
        <v>0</v>
      </c>
      <c r="H68" s="11"/>
      <c r="I68" s="11"/>
      <c r="J68" s="11"/>
      <c r="K68" s="57"/>
      <c r="L68" s="52">
        <f t="shared" si="27"/>
        <v>0</v>
      </c>
      <c r="M68" s="52">
        <f t="shared" si="28"/>
        <v>0</v>
      </c>
      <c r="N68" s="52">
        <f t="shared" si="29"/>
        <v>0</v>
      </c>
      <c r="O68" s="52">
        <f t="shared" si="30"/>
        <v>0</v>
      </c>
    </row>
    <row r="69" spans="1:15" ht="15.9" customHeight="1">
      <c r="A69" s="48"/>
      <c r="B69" s="49"/>
      <c r="C69" s="52"/>
      <c r="D69" s="52"/>
      <c r="E69" s="52"/>
      <c r="F69" s="54"/>
      <c r="G69" s="52">
        <f t="shared" si="18"/>
        <v>0</v>
      </c>
      <c r="H69" s="11"/>
      <c r="I69" s="11"/>
      <c r="J69" s="11"/>
      <c r="K69" s="57"/>
      <c r="L69" s="52">
        <f t="shared" si="27"/>
        <v>0</v>
      </c>
      <c r="M69" s="52">
        <f t="shared" si="28"/>
        <v>0</v>
      </c>
      <c r="N69" s="52">
        <f t="shared" si="29"/>
        <v>0</v>
      </c>
      <c r="O69" s="52">
        <f t="shared" si="30"/>
        <v>0</v>
      </c>
    </row>
    <row r="70" spans="1:15" ht="15.9" customHeight="1">
      <c r="A70" s="48"/>
      <c r="B70" s="49"/>
      <c r="C70" s="52"/>
      <c r="D70" s="52"/>
      <c r="E70" s="52"/>
      <c r="F70" s="54"/>
      <c r="G70" s="52">
        <f t="shared" si="18"/>
        <v>0</v>
      </c>
      <c r="H70" s="11"/>
      <c r="I70" s="11"/>
      <c r="J70" s="11"/>
      <c r="K70" s="57"/>
      <c r="L70" s="52">
        <f t="shared" si="27"/>
        <v>0</v>
      </c>
      <c r="M70" s="52">
        <f t="shared" si="28"/>
        <v>0</v>
      </c>
      <c r="N70" s="52">
        <f t="shared" si="29"/>
        <v>0</v>
      </c>
      <c r="O70" s="52">
        <f t="shared" si="30"/>
        <v>0</v>
      </c>
    </row>
    <row r="71" spans="1:15" ht="15.9" customHeight="1">
      <c r="A71" s="48"/>
      <c r="B71" s="49"/>
      <c r="C71" s="52"/>
      <c r="D71" s="52"/>
      <c r="E71" s="52"/>
      <c r="F71" s="54"/>
      <c r="G71" s="52">
        <f t="shared" si="18"/>
        <v>0</v>
      </c>
      <c r="H71" s="11"/>
      <c r="I71" s="11"/>
      <c r="J71" s="11"/>
      <c r="K71" s="57"/>
      <c r="L71" s="52">
        <f t="shared" si="27"/>
        <v>0</v>
      </c>
      <c r="M71" s="52">
        <f t="shared" si="28"/>
        <v>0</v>
      </c>
      <c r="N71" s="52">
        <f t="shared" si="29"/>
        <v>0</v>
      </c>
      <c r="O71" s="52">
        <f t="shared" si="30"/>
        <v>0</v>
      </c>
    </row>
    <row r="72" spans="1:15" ht="15.9" customHeight="1">
      <c r="A72" s="48"/>
      <c r="B72" s="49"/>
      <c r="C72" s="52"/>
      <c r="D72" s="52"/>
      <c r="E72" s="52"/>
      <c r="F72" s="54"/>
      <c r="G72" s="52">
        <f t="shared" si="18"/>
        <v>0</v>
      </c>
      <c r="H72" s="11"/>
      <c r="I72" s="11"/>
      <c r="J72" s="11"/>
      <c r="K72" s="57"/>
      <c r="L72" s="52">
        <f t="shared" si="27"/>
        <v>0</v>
      </c>
      <c r="M72" s="52">
        <f t="shared" si="28"/>
        <v>0</v>
      </c>
      <c r="N72" s="52">
        <f t="shared" si="29"/>
        <v>0</v>
      </c>
      <c r="O72" s="52">
        <f t="shared" si="30"/>
        <v>0</v>
      </c>
    </row>
    <row r="73" spans="1:15" ht="15.9" customHeight="1">
      <c r="A73" s="48"/>
      <c r="B73" s="49"/>
      <c r="C73" s="52"/>
      <c r="D73" s="52"/>
      <c r="E73" s="52"/>
      <c r="F73" s="54"/>
      <c r="G73" s="52">
        <f t="shared" si="18"/>
        <v>0</v>
      </c>
      <c r="H73" s="11"/>
      <c r="I73" s="11"/>
      <c r="J73" s="11"/>
      <c r="K73" s="57"/>
      <c r="L73" s="52">
        <f t="shared" si="27"/>
        <v>0</v>
      </c>
      <c r="M73" s="52">
        <f t="shared" si="28"/>
        <v>0</v>
      </c>
      <c r="N73" s="52">
        <f t="shared" si="29"/>
        <v>0</v>
      </c>
      <c r="O73" s="52">
        <f t="shared" si="30"/>
        <v>0</v>
      </c>
    </row>
    <row r="74" spans="1:15" ht="15.9" customHeight="1">
      <c r="A74" s="48"/>
      <c r="B74" s="49"/>
      <c r="C74" s="52"/>
      <c r="D74" s="52"/>
      <c r="E74" s="52"/>
      <c r="F74" s="11"/>
      <c r="G74" s="52">
        <f t="shared" si="18"/>
        <v>0</v>
      </c>
      <c r="H74" s="11"/>
      <c r="I74" s="11"/>
      <c r="J74" s="11"/>
      <c r="K74" s="57"/>
      <c r="L74" s="52">
        <f t="shared" si="27"/>
        <v>0</v>
      </c>
      <c r="M74" s="52">
        <f t="shared" si="28"/>
        <v>0</v>
      </c>
      <c r="N74" s="52">
        <f t="shared" si="29"/>
        <v>0</v>
      </c>
      <c r="O74" s="52">
        <f t="shared" si="30"/>
        <v>0</v>
      </c>
    </row>
    <row r="75" spans="1:15" ht="15.9" customHeight="1">
      <c r="A75" s="48"/>
      <c r="B75" s="49"/>
      <c r="C75" s="52"/>
      <c r="D75" s="52"/>
      <c r="E75" s="52"/>
      <c r="F75" s="11"/>
      <c r="G75" s="52">
        <f t="shared" si="18"/>
        <v>0</v>
      </c>
      <c r="H75" s="11"/>
      <c r="I75" s="11"/>
      <c r="J75" s="11"/>
      <c r="K75" s="57"/>
      <c r="L75" s="52">
        <f t="shared" si="27"/>
        <v>0</v>
      </c>
      <c r="M75" s="52">
        <f t="shared" si="28"/>
        <v>0</v>
      </c>
      <c r="N75" s="52">
        <f t="shared" si="29"/>
        <v>0</v>
      </c>
      <c r="O75" s="52">
        <f t="shared" si="30"/>
        <v>0</v>
      </c>
    </row>
    <row r="76" spans="1:15" ht="15.9" customHeight="1">
      <c r="A76" s="48"/>
      <c r="B76" s="49"/>
      <c r="C76" s="52"/>
      <c r="D76" s="52"/>
      <c r="E76" s="52"/>
      <c r="F76" s="11"/>
      <c r="G76" s="52">
        <f t="shared" si="18"/>
        <v>0</v>
      </c>
      <c r="H76" s="11"/>
      <c r="I76" s="11"/>
      <c r="J76" s="11"/>
      <c r="K76" s="57"/>
      <c r="L76" s="52">
        <f t="shared" si="27"/>
        <v>0</v>
      </c>
      <c r="M76" s="52">
        <f t="shared" si="28"/>
        <v>0</v>
      </c>
      <c r="N76" s="52">
        <f t="shared" si="29"/>
        <v>0</v>
      </c>
      <c r="O76" s="52">
        <f t="shared" si="30"/>
        <v>0</v>
      </c>
    </row>
    <row r="77" spans="1:15" ht="15.9" customHeight="1">
      <c r="A77" s="48"/>
      <c r="B77" s="49"/>
      <c r="C77" s="52"/>
      <c r="D77" s="52"/>
      <c r="E77" s="52"/>
      <c r="F77" s="11"/>
      <c r="G77" s="52">
        <f t="shared" si="18"/>
        <v>0</v>
      </c>
      <c r="H77" s="11"/>
      <c r="I77" s="11"/>
      <c r="J77" s="11"/>
      <c r="K77" s="57"/>
      <c r="L77" s="52">
        <f t="shared" si="27"/>
        <v>0</v>
      </c>
      <c r="M77" s="52">
        <f t="shared" si="28"/>
        <v>0</v>
      </c>
      <c r="N77" s="52">
        <f t="shared" si="29"/>
        <v>0</v>
      </c>
      <c r="O77" s="52">
        <f t="shared" si="30"/>
        <v>0</v>
      </c>
    </row>
    <row r="78" spans="1:15" ht="15.9" customHeight="1">
      <c r="A78" s="48"/>
      <c r="B78" s="49"/>
      <c r="C78" s="52"/>
      <c r="D78" s="52"/>
      <c r="E78" s="52"/>
      <c r="F78" s="11"/>
      <c r="G78" s="52">
        <f t="shared" si="18"/>
        <v>0</v>
      </c>
      <c r="H78" s="11"/>
      <c r="I78" s="11"/>
      <c r="J78" s="11"/>
      <c r="K78" s="57"/>
      <c r="L78" s="52">
        <f t="shared" si="27"/>
        <v>0</v>
      </c>
      <c r="M78" s="52">
        <f t="shared" si="28"/>
        <v>0</v>
      </c>
      <c r="N78" s="52">
        <f t="shared" si="29"/>
        <v>0</v>
      </c>
      <c r="O78" s="52">
        <f t="shared" si="30"/>
        <v>0</v>
      </c>
    </row>
    <row r="79" spans="1:15" ht="15.9" customHeight="1">
      <c r="A79" s="48"/>
      <c r="B79" s="49"/>
      <c r="C79" s="52"/>
      <c r="D79" s="52"/>
      <c r="E79" s="52"/>
      <c r="F79" s="11"/>
      <c r="G79" s="52">
        <f t="shared" si="18"/>
        <v>0</v>
      </c>
      <c r="H79" s="11"/>
      <c r="I79" s="11"/>
      <c r="J79" s="11"/>
      <c r="K79" s="57"/>
      <c r="L79" s="52">
        <f t="shared" si="27"/>
        <v>0</v>
      </c>
      <c r="M79" s="52">
        <f t="shared" si="28"/>
        <v>0</v>
      </c>
      <c r="N79" s="52">
        <f t="shared" si="29"/>
        <v>0</v>
      </c>
      <c r="O79" s="52">
        <f t="shared" si="30"/>
        <v>0</v>
      </c>
    </row>
    <row r="80" spans="1:15" ht="15.9" customHeight="1">
      <c r="A80" s="48"/>
      <c r="B80" s="49"/>
      <c r="C80" s="52"/>
      <c r="D80" s="52"/>
      <c r="E80" s="52"/>
      <c r="F80" s="11"/>
      <c r="G80" s="52">
        <f t="shared" si="18"/>
        <v>0</v>
      </c>
      <c r="H80" s="11"/>
      <c r="I80" s="11"/>
      <c r="J80" s="11"/>
      <c r="K80" s="57"/>
      <c r="L80" s="52">
        <f t="shared" si="19"/>
        <v>0</v>
      </c>
      <c r="M80" s="52">
        <f t="shared" si="20"/>
        <v>0</v>
      </c>
      <c r="N80" s="52">
        <f t="shared" si="21"/>
        <v>0</v>
      </c>
      <c r="O80" s="52">
        <f t="shared" si="22"/>
        <v>0</v>
      </c>
    </row>
    <row r="81" spans="1:15" ht="15.9" customHeight="1">
      <c r="A81" s="48"/>
      <c r="B81" s="49"/>
      <c r="C81" s="52"/>
      <c r="D81" s="52"/>
      <c r="E81" s="52"/>
      <c r="F81" s="11"/>
      <c r="G81" s="52">
        <f t="shared" si="18"/>
        <v>0</v>
      </c>
      <c r="H81" s="11"/>
      <c r="I81" s="11"/>
      <c r="J81" s="11"/>
      <c r="K81" s="57"/>
      <c r="L81" s="52">
        <f t="shared" si="19"/>
        <v>0</v>
      </c>
      <c r="M81" s="52">
        <f t="shared" si="20"/>
        <v>0</v>
      </c>
      <c r="N81" s="52">
        <f t="shared" si="21"/>
        <v>0</v>
      </c>
      <c r="O81" s="52">
        <f t="shared" si="22"/>
        <v>0</v>
      </c>
    </row>
    <row r="82" spans="1:15" ht="15.9" customHeight="1">
      <c r="A82" s="48"/>
      <c r="B82" s="49"/>
      <c r="C82" s="52"/>
      <c r="D82" s="52"/>
      <c r="E82" s="52"/>
      <c r="F82" s="11"/>
      <c r="G82" s="52">
        <f t="shared" si="18"/>
        <v>0</v>
      </c>
      <c r="H82" s="11"/>
      <c r="I82" s="11"/>
      <c r="J82" s="11"/>
      <c r="K82" s="57"/>
      <c r="L82" s="52">
        <f t="shared" si="19"/>
        <v>0</v>
      </c>
      <c r="M82" s="52">
        <f t="shared" si="20"/>
        <v>0</v>
      </c>
      <c r="N82" s="52">
        <f t="shared" si="21"/>
        <v>0</v>
      </c>
      <c r="O82" s="52">
        <f t="shared" si="22"/>
        <v>0</v>
      </c>
    </row>
    <row r="83" spans="1:15" ht="15.9" customHeight="1">
      <c r="A83" s="48"/>
      <c r="B83" s="49"/>
      <c r="C83" s="52"/>
      <c r="D83" s="52"/>
      <c r="E83" s="52"/>
      <c r="F83" s="11"/>
      <c r="G83" s="52">
        <f t="shared" si="18"/>
        <v>0</v>
      </c>
      <c r="H83" s="11"/>
      <c r="I83" s="11"/>
      <c r="J83" s="11"/>
      <c r="K83" s="57"/>
      <c r="L83" s="52">
        <f t="shared" si="19"/>
        <v>0</v>
      </c>
      <c r="M83" s="52">
        <f t="shared" si="20"/>
        <v>0</v>
      </c>
      <c r="N83" s="52">
        <f t="shared" si="21"/>
        <v>0</v>
      </c>
      <c r="O83" s="52">
        <f t="shared" si="22"/>
        <v>0</v>
      </c>
    </row>
    <row r="84" spans="1:15" ht="15.9" customHeight="1">
      <c r="A84" s="48"/>
      <c r="B84" s="49"/>
      <c r="C84" s="52"/>
      <c r="D84" s="52"/>
      <c r="E84" s="52"/>
      <c r="F84" s="11"/>
      <c r="G84" s="52">
        <f t="shared" ref="G84:G321" si="31">E84*(100-F84)/100</f>
        <v>0</v>
      </c>
      <c r="H84" s="11"/>
      <c r="I84" s="11"/>
      <c r="J84" s="11"/>
      <c r="K84" s="57"/>
      <c r="L84" s="52">
        <f t="shared" ref="L84:L126" si="32">G84*H84/100</f>
        <v>0</v>
      </c>
      <c r="M84" s="52">
        <f t="shared" ref="M84:M126" si="33">G84*I84/100</f>
        <v>0</v>
      </c>
      <c r="N84" s="52">
        <f t="shared" ref="N84:N126" si="34">G84*J84/100</f>
        <v>0</v>
      </c>
      <c r="O84" s="52">
        <f t="shared" ref="O84:O126" si="35">G84*K84/1000</f>
        <v>0</v>
      </c>
    </row>
    <row r="85" spans="1:15" ht="15.9" customHeight="1">
      <c r="A85" s="48"/>
      <c r="B85" s="49"/>
      <c r="C85" s="52"/>
      <c r="D85" s="52"/>
      <c r="E85" s="52"/>
      <c r="F85" s="11"/>
      <c r="G85" s="52">
        <f t="shared" si="31"/>
        <v>0</v>
      </c>
      <c r="H85" s="11"/>
      <c r="I85" s="11"/>
      <c r="J85" s="11"/>
      <c r="K85" s="57"/>
      <c r="L85" s="52">
        <f t="shared" si="32"/>
        <v>0</v>
      </c>
      <c r="M85" s="52">
        <f t="shared" si="33"/>
        <v>0</v>
      </c>
      <c r="N85" s="52">
        <f t="shared" si="34"/>
        <v>0</v>
      </c>
      <c r="O85" s="52">
        <f t="shared" si="35"/>
        <v>0</v>
      </c>
    </row>
    <row r="86" spans="1:15" ht="15.9" customHeight="1">
      <c r="A86" s="48"/>
      <c r="B86" s="49"/>
      <c r="C86" s="52"/>
      <c r="D86" s="52"/>
      <c r="E86" s="52"/>
      <c r="F86" s="11"/>
      <c r="G86" s="52">
        <f t="shared" si="31"/>
        <v>0</v>
      </c>
      <c r="H86" s="11"/>
      <c r="I86" s="11"/>
      <c r="J86" s="11"/>
      <c r="K86" s="57"/>
      <c r="L86" s="52">
        <f t="shared" si="32"/>
        <v>0</v>
      </c>
      <c r="M86" s="52">
        <f t="shared" si="33"/>
        <v>0</v>
      </c>
      <c r="N86" s="52">
        <f t="shared" si="34"/>
        <v>0</v>
      </c>
      <c r="O86" s="52">
        <f t="shared" si="35"/>
        <v>0</v>
      </c>
    </row>
    <row r="87" spans="1:15" ht="15.9" customHeight="1">
      <c r="A87" s="48"/>
      <c r="B87" s="49"/>
      <c r="C87" s="52"/>
      <c r="D87" s="52"/>
      <c r="E87" s="52"/>
      <c r="F87" s="11"/>
      <c r="G87" s="52">
        <f t="shared" si="31"/>
        <v>0</v>
      </c>
      <c r="H87" s="11"/>
      <c r="I87" s="11"/>
      <c r="J87" s="11"/>
      <c r="K87" s="57"/>
      <c r="L87" s="52">
        <f t="shared" ref="L87:L125" si="36">G87*H87/100</f>
        <v>0</v>
      </c>
      <c r="M87" s="52">
        <f t="shared" ref="M87:M125" si="37">G87*I87/100</f>
        <v>0</v>
      </c>
      <c r="N87" s="52">
        <f t="shared" ref="N87:N125" si="38">G87*J87/100</f>
        <v>0</v>
      </c>
      <c r="O87" s="52">
        <f t="shared" ref="O87:O125" si="39">G87*K87/1000</f>
        <v>0</v>
      </c>
    </row>
    <row r="88" spans="1:15" ht="15.9" customHeight="1">
      <c r="A88" s="48"/>
      <c r="B88" s="49"/>
      <c r="C88" s="52"/>
      <c r="D88" s="52"/>
      <c r="E88" s="52"/>
      <c r="F88" s="11"/>
      <c r="G88" s="52">
        <f t="shared" si="31"/>
        <v>0</v>
      </c>
      <c r="H88" s="11"/>
      <c r="I88" s="11"/>
      <c r="J88" s="11"/>
      <c r="K88" s="57"/>
      <c r="L88" s="52">
        <f t="shared" si="36"/>
        <v>0</v>
      </c>
      <c r="M88" s="52">
        <f t="shared" si="37"/>
        <v>0</v>
      </c>
      <c r="N88" s="52">
        <f t="shared" si="38"/>
        <v>0</v>
      </c>
      <c r="O88" s="52">
        <f t="shared" si="39"/>
        <v>0</v>
      </c>
    </row>
    <row r="89" spans="1:15" ht="15.9" customHeight="1">
      <c r="A89" s="48"/>
      <c r="B89" s="49"/>
      <c r="C89" s="52"/>
      <c r="D89" s="52"/>
      <c r="E89" s="52"/>
      <c r="F89" s="11"/>
      <c r="G89" s="52">
        <f t="shared" si="31"/>
        <v>0</v>
      </c>
      <c r="H89" s="11"/>
      <c r="I89" s="11"/>
      <c r="J89" s="11"/>
      <c r="K89" s="57"/>
      <c r="L89" s="52">
        <f t="shared" si="36"/>
        <v>0</v>
      </c>
      <c r="M89" s="52">
        <f t="shared" si="37"/>
        <v>0</v>
      </c>
      <c r="N89" s="52">
        <f t="shared" si="38"/>
        <v>0</v>
      </c>
      <c r="O89" s="52">
        <f t="shared" si="39"/>
        <v>0</v>
      </c>
    </row>
    <row r="90" spans="1:15" ht="15.9" customHeight="1">
      <c r="A90" s="48"/>
      <c r="B90" s="49"/>
      <c r="C90" s="52"/>
      <c r="D90" s="52"/>
      <c r="E90" s="52"/>
      <c r="F90" s="11"/>
      <c r="G90" s="52">
        <f t="shared" si="31"/>
        <v>0</v>
      </c>
      <c r="H90" s="11"/>
      <c r="I90" s="11"/>
      <c r="J90" s="11"/>
      <c r="K90" s="57"/>
      <c r="L90" s="52">
        <f t="shared" si="36"/>
        <v>0</v>
      </c>
      <c r="M90" s="52">
        <f t="shared" si="37"/>
        <v>0</v>
      </c>
      <c r="N90" s="52">
        <f t="shared" si="38"/>
        <v>0</v>
      </c>
      <c r="O90" s="52">
        <f t="shared" si="39"/>
        <v>0</v>
      </c>
    </row>
    <row r="91" spans="1:15" ht="15.9" customHeight="1">
      <c r="A91" s="48"/>
      <c r="B91" s="49"/>
      <c r="C91" s="52"/>
      <c r="D91" s="52"/>
      <c r="E91" s="52"/>
      <c r="F91" s="11"/>
      <c r="G91" s="52">
        <f t="shared" si="31"/>
        <v>0</v>
      </c>
      <c r="H91" s="11"/>
      <c r="I91" s="11"/>
      <c r="J91" s="11"/>
      <c r="K91" s="57"/>
      <c r="L91" s="52">
        <f t="shared" si="36"/>
        <v>0</v>
      </c>
      <c r="M91" s="52">
        <f t="shared" si="37"/>
        <v>0</v>
      </c>
      <c r="N91" s="52">
        <f t="shared" si="38"/>
        <v>0</v>
      </c>
      <c r="O91" s="52">
        <f t="shared" si="39"/>
        <v>0</v>
      </c>
    </row>
    <row r="92" spans="1:15" ht="15.9" customHeight="1">
      <c r="A92" s="48"/>
      <c r="B92" s="49"/>
      <c r="C92" s="52"/>
      <c r="D92" s="52"/>
      <c r="E92" s="52"/>
      <c r="F92" s="11"/>
      <c r="G92" s="52">
        <f t="shared" si="31"/>
        <v>0</v>
      </c>
      <c r="H92" s="11"/>
      <c r="I92" s="11"/>
      <c r="J92" s="11"/>
      <c r="K92" s="57"/>
      <c r="L92" s="52">
        <f t="shared" si="36"/>
        <v>0</v>
      </c>
      <c r="M92" s="52">
        <f t="shared" si="37"/>
        <v>0</v>
      </c>
      <c r="N92" s="52">
        <f t="shared" si="38"/>
        <v>0</v>
      </c>
      <c r="O92" s="52">
        <f t="shared" si="39"/>
        <v>0</v>
      </c>
    </row>
    <row r="93" spans="1:15" ht="15.9" customHeight="1">
      <c r="A93" s="48"/>
      <c r="B93" s="49"/>
      <c r="C93" s="52"/>
      <c r="D93" s="52"/>
      <c r="E93" s="52"/>
      <c r="F93" s="11"/>
      <c r="G93" s="52">
        <f t="shared" si="31"/>
        <v>0</v>
      </c>
      <c r="H93" s="11"/>
      <c r="I93" s="11"/>
      <c r="J93" s="11"/>
      <c r="K93" s="57"/>
      <c r="L93" s="52">
        <f t="shared" si="36"/>
        <v>0</v>
      </c>
      <c r="M93" s="52">
        <f t="shared" si="37"/>
        <v>0</v>
      </c>
      <c r="N93" s="52">
        <f t="shared" si="38"/>
        <v>0</v>
      </c>
      <c r="O93" s="52">
        <f t="shared" si="39"/>
        <v>0</v>
      </c>
    </row>
    <row r="94" spans="1:15" ht="15.9" customHeight="1">
      <c r="A94" s="48"/>
      <c r="B94" s="49"/>
      <c r="C94" s="52"/>
      <c r="D94" s="52"/>
      <c r="E94" s="52"/>
      <c r="F94" s="11"/>
      <c r="G94" s="52">
        <f t="shared" si="31"/>
        <v>0</v>
      </c>
      <c r="H94" s="11"/>
      <c r="I94" s="11"/>
      <c r="J94" s="11"/>
      <c r="K94" s="57"/>
      <c r="L94" s="52">
        <f t="shared" si="36"/>
        <v>0</v>
      </c>
      <c r="M94" s="52">
        <f t="shared" si="37"/>
        <v>0</v>
      </c>
      <c r="N94" s="52">
        <f t="shared" si="38"/>
        <v>0</v>
      </c>
      <c r="O94" s="52">
        <f t="shared" si="39"/>
        <v>0</v>
      </c>
    </row>
    <row r="95" spans="1:15" ht="15.9" customHeight="1">
      <c r="A95" s="48"/>
      <c r="B95" s="49"/>
      <c r="C95" s="52"/>
      <c r="D95" s="52"/>
      <c r="E95" s="52"/>
      <c r="F95" s="11"/>
      <c r="G95" s="52">
        <f t="shared" si="31"/>
        <v>0</v>
      </c>
      <c r="H95" s="11"/>
      <c r="I95" s="11"/>
      <c r="J95" s="11"/>
      <c r="K95" s="57"/>
      <c r="L95" s="52">
        <f t="shared" si="36"/>
        <v>0</v>
      </c>
      <c r="M95" s="52">
        <f t="shared" si="37"/>
        <v>0</v>
      </c>
      <c r="N95" s="52">
        <f t="shared" si="38"/>
        <v>0</v>
      </c>
      <c r="O95" s="52">
        <f t="shared" si="39"/>
        <v>0</v>
      </c>
    </row>
    <row r="96" spans="1:15" ht="15.9" customHeight="1">
      <c r="A96" s="48"/>
      <c r="B96" s="49"/>
      <c r="C96" s="52"/>
      <c r="D96" s="52"/>
      <c r="E96" s="52"/>
      <c r="F96" s="11"/>
      <c r="G96" s="52">
        <f t="shared" si="31"/>
        <v>0</v>
      </c>
      <c r="H96" s="11"/>
      <c r="I96" s="11"/>
      <c r="J96" s="11"/>
      <c r="K96" s="57"/>
      <c r="L96" s="52">
        <f t="shared" si="36"/>
        <v>0</v>
      </c>
      <c r="M96" s="52">
        <f t="shared" si="37"/>
        <v>0</v>
      </c>
      <c r="N96" s="52">
        <f t="shared" si="38"/>
        <v>0</v>
      </c>
      <c r="O96" s="52">
        <f t="shared" si="39"/>
        <v>0</v>
      </c>
    </row>
    <row r="97" spans="1:15" ht="15.9" customHeight="1">
      <c r="A97" s="48"/>
      <c r="B97" s="49"/>
      <c r="C97" s="52"/>
      <c r="D97" s="52"/>
      <c r="E97" s="52"/>
      <c r="F97" s="11"/>
      <c r="G97" s="52">
        <f t="shared" si="31"/>
        <v>0</v>
      </c>
      <c r="H97" s="11"/>
      <c r="I97" s="11"/>
      <c r="J97" s="11"/>
      <c r="K97" s="57"/>
      <c r="L97" s="52">
        <f t="shared" si="36"/>
        <v>0</v>
      </c>
      <c r="M97" s="52">
        <f t="shared" si="37"/>
        <v>0</v>
      </c>
      <c r="N97" s="52">
        <f t="shared" si="38"/>
        <v>0</v>
      </c>
      <c r="O97" s="52">
        <f t="shared" si="39"/>
        <v>0</v>
      </c>
    </row>
    <row r="98" spans="1:15" ht="15.9" customHeight="1">
      <c r="A98" s="48"/>
      <c r="B98" s="49"/>
      <c r="C98" s="52"/>
      <c r="D98" s="52"/>
      <c r="E98" s="52"/>
      <c r="F98" s="11"/>
      <c r="G98" s="52">
        <f t="shared" si="31"/>
        <v>0</v>
      </c>
      <c r="H98" s="11"/>
      <c r="I98" s="11"/>
      <c r="J98" s="11"/>
      <c r="K98" s="57"/>
      <c r="L98" s="52">
        <f t="shared" si="36"/>
        <v>0</v>
      </c>
      <c r="M98" s="52">
        <f t="shared" si="37"/>
        <v>0</v>
      </c>
      <c r="N98" s="52">
        <f t="shared" si="38"/>
        <v>0</v>
      </c>
      <c r="O98" s="52">
        <f t="shared" si="39"/>
        <v>0</v>
      </c>
    </row>
    <row r="99" spans="1:15" ht="15.9" customHeight="1">
      <c r="A99" s="48"/>
      <c r="B99" s="49"/>
      <c r="C99" s="52"/>
      <c r="D99" s="52"/>
      <c r="E99" s="52"/>
      <c r="F99" s="11"/>
      <c r="G99" s="52">
        <f t="shared" si="31"/>
        <v>0</v>
      </c>
      <c r="H99" s="11"/>
      <c r="I99" s="11"/>
      <c r="J99" s="11"/>
      <c r="K99" s="57"/>
      <c r="L99" s="52">
        <f t="shared" si="36"/>
        <v>0</v>
      </c>
      <c r="M99" s="52">
        <f t="shared" si="37"/>
        <v>0</v>
      </c>
      <c r="N99" s="52">
        <f t="shared" si="38"/>
        <v>0</v>
      </c>
      <c r="O99" s="52">
        <f t="shared" si="39"/>
        <v>0</v>
      </c>
    </row>
    <row r="100" spans="1:15" ht="15.9" customHeight="1">
      <c r="A100" s="48"/>
      <c r="B100" s="49"/>
      <c r="C100" s="52"/>
      <c r="D100" s="52"/>
      <c r="E100" s="52"/>
      <c r="F100" s="11"/>
      <c r="G100" s="52">
        <f t="shared" si="31"/>
        <v>0</v>
      </c>
      <c r="H100" s="11"/>
      <c r="I100" s="11"/>
      <c r="J100" s="11"/>
      <c r="K100" s="57"/>
      <c r="L100" s="52">
        <f t="shared" ref="L100:L119" si="40">G100*H100/100</f>
        <v>0</v>
      </c>
      <c r="M100" s="52">
        <f t="shared" ref="M100:M119" si="41">G100*I100/100</f>
        <v>0</v>
      </c>
      <c r="N100" s="52">
        <f t="shared" ref="N100:N119" si="42">G100*J100/100</f>
        <v>0</v>
      </c>
      <c r="O100" s="52">
        <f t="shared" ref="O100:O119" si="43">G100*K100/1000</f>
        <v>0</v>
      </c>
    </row>
    <row r="101" spans="1:15" ht="15.9" customHeight="1">
      <c r="A101" s="48"/>
      <c r="B101" s="49"/>
      <c r="C101" s="52"/>
      <c r="D101" s="52"/>
      <c r="E101" s="52"/>
      <c r="F101" s="11"/>
      <c r="G101" s="52">
        <f t="shared" si="31"/>
        <v>0</v>
      </c>
      <c r="H101" s="11"/>
      <c r="I101" s="11"/>
      <c r="J101" s="11"/>
      <c r="K101" s="57"/>
      <c r="L101" s="52">
        <f t="shared" si="40"/>
        <v>0</v>
      </c>
      <c r="M101" s="52">
        <f t="shared" si="41"/>
        <v>0</v>
      </c>
      <c r="N101" s="52">
        <f t="shared" si="42"/>
        <v>0</v>
      </c>
      <c r="O101" s="52">
        <f t="shared" si="43"/>
        <v>0</v>
      </c>
    </row>
    <row r="102" spans="1:15" ht="15.9" customHeight="1">
      <c r="A102" s="48"/>
      <c r="B102" s="49"/>
      <c r="C102" s="52"/>
      <c r="D102" s="52"/>
      <c r="E102" s="52"/>
      <c r="F102" s="11"/>
      <c r="G102" s="52">
        <f t="shared" si="31"/>
        <v>0</v>
      </c>
      <c r="H102" s="11"/>
      <c r="I102" s="11"/>
      <c r="J102" s="11"/>
      <c r="K102" s="57"/>
      <c r="L102" s="52">
        <f t="shared" si="40"/>
        <v>0</v>
      </c>
      <c r="M102" s="52">
        <f t="shared" si="41"/>
        <v>0</v>
      </c>
      <c r="N102" s="52">
        <f t="shared" si="42"/>
        <v>0</v>
      </c>
      <c r="O102" s="52">
        <f t="shared" si="43"/>
        <v>0</v>
      </c>
    </row>
    <row r="103" spans="1:15" ht="15.9" customHeight="1">
      <c r="A103" s="48"/>
      <c r="B103" s="49"/>
      <c r="C103" s="52"/>
      <c r="D103" s="52"/>
      <c r="E103" s="52"/>
      <c r="F103" s="11"/>
      <c r="G103" s="52">
        <f t="shared" si="31"/>
        <v>0</v>
      </c>
      <c r="H103" s="11"/>
      <c r="I103" s="11"/>
      <c r="J103" s="11"/>
      <c r="K103" s="57"/>
      <c r="L103" s="52">
        <f t="shared" si="40"/>
        <v>0</v>
      </c>
      <c r="M103" s="52">
        <f t="shared" si="41"/>
        <v>0</v>
      </c>
      <c r="N103" s="52">
        <f t="shared" si="42"/>
        <v>0</v>
      </c>
      <c r="O103" s="52">
        <f t="shared" si="43"/>
        <v>0</v>
      </c>
    </row>
    <row r="104" spans="1:15" ht="15.9" customHeight="1">
      <c r="A104" s="48"/>
      <c r="B104" s="49"/>
      <c r="C104" s="52"/>
      <c r="D104" s="52"/>
      <c r="E104" s="52"/>
      <c r="F104" s="11"/>
      <c r="G104" s="52">
        <f t="shared" si="31"/>
        <v>0</v>
      </c>
      <c r="H104" s="11"/>
      <c r="I104" s="11"/>
      <c r="J104" s="11"/>
      <c r="K104" s="57"/>
      <c r="L104" s="52">
        <f t="shared" si="40"/>
        <v>0</v>
      </c>
      <c r="M104" s="52">
        <f t="shared" si="41"/>
        <v>0</v>
      </c>
      <c r="N104" s="52">
        <f t="shared" si="42"/>
        <v>0</v>
      </c>
      <c r="O104" s="52">
        <f t="shared" si="43"/>
        <v>0</v>
      </c>
    </row>
    <row r="105" spans="1:15" ht="15.9" customHeight="1">
      <c r="A105" s="48"/>
      <c r="B105" s="49"/>
      <c r="C105" s="52"/>
      <c r="D105" s="52"/>
      <c r="E105" s="52"/>
      <c r="F105" s="11"/>
      <c r="G105" s="52">
        <f t="shared" si="31"/>
        <v>0</v>
      </c>
      <c r="H105" s="11"/>
      <c r="I105" s="11"/>
      <c r="J105" s="11"/>
      <c r="K105" s="57"/>
      <c r="L105" s="52">
        <f t="shared" si="40"/>
        <v>0</v>
      </c>
      <c r="M105" s="52">
        <f t="shared" si="41"/>
        <v>0</v>
      </c>
      <c r="N105" s="52">
        <f t="shared" si="42"/>
        <v>0</v>
      </c>
      <c r="O105" s="52">
        <f t="shared" si="43"/>
        <v>0</v>
      </c>
    </row>
    <row r="106" spans="1:15" ht="15.9" customHeight="1">
      <c r="A106" s="48"/>
      <c r="B106" s="49"/>
      <c r="C106" s="52"/>
      <c r="D106" s="52"/>
      <c r="E106" s="52"/>
      <c r="F106" s="11"/>
      <c r="G106" s="52">
        <f t="shared" si="31"/>
        <v>0</v>
      </c>
      <c r="H106" s="11"/>
      <c r="I106" s="11"/>
      <c r="J106" s="11"/>
      <c r="K106" s="57"/>
      <c r="L106" s="52">
        <f t="shared" si="40"/>
        <v>0</v>
      </c>
      <c r="M106" s="52">
        <f t="shared" si="41"/>
        <v>0</v>
      </c>
      <c r="N106" s="52">
        <f t="shared" si="42"/>
        <v>0</v>
      </c>
      <c r="O106" s="52">
        <f t="shared" si="43"/>
        <v>0</v>
      </c>
    </row>
    <row r="107" spans="1:15" ht="15.9" customHeight="1">
      <c r="A107" s="48"/>
      <c r="B107" s="49"/>
      <c r="C107" s="52"/>
      <c r="D107" s="52"/>
      <c r="E107" s="52"/>
      <c r="F107" s="11"/>
      <c r="G107" s="52">
        <f t="shared" si="31"/>
        <v>0</v>
      </c>
      <c r="H107" s="11"/>
      <c r="I107" s="11"/>
      <c r="J107" s="11"/>
      <c r="K107" s="57"/>
      <c r="L107" s="52">
        <f t="shared" si="40"/>
        <v>0</v>
      </c>
      <c r="M107" s="52">
        <f t="shared" si="41"/>
        <v>0</v>
      </c>
      <c r="N107" s="52">
        <f t="shared" si="42"/>
        <v>0</v>
      </c>
      <c r="O107" s="52">
        <f t="shared" si="43"/>
        <v>0</v>
      </c>
    </row>
    <row r="108" spans="1:15" ht="15.9" customHeight="1">
      <c r="A108" s="48"/>
      <c r="B108" s="49"/>
      <c r="C108" s="52"/>
      <c r="D108" s="52"/>
      <c r="E108" s="52"/>
      <c r="F108" s="11"/>
      <c r="G108" s="52">
        <f t="shared" si="31"/>
        <v>0</v>
      </c>
      <c r="H108" s="11"/>
      <c r="I108" s="11"/>
      <c r="J108" s="11"/>
      <c r="K108" s="57"/>
      <c r="L108" s="52">
        <f t="shared" si="40"/>
        <v>0</v>
      </c>
      <c r="M108" s="52">
        <f t="shared" si="41"/>
        <v>0</v>
      </c>
      <c r="N108" s="52">
        <f t="shared" si="42"/>
        <v>0</v>
      </c>
      <c r="O108" s="52">
        <f t="shared" si="43"/>
        <v>0</v>
      </c>
    </row>
    <row r="109" spans="1:15" ht="15.9" customHeight="1">
      <c r="A109" s="48"/>
      <c r="B109" s="49"/>
      <c r="C109" s="52"/>
      <c r="D109" s="52"/>
      <c r="E109" s="52"/>
      <c r="F109" s="11"/>
      <c r="G109" s="52">
        <f t="shared" si="31"/>
        <v>0</v>
      </c>
      <c r="H109" s="11"/>
      <c r="I109" s="11"/>
      <c r="J109" s="11"/>
      <c r="K109" s="57"/>
      <c r="L109" s="52">
        <f t="shared" si="40"/>
        <v>0</v>
      </c>
      <c r="M109" s="52">
        <f t="shared" si="41"/>
        <v>0</v>
      </c>
      <c r="N109" s="52">
        <f t="shared" si="42"/>
        <v>0</v>
      </c>
      <c r="O109" s="52">
        <f t="shared" si="43"/>
        <v>0</v>
      </c>
    </row>
    <row r="110" spans="1:15" ht="15.9" customHeight="1">
      <c r="A110" s="48"/>
      <c r="B110" s="49"/>
      <c r="C110" s="52"/>
      <c r="D110" s="52"/>
      <c r="E110" s="52"/>
      <c r="F110" s="11"/>
      <c r="G110" s="52">
        <f t="shared" si="31"/>
        <v>0</v>
      </c>
      <c r="H110" s="11"/>
      <c r="I110" s="11"/>
      <c r="J110" s="11"/>
      <c r="K110" s="57"/>
      <c r="L110" s="52">
        <f t="shared" si="40"/>
        <v>0</v>
      </c>
      <c r="M110" s="52">
        <f t="shared" si="41"/>
        <v>0</v>
      </c>
      <c r="N110" s="52">
        <f t="shared" si="42"/>
        <v>0</v>
      </c>
      <c r="O110" s="52">
        <f t="shared" si="43"/>
        <v>0</v>
      </c>
    </row>
    <row r="111" spans="1:15" ht="15.9" customHeight="1">
      <c r="A111" s="48"/>
      <c r="B111" s="49"/>
      <c r="C111" s="52"/>
      <c r="D111" s="52"/>
      <c r="E111" s="52"/>
      <c r="F111" s="11"/>
      <c r="G111" s="52">
        <f t="shared" si="31"/>
        <v>0</v>
      </c>
      <c r="H111" s="11"/>
      <c r="I111" s="11"/>
      <c r="J111" s="11"/>
      <c r="K111" s="57"/>
      <c r="L111" s="52">
        <f t="shared" si="40"/>
        <v>0</v>
      </c>
      <c r="M111" s="52">
        <f t="shared" si="41"/>
        <v>0</v>
      </c>
      <c r="N111" s="52">
        <f t="shared" si="42"/>
        <v>0</v>
      </c>
      <c r="O111" s="52">
        <f t="shared" si="43"/>
        <v>0</v>
      </c>
    </row>
    <row r="112" spans="1:15" ht="15.9" customHeight="1">
      <c r="A112" s="48"/>
      <c r="B112" s="49"/>
      <c r="C112" s="52"/>
      <c r="D112" s="52"/>
      <c r="E112" s="52"/>
      <c r="F112" s="11"/>
      <c r="G112" s="52">
        <f t="shared" si="31"/>
        <v>0</v>
      </c>
      <c r="H112" s="11"/>
      <c r="I112" s="11"/>
      <c r="J112" s="11"/>
      <c r="K112" s="57"/>
      <c r="L112" s="52">
        <f t="shared" si="40"/>
        <v>0</v>
      </c>
      <c r="M112" s="52">
        <f t="shared" si="41"/>
        <v>0</v>
      </c>
      <c r="N112" s="52">
        <f t="shared" si="42"/>
        <v>0</v>
      </c>
      <c r="O112" s="52">
        <f t="shared" si="43"/>
        <v>0</v>
      </c>
    </row>
    <row r="113" spans="1:15" ht="15.9" customHeight="1">
      <c r="A113" s="48"/>
      <c r="B113" s="49"/>
      <c r="C113" s="52"/>
      <c r="D113" s="52"/>
      <c r="E113" s="52"/>
      <c r="F113" s="11"/>
      <c r="G113" s="52">
        <f t="shared" si="31"/>
        <v>0</v>
      </c>
      <c r="H113" s="11"/>
      <c r="I113" s="11"/>
      <c r="J113" s="11"/>
      <c r="K113" s="57"/>
      <c r="L113" s="52">
        <f t="shared" si="40"/>
        <v>0</v>
      </c>
      <c r="M113" s="52">
        <f t="shared" si="41"/>
        <v>0</v>
      </c>
      <c r="N113" s="52">
        <f t="shared" si="42"/>
        <v>0</v>
      </c>
      <c r="O113" s="52">
        <f t="shared" si="43"/>
        <v>0</v>
      </c>
    </row>
    <row r="114" spans="1:15" ht="15.9" customHeight="1">
      <c r="A114" s="48"/>
      <c r="B114" s="49"/>
      <c r="C114" s="52"/>
      <c r="D114" s="52"/>
      <c r="E114" s="52"/>
      <c r="F114" s="11"/>
      <c r="G114" s="52">
        <f t="shared" si="31"/>
        <v>0</v>
      </c>
      <c r="H114" s="11"/>
      <c r="I114" s="11"/>
      <c r="J114" s="11"/>
      <c r="K114" s="57"/>
      <c r="L114" s="52">
        <f t="shared" si="40"/>
        <v>0</v>
      </c>
      <c r="M114" s="52">
        <f t="shared" si="41"/>
        <v>0</v>
      </c>
      <c r="N114" s="52">
        <f t="shared" si="42"/>
        <v>0</v>
      </c>
      <c r="O114" s="52">
        <f t="shared" si="43"/>
        <v>0</v>
      </c>
    </row>
    <row r="115" spans="1:15" ht="15.9" customHeight="1">
      <c r="A115" s="48"/>
      <c r="B115" s="49"/>
      <c r="C115" s="52"/>
      <c r="D115" s="52"/>
      <c r="E115" s="52"/>
      <c r="F115" s="11"/>
      <c r="G115" s="52">
        <f t="shared" si="31"/>
        <v>0</v>
      </c>
      <c r="H115" s="11"/>
      <c r="I115" s="11"/>
      <c r="J115" s="11"/>
      <c r="K115" s="57"/>
      <c r="L115" s="52">
        <f t="shared" si="40"/>
        <v>0</v>
      </c>
      <c r="M115" s="52">
        <f t="shared" si="41"/>
        <v>0</v>
      </c>
      <c r="N115" s="52">
        <f t="shared" si="42"/>
        <v>0</v>
      </c>
      <c r="O115" s="52">
        <f t="shared" si="43"/>
        <v>0</v>
      </c>
    </row>
    <row r="116" spans="1:15" ht="15.9" customHeight="1">
      <c r="A116" s="48"/>
      <c r="B116" s="49"/>
      <c r="C116" s="52"/>
      <c r="D116" s="52"/>
      <c r="E116" s="52"/>
      <c r="F116" s="11"/>
      <c r="G116" s="52">
        <f t="shared" si="31"/>
        <v>0</v>
      </c>
      <c r="H116" s="11"/>
      <c r="I116" s="11"/>
      <c r="J116" s="11"/>
      <c r="K116" s="57"/>
      <c r="L116" s="52">
        <f t="shared" si="40"/>
        <v>0</v>
      </c>
      <c r="M116" s="52">
        <f t="shared" si="41"/>
        <v>0</v>
      </c>
      <c r="N116" s="52">
        <f t="shared" si="42"/>
        <v>0</v>
      </c>
      <c r="O116" s="52">
        <f t="shared" si="43"/>
        <v>0</v>
      </c>
    </row>
    <row r="117" spans="1:15" ht="15.9" customHeight="1">
      <c r="A117" s="48"/>
      <c r="B117" s="49"/>
      <c r="C117" s="52"/>
      <c r="D117" s="52"/>
      <c r="E117" s="52"/>
      <c r="F117" s="11"/>
      <c r="G117" s="52">
        <f t="shared" si="31"/>
        <v>0</v>
      </c>
      <c r="H117" s="11"/>
      <c r="I117" s="11"/>
      <c r="J117" s="11"/>
      <c r="K117" s="57"/>
      <c r="L117" s="52">
        <f t="shared" si="40"/>
        <v>0</v>
      </c>
      <c r="M117" s="52">
        <f t="shared" si="41"/>
        <v>0</v>
      </c>
      <c r="N117" s="52">
        <f t="shared" si="42"/>
        <v>0</v>
      </c>
      <c r="O117" s="52">
        <f t="shared" si="43"/>
        <v>0</v>
      </c>
    </row>
    <row r="118" spans="1:15" ht="15.9" customHeight="1">
      <c r="A118" s="48"/>
      <c r="B118" s="49"/>
      <c r="C118" s="52"/>
      <c r="D118" s="52"/>
      <c r="E118" s="52"/>
      <c r="F118" s="11"/>
      <c r="G118" s="52">
        <f t="shared" si="31"/>
        <v>0</v>
      </c>
      <c r="H118" s="11"/>
      <c r="I118" s="11"/>
      <c r="J118" s="11"/>
      <c r="K118" s="57"/>
      <c r="L118" s="52">
        <f t="shared" si="40"/>
        <v>0</v>
      </c>
      <c r="M118" s="52">
        <f t="shared" si="41"/>
        <v>0</v>
      </c>
      <c r="N118" s="52">
        <f t="shared" si="42"/>
        <v>0</v>
      </c>
      <c r="O118" s="52">
        <f t="shared" si="43"/>
        <v>0</v>
      </c>
    </row>
    <row r="119" spans="1:15" ht="15.9" customHeight="1">
      <c r="A119" s="48"/>
      <c r="B119" s="49"/>
      <c r="C119" s="52"/>
      <c r="D119" s="52"/>
      <c r="E119" s="52"/>
      <c r="F119" s="11"/>
      <c r="G119" s="52">
        <f t="shared" si="31"/>
        <v>0</v>
      </c>
      <c r="H119" s="11"/>
      <c r="I119" s="11"/>
      <c r="J119" s="11"/>
      <c r="K119" s="57"/>
      <c r="L119" s="52">
        <f t="shared" si="40"/>
        <v>0</v>
      </c>
      <c r="M119" s="52">
        <f t="shared" si="41"/>
        <v>0</v>
      </c>
      <c r="N119" s="52">
        <f t="shared" si="42"/>
        <v>0</v>
      </c>
      <c r="O119" s="52">
        <f t="shared" si="43"/>
        <v>0</v>
      </c>
    </row>
    <row r="120" spans="1:15" ht="15.9" customHeight="1">
      <c r="A120" s="48"/>
      <c r="B120" s="49"/>
      <c r="C120" s="52"/>
      <c r="D120" s="52"/>
      <c r="E120" s="52"/>
      <c r="F120" s="11"/>
      <c r="G120" s="52">
        <f t="shared" si="31"/>
        <v>0</v>
      </c>
      <c r="H120" s="11"/>
      <c r="I120" s="11"/>
      <c r="J120" s="11"/>
      <c r="K120" s="57"/>
      <c r="L120" s="52">
        <f t="shared" si="36"/>
        <v>0</v>
      </c>
      <c r="M120" s="52">
        <f t="shared" si="37"/>
        <v>0</v>
      </c>
      <c r="N120" s="52">
        <f t="shared" si="38"/>
        <v>0</v>
      </c>
      <c r="O120" s="52">
        <f t="shared" si="39"/>
        <v>0</v>
      </c>
    </row>
    <row r="121" spans="1:15" ht="15.9" customHeight="1">
      <c r="A121" s="48"/>
      <c r="B121" s="49"/>
      <c r="C121" s="52"/>
      <c r="D121" s="52"/>
      <c r="E121" s="52"/>
      <c r="F121" s="11"/>
      <c r="G121" s="52">
        <f t="shared" si="31"/>
        <v>0</v>
      </c>
      <c r="H121" s="11"/>
      <c r="I121" s="11"/>
      <c r="J121" s="11"/>
      <c r="K121" s="57"/>
      <c r="L121" s="52">
        <f t="shared" si="36"/>
        <v>0</v>
      </c>
      <c r="M121" s="52">
        <f t="shared" si="37"/>
        <v>0</v>
      </c>
      <c r="N121" s="52">
        <f t="shared" si="38"/>
        <v>0</v>
      </c>
      <c r="O121" s="52">
        <f t="shared" si="39"/>
        <v>0</v>
      </c>
    </row>
    <row r="122" spans="1:15" ht="15.9" customHeight="1">
      <c r="A122" s="48"/>
      <c r="B122" s="49"/>
      <c r="C122" s="52"/>
      <c r="D122" s="52"/>
      <c r="E122" s="52"/>
      <c r="F122" s="11"/>
      <c r="G122" s="52">
        <f t="shared" si="31"/>
        <v>0</v>
      </c>
      <c r="H122" s="11"/>
      <c r="I122" s="11"/>
      <c r="J122" s="11"/>
      <c r="K122" s="57"/>
      <c r="L122" s="52">
        <f t="shared" si="36"/>
        <v>0</v>
      </c>
      <c r="M122" s="52">
        <f t="shared" si="37"/>
        <v>0</v>
      </c>
      <c r="N122" s="52">
        <f t="shared" si="38"/>
        <v>0</v>
      </c>
      <c r="O122" s="52">
        <f t="shared" si="39"/>
        <v>0</v>
      </c>
    </row>
    <row r="123" spans="1:15" ht="15.9" customHeight="1">
      <c r="A123" s="48"/>
      <c r="B123" s="49"/>
      <c r="C123" s="52"/>
      <c r="D123" s="52"/>
      <c r="E123" s="52"/>
      <c r="F123" s="11"/>
      <c r="G123" s="52">
        <f t="shared" si="31"/>
        <v>0</v>
      </c>
      <c r="H123" s="11"/>
      <c r="I123" s="11"/>
      <c r="J123" s="11"/>
      <c r="K123" s="57"/>
      <c r="L123" s="52">
        <f t="shared" si="36"/>
        <v>0</v>
      </c>
      <c r="M123" s="52">
        <f t="shared" si="37"/>
        <v>0</v>
      </c>
      <c r="N123" s="52">
        <f t="shared" si="38"/>
        <v>0</v>
      </c>
      <c r="O123" s="52">
        <f t="shared" si="39"/>
        <v>0</v>
      </c>
    </row>
    <row r="124" spans="1:15" ht="15.9" customHeight="1">
      <c r="A124" s="48"/>
      <c r="B124" s="49"/>
      <c r="C124" s="52"/>
      <c r="D124" s="52"/>
      <c r="E124" s="52"/>
      <c r="F124" s="11"/>
      <c r="G124" s="52">
        <f t="shared" si="31"/>
        <v>0</v>
      </c>
      <c r="H124" s="11"/>
      <c r="I124" s="11"/>
      <c r="J124" s="11"/>
      <c r="K124" s="57"/>
      <c r="L124" s="52">
        <f t="shared" si="36"/>
        <v>0</v>
      </c>
      <c r="M124" s="52">
        <f t="shared" si="37"/>
        <v>0</v>
      </c>
      <c r="N124" s="52">
        <f t="shared" si="38"/>
        <v>0</v>
      </c>
      <c r="O124" s="52">
        <f t="shared" si="39"/>
        <v>0</v>
      </c>
    </row>
    <row r="125" spans="1:15" ht="15.9" customHeight="1">
      <c r="A125" s="48"/>
      <c r="B125" s="49"/>
      <c r="C125" s="52"/>
      <c r="D125" s="52"/>
      <c r="E125" s="52"/>
      <c r="F125" s="11"/>
      <c r="G125" s="52">
        <f t="shared" si="31"/>
        <v>0</v>
      </c>
      <c r="H125" s="11"/>
      <c r="I125" s="11"/>
      <c r="J125" s="11"/>
      <c r="K125" s="57"/>
      <c r="L125" s="52">
        <f t="shared" si="36"/>
        <v>0</v>
      </c>
      <c r="M125" s="52">
        <f t="shared" si="37"/>
        <v>0</v>
      </c>
      <c r="N125" s="52">
        <f t="shared" si="38"/>
        <v>0</v>
      </c>
      <c r="O125" s="52">
        <f t="shared" si="39"/>
        <v>0</v>
      </c>
    </row>
    <row r="126" spans="1:15" ht="15.9" customHeight="1">
      <c r="A126" s="48"/>
      <c r="B126" s="49"/>
      <c r="C126" s="52"/>
      <c r="D126" s="52"/>
      <c r="E126" s="52"/>
      <c r="F126" s="11"/>
      <c r="G126" s="52">
        <f t="shared" si="31"/>
        <v>0</v>
      </c>
      <c r="H126" s="11"/>
      <c r="I126" s="11"/>
      <c r="J126" s="11"/>
      <c r="K126" s="57"/>
      <c r="L126" s="52">
        <f t="shared" si="32"/>
        <v>0</v>
      </c>
      <c r="M126" s="52">
        <f t="shared" si="33"/>
        <v>0</v>
      </c>
      <c r="N126" s="52">
        <f t="shared" si="34"/>
        <v>0</v>
      </c>
      <c r="O126" s="52">
        <f t="shared" si="35"/>
        <v>0</v>
      </c>
    </row>
    <row r="127" spans="1:15" ht="15.9" customHeight="1">
      <c r="A127" s="48"/>
      <c r="B127" s="49"/>
      <c r="C127" s="52"/>
      <c r="D127" s="52"/>
      <c r="E127" s="52"/>
      <c r="F127" s="11"/>
      <c r="G127" s="52">
        <f t="shared" si="31"/>
        <v>0</v>
      </c>
      <c r="H127" s="11"/>
      <c r="I127" s="11"/>
      <c r="J127" s="11"/>
      <c r="K127" s="57"/>
      <c r="L127" s="52">
        <f t="shared" ref="L127:L425" si="44">G127*H127/100</f>
        <v>0</v>
      </c>
      <c r="M127" s="52">
        <f t="shared" ref="M127:M425" si="45">G127*I127/100</f>
        <v>0</v>
      </c>
      <c r="N127" s="52">
        <f t="shared" ref="N127:N425" si="46">G127*J127/100</f>
        <v>0</v>
      </c>
      <c r="O127" s="52">
        <f t="shared" ref="O127:O425" si="47">G127*K127/1000</f>
        <v>0</v>
      </c>
    </row>
    <row r="128" spans="1:15" ht="15.9" customHeight="1">
      <c r="A128" s="48"/>
      <c r="B128" s="49"/>
      <c r="C128" s="52"/>
      <c r="D128" s="52"/>
      <c r="E128" s="52"/>
      <c r="F128" s="11"/>
      <c r="G128" s="52">
        <f t="shared" si="31"/>
        <v>0</v>
      </c>
      <c r="H128" s="11"/>
      <c r="I128" s="11"/>
      <c r="J128" s="61"/>
      <c r="K128" s="57"/>
      <c r="L128" s="52">
        <f t="shared" si="44"/>
        <v>0</v>
      </c>
      <c r="M128" s="52">
        <f t="shared" si="45"/>
        <v>0</v>
      </c>
      <c r="N128" s="52">
        <f t="shared" si="46"/>
        <v>0</v>
      </c>
      <c r="O128" s="52">
        <f t="shared" si="47"/>
        <v>0</v>
      </c>
    </row>
    <row r="129" spans="1:15" ht="15.9" customHeight="1">
      <c r="A129" s="48"/>
      <c r="B129" s="49"/>
      <c r="C129" s="52"/>
      <c r="D129" s="52"/>
      <c r="E129" s="52"/>
      <c r="F129" s="11"/>
      <c r="G129" s="52">
        <f t="shared" si="31"/>
        <v>0</v>
      </c>
      <c r="H129" s="11"/>
      <c r="I129" s="11"/>
      <c r="J129" s="11"/>
      <c r="K129" s="57"/>
      <c r="L129" s="52">
        <f t="shared" si="44"/>
        <v>0</v>
      </c>
      <c r="M129" s="52">
        <f t="shared" si="45"/>
        <v>0</v>
      </c>
      <c r="N129" s="52">
        <f t="shared" si="46"/>
        <v>0</v>
      </c>
      <c r="O129" s="52">
        <f t="shared" si="47"/>
        <v>0</v>
      </c>
    </row>
    <row r="130" spans="1:15" ht="15.9" customHeight="1">
      <c r="A130" s="48"/>
      <c r="B130" s="49"/>
      <c r="C130" s="52"/>
      <c r="D130" s="52"/>
      <c r="E130" s="52"/>
      <c r="F130" s="11"/>
      <c r="G130" s="52">
        <f t="shared" si="31"/>
        <v>0</v>
      </c>
      <c r="H130" s="11"/>
      <c r="I130" s="11"/>
      <c r="J130" s="61"/>
      <c r="K130" s="57"/>
      <c r="L130" s="52">
        <f t="shared" si="44"/>
        <v>0</v>
      </c>
      <c r="M130" s="52">
        <f t="shared" si="45"/>
        <v>0</v>
      </c>
      <c r="N130" s="52">
        <f t="shared" si="46"/>
        <v>0</v>
      </c>
      <c r="O130" s="52">
        <f t="shared" si="47"/>
        <v>0</v>
      </c>
    </row>
    <row r="131" spans="1:15" ht="15.9" customHeight="1">
      <c r="A131" s="48"/>
      <c r="B131" s="49"/>
      <c r="C131" s="52"/>
      <c r="D131" s="52"/>
      <c r="E131" s="52"/>
      <c r="F131" s="11"/>
      <c r="G131" s="52">
        <f t="shared" si="31"/>
        <v>0</v>
      </c>
      <c r="H131" s="11"/>
      <c r="I131" s="11"/>
      <c r="J131" s="11"/>
      <c r="K131" s="57"/>
      <c r="L131" s="52">
        <f t="shared" si="44"/>
        <v>0</v>
      </c>
      <c r="M131" s="52">
        <f t="shared" si="45"/>
        <v>0</v>
      </c>
      <c r="N131" s="52">
        <f t="shared" si="46"/>
        <v>0</v>
      </c>
      <c r="O131" s="52">
        <f t="shared" si="47"/>
        <v>0</v>
      </c>
    </row>
    <row r="132" spans="1:15" ht="15.9" customHeight="1">
      <c r="A132" s="48"/>
      <c r="B132" s="49"/>
      <c r="C132" s="52"/>
      <c r="D132" s="52"/>
      <c r="E132" s="52"/>
      <c r="F132" s="11"/>
      <c r="G132" s="52">
        <f t="shared" si="31"/>
        <v>0</v>
      </c>
      <c r="H132" s="11"/>
      <c r="I132" s="11"/>
      <c r="J132" s="11"/>
      <c r="K132" s="57"/>
      <c r="L132" s="52">
        <f t="shared" si="44"/>
        <v>0</v>
      </c>
      <c r="M132" s="52">
        <f t="shared" si="45"/>
        <v>0</v>
      </c>
      <c r="N132" s="52">
        <f t="shared" si="46"/>
        <v>0</v>
      </c>
      <c r="O132" s="52">
        <f t="shared" si="47"/>
        <v>0</v>
      </c>
    </row>
    <row r="133" spans="1:15" ht="15.9" customHeight="1">
      <c r="A133" s="48"/>
      <c r="B133" s="49"/>
      <c r="C133" s="52"/>
      <c r="D133" s="52"/>
      <c r="E133" s="52"/>
      <c r="F133" s="11"/>
      <c r="G133" s="52">
        <f t="shared" si="31"/>
        <v>0</v>
      </c>
      <c r="H133" s="11"/>
      <c r="I133" s="11"/>
      <c r="J133" s="11"/>
      <c r="K133" s="57"/>
      <c r="L133" s="52">
        <f t="shared" si="44"/>
        <v>0</v>
      </c>
      <c r="M133" s="52">
        <f t="shared" si="45"/>
        <v>0</v>
      </c>
      <c r="N133" s="52">
        <f t="shared" si="46"/>
        <v>0</v>
      </c>
      <c r="O133" s="52">
        <f t="shared" si="47"/>
        <v>0</v>
      </c>
    </row>
    <row r="134" spans="1:15" ht="15.9" customHeight="1">
      <c r="A134" s="48"/>
      <c r="B134" s="49"/>
      <c r="C134" s="52"/>
      <c r="D134" s="52"/>
      <c r="E134" s="52"/>
      <c r="F134" s="11"/>
      <c r="G134" s="52">
        <f t="shared" si="31"/>
        <v>0</v>
      </c>
      <c r="H134" s="11"/>
      <c r="I134" s="11"/>
      <c r="J134" s="11"/>
      <c r="K134" s="57"/>
      <c r="L134" s="52">
        <f t="shared" si="44"/>
        <v>0</v>
      </c>
      <c r="M134" s="52">
        <f t="shared" si="45"/>
        <v>0</v>
      </c>
      <c r="N134" s="52">
        <f t="shared" si="46"/>
        <v>0</v>
      </c>
      <c r="O134" s="52">
        <f t="shared" si="47"/>
        <v>0</v>
      </c>
    </row>
    <row r="135" spans="1:15" ht="15.9" customHeight="1">
      <c r="A135" s="48"/>
      <c r="B135" s="49"/>
      <c r="C135" s="52"/>
      <c r="D135" s="52"/>
      <c r="E135" s="52"/>
      <c r="F135" s="11"/>
      <c r="G135" s="52">
        <f t="shared" si="31"/>
        <v>0</v>
      </c>
      <c r="H135" s="11"/>
      <c r="I135" s="11"/>
      <c r="J135" s="11"/>
      <c r="K135" s="57"/>
      <c r="L135" s="52">
        <f t="shared" si="44"/>
        <v>0</v>
      </c>
      <c r="M135" s="52">
        <f t="shared" si="45"/>
        <v>0</v>
      </c>
      <c r="N135" s="52">
        <f t="shared" si="46"/>
        <v>0</v>
      </c>
      <c r="O135" s="52">
        <f t="shared" si="47"/>
        <v>0</v>
      </c>
    </row>
    <row r="136" spans="1:15" ht="15.9" customHeight="1">
      <c r="A136" s="48"/>
      <c r="B136" s="49"/>
      <c r="C136" s="52"/>
      <c r="D136" s="52"/>
      <c r="E136" s="52"/>
      <c r="F136" s="11"/>
      <c r="G136" s="52">
        <f t="shared" si="31"/>
        <v>0</v>
      </c>
      <c r="H136" s="11"/>
      <c r="I136" s="11"/>
      <c r="J136" s="11"/>
      <c r="K136" s="57"/>
      <c r="L136" s="52">
        <f t="shared" si="44"/>
        <v>0</v>
      </c>
      <c r="M136" s="52">
        <f t="shared" si="45"/>
        <v>0</v>
      </c>
      <c r="N136" s="52">
        <f t="shared" si="46"/>
        <v>0</v>
      </c>
      <c r="O136" s="52">
        <f t="shared" si="47"/>
        <v>0</v>
      </c>
    </row>
    <row r="137" spans="1:15" ht="15.9" customHeight="1">
      <c r="A137" s="48"/>
      <c r="B137" s="49"/>
      <c r="C137" s="52"/>
      <c r="D137" s="52"/>
      <c r="E137" s="52"/>
      <c r="F137" s="11"/>
      <c r="G137" s="52">
        <f t="shared" si="31"/>
        <v>0</v>
      </c>
      <c r="H137" s="11"/>
      <c r="I137" s="11"/>
      <c r="J137" s="11"/>
      <c r="K137" s="57"/>
      <c r="L137" s="52">
        <f t="shared" si="44"/>
        <v>0</v>
      </c>
      <c r="M137" s="52">
        <f t="shared" si="45"/>
        <v>0</v>
      </c>
      <c r="N137" s="52">
        <f t="shared" si="46"/>
        <v>0</v>
      </c>
      <c r="O137" s="52">
        <f t="shared" si="47"/>
        <v>0</v>
      </c>
    </row>
    <row r="138" spans="1:15" ht="15.9" customHeight="1">
      <c r="A138" s="48"/>
      <c r="B138" s="49"/>
      <c r="C138" s="52"/>
      <c r="D138" s="52"/>
      <c r="E138" s="52"/>
      <c r="F138" s="11"/>
      <c r="G138" s="52">
        <f t="shared" si="31"/>
        <v>0</v>
      </c>
      <c r="H138" s="11"/>
      <c r="I138" s="11"/>
      <c r="J138" s="11"/>
      <c r="K138" s="57"/>
      <c r="L138" s="52">
        <f t="shared" si="44"/>
        <v>0</v>
      </c>
      <c r="M138" s="52">
        <f t="shared" si="45"/>
        <v>0</v>
      </c>
      <c r="N138" s="52">
        <f t="shared" si="46"/>
        <v>0</v>
      </c>
      <c r="O138" s="52">
        <f t="shared" si="47"/>
        <v>0</v>
      </c>
    </row>
    <row r="139" spans="1:15" ht="15.9" customHeight="1">
      <c r="A139" s="48"/>
      <c r="B139" s="49"/>
      <c r="C139" s="52"/>
      <c r="D139" s="52"/>
      <c r="E139" s="52"/>
      <c r="F139" s="11"/>
      <c r="G139" s="52">
        <f t="shared" si="31"/>
        <v>0</v>
      </c>
      <c r="H139" s="11"/>
      <c r="I139" s="11"/>
      <c r="J139" s="11"/>
      <c r="K139" s="57"/>
      <c r="L139" s="52">
        <f t="shared" si="44"/>
        <v>0</v>
      </c>
      <c r="M139" s="52">
        <f t="shared" si="45"/>
        <v>0</v>
      </c>
      <c r="N139" s="52">
        <f t="shared" si="46"/>
        <v>0</v>
      </c>
      <c r="O139" s="52">
        <f t="shared" si="47"/>
        <v>0</v>
      </c>
    </row>
    <row r="140" spans="1:15" ht="15.9" customHeight="1">
      <c r="A140" s="48"/>
      <c r="B140" s="49"/>
      <c r="C140" s="52"/>
      <c r="D140" s="52"/>
      <c r="E140" s="52"/>
      <c r="F140" s="11"/>
      <c r="G140" s="52">
        <f t="shared" si="31"/>
        <v>0</v>
      </c>
      <c r="H140" s="11"/>
      <c r="I140" s="11"/>
      <c r="J140" s="11"/>
      <c r="K140" s="57"/>
      <c r="L140" s="52">
        <f t="shared" si="44"/>
        <v>0</v>
      </c>
      <c r="M140" s="52">
        <f t="shared" si="45"/>
        <v>0</v>
      </c>
      <c r="N140" s="52">
        <f t="shared" si="46"/>
        <v>0</v>
      </c>
      <c r="O140" s="52">
        <f t="shared" si="47"/>
        <v>0</v>
      </c>
    </row>
    <row r="141" spans="1:15" ht="15.9" customHeight="1">
      <c r="A141" s="48"/>
      <c r="B141" s="49"/>
      <c r="C141" s="52"/>
      <c r="D141" s="52"/>
      <c r="E141" s="52"/>
      <c r="F141" s="11"/>
      <c r="G141" s="52">
        <f t="shared" si="31"/>
        <v>0</v>
      </c>
      <c r="H141" s="11"/>
      <c r="I141" s="11"/>
      <c r="J141" s="11"/>
      <c r="K141" s="57"/>
      <c r="L141" s="52">
        <f t="shared" ref="L141:L166" si="48">G141*H141/100</f>
        <v>0</v>
      </c>
      <c r="M141" s="52">
        <f t="shared" ref="M141:M166" si="49">G141*I141/100</f>
        <v>0</v>
      </c>
      <c r="N141" s="52">
        <f t="shared" ref="N141:N166" si="50">G141*J141/100</f>
        <v>0</v>
      </c>
      <c r="O141" s="52">
        <f t="shared" ref="O141:O166" si="51">G141*K141/1000</f>
        <v>0</v>
      </c>
    </row>
    <row r="142" spans="1:15" ht="15.9" customHeight="1">
      <c r="A142" s="48"/>
      <c r="B142" s="49"/>
      <c r="C142" s="52"/>
      <c r="D142" s="52"/>
      <c r="E142" s="52"/>
      <c r="F142" s="11"/>
      <c r="G142" s="52">
        <f t="shared" si="31"/>
        <v>0</v>
      </c>
      <c r="H142" s="11"/>
      <c r="I142" s="11"/>
      <c r="J142" s="11"/>
      <c r="K142" s="57"/>
      <c r="L142" s="52">
        <f t="shared" si="48"/>
        <v>0</v>
      </c>
      <c r="M142" s="52">
        <f t="shared" si="49"/>
        <v>0</v>
      </c>
      <c r="N142" s="52">
        <f t="shared" si="50"/>
        <v>0</v>
      </c>
      <c r="O142" s="52">
        <f t="shared" si="51"/>
        <v>0</v>
      </c>
    </row>
    <row r="143" spans="1:15" ht="15.9" customHeight="1">
      <c r="A143" s="48"/>
      <c r="B143" s="49"/>
      <c r="C143" s="52"/>
      <c r="D143" s="52"/>
      <c r="E143" s="52"/>
      <c r="F143" s="11"/>
      <c r="G143" s="52">
        <f t="shared" si="31"/>
        <v>0</v>
      </c>
      <c r="H143" s="11"/>
      <c r="I143" s="11"/>
      <c r="J143" s="11"/>
      <c r="K143" s="57"/>
      <c r="L143" s="52">
        <f t="shared" si="48"/>
        <v>0</v>
      </c>
      <c r="M143" s="52">
        <f t="shared" si="49"/>
        <v>0</v>
      </c>
      <c r="N143" s="52">
        <f t="shared" si="50"/>
        <v>0</v>
      </c>
      <c r="O143" s="52">
        <f t="shared" si="51"/>
        <v>0</v>
      </c>
    </row>
    <row r="144" spans="1:15" ht="15.9" customHeight="1">
      <c r="A144" s="48"/>
      <c r="B144" s="49"/>
      <c r="C144" s="52"/>
      <c r="D144" s="52"/>
      <c r="E144" s="52"/>
      <c r="F144" s="11"/>
      <c r="G144" s="52">
        <f t="shared" si="31"/>
        <v>0</v>
      </c>
      <c r="H144" s="11"/>
      <c r="I144" s="11"/>
      <c r="J144" s="11"/>
      <c r="K144" s="57"/>
      <c r="L144" s="52">
        <f t="shared" si="48"/>
        <v>0</v>
      </c>
      <c r="M144" s="52">
        <f t="shared" si="49"/>
        <v>0</v>
      </c>
      <c r="N144" s="52">
        <f t="shared" si="50"/>
        <v>0</v>
      </c>
      <c r="O144" s="52">
        <f t="shared" si="51"/>
        <v>0</v>
      </c>
    </row>
    <row r="145" spans="1:15" ht="15.9" customHeight="1">
      <c r="A145" s="48"/>
      <c r="B145" s="49"/>
      <c r="C145" s="52"/>
      <c r="D145" s="52"/>
      <c r="E145" s="52"/>
      <c r="F145" s="11"/>
      <c r="G145" s="52">
        <f t="shared" si="31"/>
        <v>0</v>
      </c>
      <c r="H145" s="11"/>
      <c r="I145" s="11"/>
      <c r="J145" s="11"/>
      <c r="K145" s="57"/>
      <c r="L145" s="52">
        <f t="shared" si="48"/>
        <v>0</v>
      </c>
      <c r="M145" s="52">
        <f t="shared" si="49"/>
        <v>0</v>
      </c>
      <c r="N145" s="52">
        <f t="shared" si="50"/>
        <v>0</v>
      </c>
      <c r="O145" s="52">
        <f t="shared" si="51"/>
        <v>0</v>
      </c>
    </row>
    <row r="146" spans="1:15" ht="15.9" customHeight="1">
      <c r="A146" s="48"/>
      <c r="B146" s="49"/>
      <c r="C146" s="52"/>
      <c r="D146" s="52"/>
      <c r="E146" s="52"/>
      <c r="F146" s="11"/>
      <c r="G146" s="52">
        <f t="shared" si="31"/>
        <v>0</v>
      </c>
      <c r="H146" s="11"/>
      <c r="I146" s="11"/>
      <c r="J146" s="11"/>
      <c r="K146" s="57"/>
      <c r="L146" s="52">
        <f t="shared" si="48"/>
        <v>0</v>
      </c>
      <c r="M146" s="52">
        <f t="shared" si="49"/>
        <v>0</v>
      </c>
      <c r="N146" s="52">
        <f t="shared" si="50"/>
        <v>0</v>
      </c>
      <c r="O146" s="52">
        <f t="shared" si="51"/>
        <v>0</v>
      </c>
    </row>
    <row r="147" spans="1:15" ht="15.9" customHeight="1">
      <c r="A147" s="48"/>
      <c r="B147" s="49"/>
      <c r="C147" s="52"/>
      <c r="D147" s="52"/>
      <c r="E147" s="52"/>
      <c r="F147" s="11"/>
      <c r="G147" s="52">
        <f t="shared" si="31"/>
        <v>0</v>
      </c>
      <c r="H147" s="11"/>
      <c r="I147" s="11"/>
      <c r="J147" s="11"/>
      <c r="K147" s="57"/>
      <c r="L147" s="52">
        <f t="shared" si="48"/>
        <v>0</v>
      </c>
      <c r="M147" s="52">
        <f t="shared" si="49"/>
        <v>0</v>
      </c>
      <c r="N147" s="52">
        <f t="shared" si="50"/>
        <v>0</v>
      </c>
      <c r="O147" s="52">
        <f t="shared" si="51"/>
        <v>0</v>
      </c>
    </row>
    <row r="148" spans="1:15" ht="15.9" customHeight="1">
      <c r="A148" s="48"/>
      <c r="B148" s="49"/>
      <c r="C148" s="52"/>
      <c r="D148" s="52"/>
      <c r="E148" s="52"/>
      <c r="F148" s="11"/>
      <c r="G148" s="52">
        <f t="shared" si="31"/>
        <v>0</v>
      </c>
      <c r="H148" s="11"/>
      <c r="I148" s="11"/>
      <c r="J148" s="11"/>
      <c r="K148" s="57"/>
      <c r="L148" s="52">
        <f t="shared" si="48"/>
        <v>0</v>
      </c>
      <c r="M148" s="52">
        <f t="shared" si="49"/>
        <v>0</v>
      </c>
      <c r="N148" s="52">
        <f t="shared" si="50"/>
        <v>0</v>
      </c>
      <c r="O148" s="52">
        <f t="shared" si="51"/>
        <v>0</v>
      </c>
    </row>
    <row r="149" spans="1:15" ht="15.9" customHeight="1">
      <c r="A149" s="48"/>
      <c r="B149" s="49"/>
      <c r="C149" s="52"/>
      <c r="D149" s="52"/>
      <c r="E149" s="52"/>
      <c r="F149" s="11"/>
      <c r="G149" s="52">
        <f t="shared" si="31"/>
        <v>0</v>
      </c>
      <c r="H149" s="11"/>
      <c r="I149" s="11"/>
      <c r="J149" s="11"/>
      <c r="K149" s="57"/>
      <c r="L149" s="52">
        <f t="shared" si="48"/>
        <v>0</v>
      </c>
      <c r="M149" s="52">
        <f t="shared" si="49"/>
        <v>0</v>
      </c>
      <c r="N149" s="52">
        <f t="shared" si="50"/>
        <v>0</v>
      </c>
      <c r="O149" s="52">
        <f t="shared" si="51"/>
        <v>0</v>
      </c>
    </row>
    <row r="150" spans="1:15" ht="15.9" customHeight="1">
      <c r="A150" s="48"/>
      <c r="B150" s="49"/>
      <c r="C150" s="52"/>
      <c r="D150" s="52"/>
      <c r="E150" s="52"/>
      <c r="F150" s="11"/>
      <c r="G150" s="52">
        <f t="shared" si="31"/>
        <v>0</v>
      </c>
      <c r="H150" s="11"/>
      <c r="I150" s="11"/>
      <c r="J150" s="11"/>
      <c r="K150" s="57"/>
      <c r="L150" s="52">
        <f t="shared" si="48"/>
        <v>0</v>
      </c>
      <c r="M150" s="52">
        <f t="shared" si="49"/>
        <v>0</v>
      </c>
      <c r="N150" s="52">
        <f t="shared" si="50"/>
        <v>0</v>
      </c>
      <c r="O150" s="52">
        <f t="shared" si="51"/>
        <v>0</v>
      </c>
    </row>
    <row r="151" spans="1:15" ht="15.9" customHeight="1">
      <c r="A151" s="48"/>
      <c r="B151" s="49"/>
      <c r="C151" s="52"/>
      <c r="D151" s="52"/>
      <c r="E151" s="52"/>
      <c r="F151" s="11"/>
      <c r="G151" s="52">
        <f t="shared" si="31"/>
        <v>0</v>
      </c>
      <c r="H151" s="11"/>
      <c r="I151" s="11"/>
      <c r="J151" s="11"/>
      <c r="K151" s="57"/>
      <c r="L151" s="52">
        <f t="shared" si="48"/>
        <v>0</v>
      </c>
      <c r="M151" s="52">
        <f t="shared" si="49"/>
        <v>0</v>
      </c>
      <c r="N151" s="52">
        <f t="shared" si="50"/>
        <v>0</v>
      </c>
      <c r="O151" s="52">
        <f t="shared" si="51"/>
        <v>0</v>
      </c>
    </row>
    <row r="152" spans="1:15" ht="15.9" customHeight="1">
      <c r="A152" s="48"/>
      <c r="B152" s="49"/>
      <c r="C152" s="52"/>
      <c r="D152" s="52"/>
      <c r="E152" s="52"/>
      <c r="F152" s="11"/>
      <c r="G152" s="52">
        <f t="shared" si="31"/>
        <v>0</v>
      </c>
      <c r="H152" s="11"/>
      <c r="I152" s="11"/>
      <c r="J152" s="11"/>
      <c r="K152" s="57"/>
      <c r="L152" s="52">
        <f t="shared" si="48"/>
        <v>0</v>
      </c>
      <c r="M152" s="52">
        <f t="shared" si="49"/>
        <v>0</v>
      </c>
      <c r="N152" s="52">
        <f t="shared" si="50"/>
        <v>0</v>
      </c>
      <c r="O152" s="52">
        <f t="shared" si="51"/>
        <v>0</v>
      </c>
    </row>
    <row r="153" spans="1:15" ht="15.9" customHeight="1">
      <c r="A153" s="48"/>
      <c r="B153" s="49"/>
      <c r="C153" s="52"/>
      <c r="D153" s="52"/>
      <c r="E153" s="52"/>
      <c r="F153" s="11"/>
      <c r="G153" s="52">
        <f t="shared" si="31"/>
        <v>0</v>
      </c>
      <c r="H153" s="11"/>
      <c r="I153" s="11"/>
      <c r="J153" s="11"/>
      <c r="K153" s="57"/>
      <c r="L153" s="52">
        <f t="shared" si="48"/>
        <v>0</v>
      </c>
      <c r="M153" s="52">
        <f t="shared" si="49"/>
        <v>0</v>
      </c>
      <c r="N153" s="52">
        <f t="shared" si="50"/>
        <v>0</v>
      </c>
      <c r="O153" s="52">
        <f t="shared" si="51"/>
        <v>0</v>
      </c>
    </row>
    <row r="154" spans="1:15" ht="15.9" customHeight="1">
      <c r="A154" s="48"/>
      <c r="B154" s="49"/>
      <c r="C154" s="52"/>
      <c r="D154" s="52"/>
      <c r="E154" s="52"/>
      <c r="F154" s="11"/>
      <c r="G154" s="52">
        <f t="shared" si="31"/>
        <v>0</v>
      </c>
      <c r="H154" s="11"/>
      <c r="I154" s="11"/>
      <c r="J154" s="11"/>
      <c r="K154" s="57"/>
      <c r="L154" s="52">
        <f t="shared" si="48"/>
        <v>0</v>
      </c>
      <c r="M154" s="52">
        <f t="shared" si="49"/>
        <v>0</v>
      </c>
      <c r="N154" s="52">
        <f t="shared" si="50"/>
        <v>0</v>
      </c>
      <c r="O154" s="52">
        <f t="shared" si="51"/>
        <v>0</v>
      </c>
    </row>
    <row r="155" spans="1:15" ht="15.9" customHeight="1">
      <c r="A155" s="48"/>
      <c r="B155" s="49"/>
      <c r="C155" s="52"/>
      <c r="D155" s="52"/>
      <c r="E155" s="52"/>
      <c r="F155" s="11"/>
      <c r="G155" s="52">
        <f t="shared" si="31"/>
        <v>0</v>
      </c>
      <c r="H155" s="11"/>
      <c r="I155" s="11"/>
      <c r="J155" s="11"/>
      <c r="K155" s="57"/>
      <c r="L155" s="52">
        <f t="shared" si="48"/>
        <v>0</v>
      </c>
      <c r="M155" s="52">
        <f t="shared" si="49"/>
        <v>0</v>
      </c>
      <c r="N155" s="52">
        <f t="shared" si="50"/>
        <v>0</v>
      </c>
      <c r="O155" s="52">
        <f t="shared" si="51"/>
        <v>0</v>
      </c>
    </row>
    <row r="156" spans="1:15" ht="15.9" customHeight="1">
      <c r="A156" s="48"/>
      <c r="B156" s="49"/>
      <c r="C156" s="52"/>
      <c r="D156" s="52"/>
      <c r="E156" s="52"/>
      <c r="F156" s="11"/>
      <c r="G156" s="52">
        <f t="shared" si="31"/>
        <v>0</v>
      </c>
      <c r="H156" s="11"/>
      <c r="I156" s="11"/>
      <c r="J156" s="11"/>
      <c r="K156" s="57"/>
      <c r="L156" s="52">
        <f t="shared" si="48"/>
        <v>0</v>
      </c>
      <c r="M156" s="52">
        <f t="shared" si="49"/>
        <v>0</v>
      </c>
      <c r="N156" s="52">
        <f t="shared" si="50"/>
        <v>0</v>
      </c>
      <c r="O156" s="52">
        <f t="shared" si="51"/>
        <v>0</v>
      </c>
    </row>
    <row r="157" spans="1:15" ht="15.9" customHeight="1">
      <c r="A157" s="48"/>
      <c r="B157" s="49"/>
      <c r="C157" s="52"/>
      <c r="D157" s="52"/>
      <c r="E157" s="52"/>
      <c r="F157" s="11"/>
      <c r="G157" s="52">
        <f t="shared" si="31"/>
        <v>0</v>
      </c>
      <c r="H157" s="11"/>
      <c r="I157" s="11"/>
      <c r="J157" s="11"/>
      <c r="K157" s="57"/>
      <c r="L157" s="52">
        <f t="shared" si="48"/>
        <v>0</v>
      </c>
      <c r="M157" s="52">
        <f t="shared" si="49"/>
        <v>0</v>
      </c>
      <c r="N157" s="52">
        <f t="shared" si="50"/>
        <v>0</v>
      </c>
      <c r="O157" s="52">
        <f t="shared" si="51"/>
        <v>0</v>
      </c>
    </row>
    <row r="158" spans="1:15" ht="15.9" customHeight="1">
      <c r="A158" s="48"/>
      <c r="B158" s="49"/>
      <c r="C158" s="52"/>
      <c r="D158" s="52"/>
      <c r="E158" s="52"/>
      <c r="F158" s="11"/>
      <c r="G158" s="52">
        <f t="shared" si="31"/>
        <v>0</v>
      </c>
      <c r="H158" s="11"/>
      <c r="I158" s="11"/>
      <c r="J158" s="11"/>
      <c r="K158" s="57"/>
      <c r="L158" s="52">
        <f t="shared" si="48"/>
        <v>0</v>
      </c>
      <c r="M158" s="52">
        <f t="shared" si="49"/>
        <v>0</v>
      </c>
      <c r="N158" s="52">
        <f t="shared" si="50"/>
        <v>0</v>
      </c>
      <c r="O158" s="52">
        <f t="shared" si="51"/>
        <v>0</v>
      </c>
    </row>
    <row r="159" spans="1:15" ht="15.9" customHeight="1">
      <c r="A159" s="48"/>
      <c r="B159" s="49"/>
      <c r="C159" s="52"/>
      <c r="D159" s="52"/>
      <c r="E159" s="52"/>
      <c r="F159" s="11"/>
      <c r="G159" s="52">
        <f t="shared" si="31"/>
        <v>0</v>
      </c>
      <c r="H159" s="11"/>
      <c r="I159" s="11"/>
      <c r="J159" s="11"/>
      <c r="K159" s="57"/>
      <c r="L159" s="52">
        <f t="shared" si="48"/>
        <v>0</v>
      </c>
      <c r="M159" s="52">
        <f t="shared" si="49"/>
        <v>0</v>
      </c>
      <c r="N159" s="52">
        <f t="shared" si="50"/>
        <v>0</v>
      </c>
      <c r="O159" s="52">
        <f t="shared" si="51"/>
        <v>0</v>
      </c>
    </row>
    <row r="160" spans="1:15" ht="15.9" customHeight="1">
      <c r="A160" s="48"/>
      <c r="B160" s="49"/>
      <c r="C160" s="52"/>
      <c r="D160" s="52"/>
      <c r="E160" s="52"/>
      <c r="F160" s="11"/>
      <c r="G160" s="52">
        <f t="shared" si="31"/>
        <v>0</v>
      </c>
      <c r="H160" s="11"/>
      <c r="I160" s="11"/>
      <c r="J160" s="11"/>
      <c r="K160" s="57"/>
      <c r="L160" s="52">
        <f t="shared" si="48"/>
        <v>0</v>
      </c>
      <c r="M160" s="52">
        <f t="shared" si="49"/>
        <v>0</v>
      </c>
      <c r="N160" s="52">
        <f t="shared" si="50"/>
        <v>0</v>
      </c>
      <c r="O160" s="52">
        <f t="shared" si="51"/>
        <v>0</v>
      </c>
    </row>
    <row r="161" spans="1:15" ht="15.9" customHeight="1">
      <c r="A161" s="48"/>
      <c r="B161" s="49"/>
      <c r="C161" s="52"/>
      <c r="D161" s="52"/>
      <c r="E161" s="52"/>
      <c r="F161" s="11"/>
      <c r="G161" s="52">
        <f t="shared" si="31"/>
        <v>0</v>
      </c>
      <c r="H161" s="11"/>
      <c r="I161" s="11"/>
      <c r="J161" s="11"/>
      <c r="K161" s="57"/>
      <c r="L161" s="52">
        <f t="shared" si="48"/>
        <v>0</v>
      </c>
      <c r="M161" s="52">
        <f t="shared" si="49"/>
        <v>0</v>
      </c>
      <c r="N161" s="52">
        <f t="shared" si="50"/>
        <v>0</v>
      </c>
      <c r="O161" s="52">
        <f t="shared" si="51"/>
        <v>0</v>
      </c>
    </row>
    <row r="162" spans="1:15" ht="15.9" customHeight="1">
      <c r="A162" s="48"/>
      <c r="B162" s="49"/>
      <c r="C162" s="52"/>
      <c r="D162" s="52"/>
      <c r="E162" s="52"/>
      <c r="F162" s="11"/>
      <c r="G162" s="52">
        <f t="shared" si="31"/>
        <v>0</v>
      </c>
      <c r="H162" s="11"/>
      <c r="I162" s="11"/>
      <c r="J162" s="11"/>
      <c r="K162" s="57"/>
      <c r="L162" s="52">
        <f t="shared" si="48"/>
        <v>0</v>
      </c>
      <c r="M162" s="52">
        <f t="shared" si="49"/>
        <v>0</v>
      </c>
      <c r="N162" s="52">
        <f t="shared" si="50"/>
        <v>0</v>
      </c>
      <c r="O162" s="52">
        <f t="shared" si="51"/>
        <v>0</v>
      </c>
    </row>
    <row r="163" spans="1:15" ht="15.9" customHeight="1">
      <c r="A163" s="48"/>
      <c r="B163" s="49"/>
      <c r="C163" s="52"/>
      <c r="D163" s="52"/>
      <c r="E163" s="52"/>
      <c r="F163" s="11"/>
      <c r="G163" s="52">
        <f t="shared" si="31"/>
        <v>0</v>
      </c>
      <c r="H163" s="11"/>
      <c r="I163" s="11"/>
      <c r="J163" s="11"/>
      <c r="K163" s="57"/>
      <c r="L163" s="52">
        <f t="shared" si="48"/>
        <v>0</v>
      </c>
      <c r="M163" s="52">
        <f t="shared" si="49"/>
        <v>0</v>
      </c>
      <c r="N163" s="52">
        <f t="shared" si="50"/>
        <v>0</v>
      </c>
      <c r="O163" s="52">
        <f t="shared" si="51"/>
        <v>0</v>
      </c>
    </row>
    <row r="164" spans="1:15" ht="15.9" customHeight="1">
      <c r="A164" s="48"/>
      <c r="B164" s="49"/>
      <c r="C164" s="52"/>
      <c r="D164" s="52"/>
      <c r="E164" s="52"/>
      <c r="F164" s="11"/>
      <c r="G164" s="52">
        <f t="shared" si="31"/>
        <v>0</v>
      </c>
      <c r="H164" s="11"/>
      <c r="I164" s="11"/>
      <c r="J164" s="11"/>
      <c r="K164" s="57"/>
      <c r="L164" s="52">
        <f t="shared" si="48"/>
        <v>0</v>
      </c>
      <c r="M164" s="52">
        <f t="shared" si="49"/>
        <v>0</v>
      </c>
      <c r="N164" s="52">
        <f t="shared" si="50"/>
        <v>0</v>
      </c>
      <c r="O164" s="52">
        <f t="shared" si="51"/>
        <v>0</v>
      </c>
    </row>
    <row r="165" spans="1:15" ht="15.9" customHeight="1">
      <c r="A165" s="48"/>
      <c r="B165" s="49"/>
      <c r="C165" s="52"/>
      <c r="D165" s="52"/>
      <c r="E165" s="52"/>
      <c r="F165" s="11"/>
      <c r="G165" s="52">
        <f t="shared" si="31"/>
        <v>0</v>
      </c>
      <c r="H165" s="11"/>
      <c r="I165" s="11"/>
      <c r="J165" s="11"/>
      <c r="K165" s="57"/>
      <c r="L165" s="52">
        <f t="shared" si="48"/>
        <v>0</v>
      </c>
      <c r="M165" s="52">
        <f t="shared" si="49"/>
        <v>0</v>
      </c>
      <c r="N165" s="52">
        <f t="shared" si="50"/>
        <v>0</v>
      </c>
      <c r="O165" s="52">
        <f t="shared" si="51"/>
        <v>0</v>
      </c>
    </row>
    <row r="166" spans="1:15" ht="15.9" customHeight="1">
      <c r="A166" s="48"/>
      <c r="B166" s="49"/>
      <c r="C166" s="52"/>
      <c r="D166" s="52"/>
      <c r="E166" s="52"/>
      <c r="F166" s="11"/>
      <c r="G166" s="52">
        <f t="shared" si="31"/>
        <v>0</v>
      </c>
      <c r="H166" s="11"/>
      <c r="I166" s="11"/>
      <c r="J166" s="11"/>
      <c r="K166" s="57"/>
      <c r="L166" s="52">
        <f t="shared" si="48"/>
        <v>0</v>
      </c>
      <c r="M166" s="52">
        <f t="shared" si="49"/>
        <v>0</v>
      </c>
      <c r="N166" s="52">
        <f t="shared" si="50"/>
        <v>0</v>
      </c>
      <c r="O166" s="52">
        <f t="shared" si="51"/>
        <v>0</v>
      </c>
    </row>
    <row r="167" spans="1:15" ht="15.9" customHeight="1">
      <c r="A167" s="48"/>
      <c r="B167" s="49"/>
      <c r="C167" s="52"/>
      <c r="D167" s="52"/>
      <c r="E167" s="52"/>
      <c r="F167" s="11"/>
      <c r="G167" s="52">
        <f t="shared" si="31"/>
        <v>0</v>
      </c>
      <c r="H167" s="11"/>
      <c r="I167" s="11"/>
      <c r="J167" s="11"/>
      <c r="K167" s="57"/>
      <c r="L167" s="52">
        <f t="shared" si="44"/>
        <v>0</v>
      </c>
      <c r="M167" s="52">
        <f t="shared" si="45"/>
        <v>0</v>
      </c>
      <c r="N167" s="52">
        <f t="shared" si="46"/>
        <v>0</v>
      </c>
      <c r="O167" s="52">
        <f t="shared" si="47"/>
        <v>0</v>
      </c>
    </row>
    <row r="168" spans="1:15" ht="15.9" customHeight="1">
      <c r="A168" s="48"/>
      <c r="B168" s="49"/>
      <c r="C168" s="52"/>
      <c r="D168" s="52"/>
      <c r="E168" s="52"/>
      <c r="F168" s="11"/>
      <c r="G168" s="52">
        <f t="shared" si="31"/>
        <v>0</v>
      </c>
      <c r="H168" s="11"/>
      <c r="I168" s="11"/>
      <c r="J168" s="11"/>
      <c r="K168" s="57"/>
      <c r="L168" s="52">
        <f t="shared" si="44"/>
        <v>0</v>
      </c>
      <c r="M168" s="52">
        <f t="shared" si="45"/>
        <v>0</v>
      </c>
      <c r="N168" s="52">
        <f t="shared" si="46"/>
        <v>0</v>
      </c>
      <c r="O168" s="52">
        <f t="shared" si="47"/>
        <v>0</v>
      </c>
    </row>
    <row r="169" spans="1:15" ht="15.9" customHeight="1">
      <c r="A169" s="48"/>
      <c r="B169" s="49"/>
      <c r="C169" s="52"/>
      <c r="D169" s="52"/>
      <c r="E169" s="52"/>
      <c r="F169" s="11"/>
      <c r="G169" s="52">
        <f t="shared" si="31"/>
        <v>0</v>
      </c>
      <c r="H169" s="11"/>
      <c r="I169" s="11"/>
      <c r="J169" s="11"/>
      <c r="K169" s="57"/>
      <c r="L169" s="52">
        <f t="shared" ref="L169:L194" si="52">G169*H169/100</f>
        <v>0</v>
      </c>
      <c r="M169" s="52">
        <f t="shared" ref="M169:M194" si="53">G169*I169/100</f>
        <v>0</v>
      </c>
      <c r="N169" s="52">
        <f t="shared" ref="N169:N194" si="54">G169*J169/100</f>
        <v>0</v>
      </c>
      <c r="O169" s="52">
        <f t="shared" ref="O169:O194" si="55">G169*K169/1000</f>
        <v>0</v>
      </c>
    </row>
    <row r="170" spans="1:15" ht="15.9" customHeight="1">
      <c r="A170" s="48"/>
      <c r="B170" s="49"/>
      <c r="C170" s="52"/>
      <c r="D170" s="52"/>
      <c r="E170" s="52"/>
      <c r="F170" s="11"/>
      <c r="G170" s="52">
        <f t="shared" si="31"/>
        <v>0</v>
      </c>
      <c r="H170" s="11"/>
      <c r="I170" s="11"/>
      <c r="J170" s="11"/>
      <c r="K170" s="57"/>
      <c r="L170" s="52">
        <f t="shared" si="52"/>
        <v>0</v>
      </c>
      <c r="M170" s="52">
        <f t="shared" si="53"/>
        <v>0</v>
      </c>
      <c r="N170" s="52">
        <f t="shared" si="54"/>
        <v>0</v>
      </c>
      <c r="O170" s="52">
        <f t="shared" si="55"/>
        <v>0</v>
      </c>
    </row>
    <row r="171" spans="1:15" ht="15.9" customHeight="1">
      <c r="A171" s="48"/>
      <c r="B171" s="49"/>
      <c r="C171" s="52"/>
      <c r="D171" s="52"/>
      <c r="E171" s="52"/>
      <c r="F171" s="11"/>
      <c r="G171" s="52">
        <f t="shared" si="31"/>
        <v>0</v>
      </c>
      <c r="H171" s="11"/>
      <c r="I171" s="11"/>
      <c r="J171" s="11"/>
      <c r="K171" s="57"/>
      <c r="L171" s="52">
        <f t="shared" si="52"/>
        <v>0</v>
      </c>
      <c r="M171" s="52">
        <f t="shared" si="53"/>
        <v>0</v>
      </c>
      <c r="N171" s="52">
        <f t="shared" si="54"/>
        <v>0</v>
      </c>
      <c r="O171" s="52">
        <f t="shared" si="55"/>
        <v>0</v>
      </c>
    </row>
    <row r="172" spans="1:15" ht="15.9" customHeight="1">
      <c r="A172" s="48"/>
      <c r="B172" s="49"/>
      <c r="C172" s="52"/>
      <c r="D172" s="52"/>
      <c r="E172" s="52"/>
      <c r="F172" s="11"/>
      <c r="G172" s="52">
        <f t="shared" si="31"/>
        <v>0</v>
      </c>
      <c r="H172" s="11"/>
      <c r="I172" s="11"/>
      <c r="J172" s="11"/>
      <c r="K172" s="57"/>
      <c r="L172" s="52">
        <f t="shared" si="52"/>
        <v>0</v>
      </c>
      <c r="M172" s="52">
        <f t="shared" si="53"/>
        <v>0</v>
      </c>
      <c r="N172" s="52">
        <f t="shared" si="54"/>
        <v>0</v>
      </c>
      <c r="O172" s="52">
        <f t="shared" si="55"/>
        <v>0</v>
      </c>
    </row>
    <row r="173" spans="1:15" ht="15.9" customHeight="1">
      <c r="A173" s="48"/>
      <c r="B173" s="49"/>
      <c r="C173" s="52"/>
      <c r="D173" s="52"/>
      <c r="E173" s="52"/>
      <c r="F173" s="11"/>
      <c r="G173" s="52">
        <f t="shared" si="31"/>
        <v>0</v>
      </c>
      <c r="H173" s="11"/>
      <c r="I173" s="11"/>
      <c r="J173" s="11"/>
      <c r="K173" s="57"/>
      <c r="L173" s="52">
        <f t="shared" si="52"/>
        <v>0</v>
      </c>
      <c r="M173" s="52">
        <f t="shared" si="53"/>
        <v>0</v>
      </c>
      <c r="N173" s="52">
        <f t="shared" si="54"/>
        <v>0</v>
      </c>
      <c r="O173" s="52">
        <f t="shared" si="55"/>
        <v>0</v>
      </c>
    </row>
    <row r="174" spans="1:15" ht="15.9" customHeight="1">
      <c r="A174" s="48"/>
      <c r="B174" s="49"/>
      <c r="C174" s="52"/>
      <c r="D174" s="52"/>
      <c r="E174" s="52"/>
      <c r="F174" s="11"/>
      <c r="G174" s="52">
        <f t="shared" si="31"/>
        <v>0</v>
      </c>
      <c r="H174" s="11"/>
      <c r="I174" s="11"/>
      <c r="J174" s="11"/>
      <c r="K174" s="57"/>
      <c r="L174" s="52">
        <f t="shared" si="52"/>
        <v>0</v>
      </c>
      <c r="M174" s="52">
        <f t="shared" si="53"/>
        <v>0</v>
      </c>
      <c r="N174" s="52">
        <f t="shared" si="54"/>
        <v>0</v>
      </c>
      <c r="O174" s="52">
        <f t="shared" si="55"/>
        <v>0</v>
      </c>
    </row>
    <row r="175" spans="1:15" ht="15.9" customHeight="1">
      <c r="A175" s="48"/>
      <c r="B175" s="49"/>
      <c r="C175" s="52"/>
      <c r="D175" s="52"/>
      <c r="E175" s="52"/>
      <c r="F175" s="11"/>
      <c r="G175" s="52">
        <f t="shared" si="31"/>
        <v>0</v>
      </c>
      <c r="H175" s="11"/>
      <c r="I175" s="11"/>
      <c r="J175" s="11"/>
      <c r="K175" s="57"/>
      <c r="L175" s="52">
        <f t="shared" si="52"/>
        <v>0</v>
      </c>
      <c r="M175" s="52">
        <f t="shared" si="53"/>
        <v>0</v>
      </c>
      <c r="N175" s="52">
        <f t="shared" si="54"/>
        <v>0</v>
      </c>
      <c r="O175" s="52">
        <f t="shared" si="55"/>
        <v>0</v>
      </c>
    </row>
    <row r="176" spans="1:15" ht="15.9" customHeight="1">
      <c r="A176" s="48"/>
      <c r="B176" s="49"/>
      <c r="C176" s="52"/>
      <c r="D176" s="52"/>
      <c r="E176" s="52"/>
      <c r="F176" s="11"/>
      <c r="G176" s="52">
        <f t="shared" si="31"/>
        <v>0</v>
      </c>
      <c r="H176" s="11"/>
      <c r="I176" s="11"/>
      <c r="J176" s="11"/>
      <c r="K176" s="57"/>
      <c r="L176" s="52">
        <f t="shared" si="52"/>
        <v>0</v>
      </c>
      <c r="M176" s="52">
        <f t="shared" si="53"/>
        <v>0</v>
      </c>
      <c r="N176" s="52">
        <f t="shared" si="54"/>
        <v>0</v>
      </c>
      <c r="O176" s="52">
        <f t="shared" si="55"/>
        <v>0</v>
      </c>
    </row>
    <row r="177" spans="1:15" ht="15.9" customHeight="1">
      <c r="A177" s="48"/>
      <c r="B177" s="49"/>
      <c r="C177" s="52"/>
      <c r="D177" s="52"/>
      <c r="E177" s="52"/>
      <c r="F177" s="11"/>
      <c r="G177" s="52">
        <f t="shared" si="31"/>
        <v>0</v>
      </c>
      <c r="H177" s="11"/>
      <c r="I177" s="11"/>
      <c r="J177" s="11"/>
      <c r="K177" s="57"/>
      <c r="L177" s="52">
        <f t="shared" si="52"/>
        <v>0</v>
      </c>
      <c r="M177" s="52">
        <f t="shared" si="53"/>
        <v>0</v>
      </c>
      <c r="N177" s="52">
        <f t="shared" si="54"/>
        <v>0</v>
      </c>
      <c r="O177" s="52">
        <f t="shared" si="55"/>
        <v>0</v>
      </c>
    </row>
    <row r="178" spans="1:15" ht="15.9" customHeight="1">
      <c r="A178" s="48"/>
      <c r="B178" s="49"/>
      <c r="C178" s="52"/>
      <c r="D178" s="52"/>
      <c r="E178" s="52"/>
      <c r="F178" s="11"/>
      <c r="G178" s="52">
        <f t="shared" si="31"/>
        <v>0</v>
      </c>
      <c r="H178" s="11"/>
      <c r="I178" s="11"/>
      <c r="J178" s="11"/>
      <c r="K178" s="57"/>
      <c r="L178" s="52">
        <f t="shared" si="52"/>
        <v>0</v>
      </c>
      <c r="M178" s="52">
        <f t="shared" si="53"/>
        <v>0</v>
      </c>
      <c r="N178" s="52">
        <f t="shared" si="54"/>
        <v>0</v>
      </c>
      <c r="O178" s="52">
        <f t="shared" si="55"/>
        <v>0</v>
      </c>
    </row>
    <row r="179" spans="1:15" ht="15.9" customHeight="1">
      <c r="A179" s="48"/>
      <c r="B179" s="49"/>
      <c r="C179" s="52"/>
      <c r="D179" s="52"/>
      <c r="E179" s="52"/>
      <c r="F179" s="11"/>
      <c r="G179" s="52">
        <f t="shared" si="31"/>
        <v>0</v>
      </c>
      <c r="H179" s="11"/>
      <c r="I179" s="11"/>
      <c r="J179" s="11"/>
      <c r="K179" s="57"/>
      <c r="L179" s="52">
        <f t="shared" si="52"/>
        <v>0</v>
      </c>
      <c r="M179" s="52">
        <f t="shared" si="53"/>
        <v>0</v>
      </c>
      <c r="N179" s="52">
        <f t="shared" si="54"/>
        <v>0</v>
      </c>
      <c r="O179" s="52">
        <f t="shared" si="55"/>
        <v>0</v>
      </c>
    </row>
    <row r="180" spans="1:15" ht="15.9" customHeight="1">
      <c r="A180" s="48"/>
      <c r="B180" s="49"/>
      <c r="C180" s="52"/>
      <c r="D180" s="52"/>
      <c r="E180" s="52"/>
      <c r="F180" s="11"/>
      <c r="G180" s="52">
        <f t="shared" si="31"/>
        <v>0</v>
      </c>
      <c r="H180" s="11"/>
      <c r="I180" s="11"/>
      <c r="J180" s="11"/>
      <c r="K180" s="57"/>
      <c r="L180" s="52">
        <f t="shared" si="52"/>
        <v>0</v>
      </c>
      <c r="M180" s="52">
        <f t="shared" si="53"/>
        <v>0</v>
      </c>
      <c r="N180" s="52">
        <f t="shared" si="54"/>
        <v>0</v>
      </c>
      <c r="O180" s="52">
        <f t="shared" si="55"/>
        <v>0</v>
      </c>
    </row>
    <row r="181" spans="1:15" ht="15.9" customHeight="1">
      <c r="A181" s="48"/>
      <c r="B181" s="49"/>
      <c r="C181" s="52"/>
      <c r="D181" s="52"/>
      <c r="E181" s="52"/>
      <c r="F181" s="11"/>
      <c r="G181" s="52">
        <f t="shared" si="31"/>
        <v>0</v>
      </c>
      <c r="H181" s="11"/>
      <c r="I181" s="11"/>
      <c r="J181" s="11"/>
      <c r="K181" s="57"/>
      <c r="L181" s="52">
        <f t="shared" si="52"/>
        <v>0</v>
      </c>
      <c r="M181" s="52">
        <f t="shared" si="53"/>
        <v>0</v>
      </c>
      <c r="N181" s="52">
        <f t="shared" si="54"/>
        <v>0</v>
      </c>
      <c r="O181" s="52">
        <f t="shared" si="55"/>
        <v>0</v>
      </c>
    </row>
    <row r="182" spans="1:15" ht="15.9" customHeight="1">
      <c r="A182" s="48"/>
      <c r="B182" s="49"/>
      <c r="C182" s="52"/>
      <c r="D182" s="52"/>
      <c r="E182" s="52"/>
      <c r="F182" s="11"/>
      <c r="G182" s="52">
        <f t="shared" si="31"/>
        <v>0</v>
      </c>
      <c r="H182" s="11"/>
      <c r="I182" s="11"/>
      <c r="J182" s="11"/>
      <c r="K182" s="57"/>
      <c r="L182" s="52">
        <f t="shared" si="52"/>
        <v>0</v>
      </c>
      <c r="M182" s="52">
        <f t="shared" si="53"/>
        <v>0</v>
      </c>
      <c r="N182" s="52">
        <f t="shared" si="54"/>
        <v>0</v>
      </c>
      <c r="O182" s="52">
        <f t="shared" si="55"/>
        <v>0</v>
      </c>
    </row>
    <row r="183" spans="1:15" ht="15.9" customHeight="1">
      <c r="A183" s="48"/>
      <c r="B183" s="49"/>
      <c r="C183" s="52"/>
      <c r="D183" s="52"/>
      <c r="E183" s="52"/>
      <c r="F183" s="11"/>
      <c r="G183" s="52">
        <f t="shared" si="31"/>
        <v>0</v>
      </c>
      <c r="H183" s="11"/>
      <c r="I183" s="11"/>
      <c r="J183" s="11"/>
      <c r="K183" s="57"/>
      <c r="L183" s="52">
        <f t="shared" ref="L183:L191" si="56">G183*H183/100</f>
        <v>0</v>
      </c>
      <c r="M183" s="52">
        <f t="shared" ref="M183:M191" si="57">G183*I183/100</f>
        <v>0</v>
      </c>
      <c r="N183" s="52">
        <f t="shared" ref="N183:N191" si="58">G183*J183/100</f>
        <v>0</v>
      </c>
      <c r="O183" s="52">
        <f t="shared" ref="O183:O191" si="59">G183*K183/1000</f>
        <v>0</v>
      </c>
    </row>
    <row r="184" spans="1:15" ht="15.9" customHeight="1">
      <c r="A184" s="48"/>
      <c r="B184" s="49"/>
      <c r="C184" s="52"/>
      <c r="D184" s="52"/>
      <c r="E184" s="52"/>
      <c r="F184" s="11"/>
      <c r="G184" s="52">
        <f t="shared" si="31"/>
        <v>0</v>
      </c>
      <c r="H184" s="11"/>
      <c r="I184" s="11"/>
      <c r="J184" s="11"/>
      <c r="K184" s="57"/>
      <c r="L184" s="52">
        <f t="shared" si="56"/>
        <v>0</v>
      </c>
      <c r="M184" s="52">
        <f t="shared" si="57"/>
        <v>0</v>
      </c>
      <c r="N184" s="52">
        <f t="shared" si="58"/>
        <v>0</v>
      </c>
      <c r="O184" s="52">
        <f t="shared" si="59"/>
        <v>0</v>
      </c>
    </row>
    <row r="185" spans="1:15" ht="15.9" customHeight="1">
      <c r="A185" s="48"/>
      <c r="B185" s="49"/>
      <c r="C185" s="52"/>
      <c r="D185" s="52"/>
      <c r="E185" s="52"/>
      <c r="F185" s="11"/>
      <c r="G185" s="52">
        <f t="shared" si="31"/>
        <v>0</v>
      </c>
      <c r="H185" s="11"/>
      <c r="I185" s="11"/>
      <c r="J185" s="11"/>
      <c r="K185" s="57"/>
      <c r="L185" s="52">
        <f t="shared" si="56"/>
        <v>0</v>
      </c>
      <c r="M185" s="52">
        <f t="shared" si="57"/>
        <v>0</v>
      </c>
      <c r="N185" s="52">
        <f t="shared" si="58"/>
        <v>0</v>
      </c>
      <c r="O185" s="52">
        <f t="shared" si="59"/>
        <v>0</v>
      </c>
    </row>
    <row r="186" spans="1:15" ht="15.9" customHeight="1">
      <c r="A186" s="48"/>
      <c r="B186" s="49"/>
      <c r="C186" s="52"/>
      <c r="D186" s="52"/>
      <c r="E186" s="52"/>
      <c r="F186" s="11"/>
      <c r="G186" s="52">
        <f t="shared" si="31"/>
        <v>0</v>
      </c>
      <c r="H186" s="11"/>
      <c r="I186" s="11"/>
      <c r="J186" s="11"/>
      <c r="K186" s="57"/>
      <c r="L186" s="52">
        <f t="shared" si="56"/>
        <v>0</v>
      </c>
      <c r="M186" s="52">
        <f t="shared" si="57"/>
        <v>0</v>
      </c>
      <c r="N186" s="52">
        <f t="shared" si="58"/>
        <v>0</v>
      </c>
      <c r="O186" s="52">
        <f t="shared" si="59"/>
        <v>0</v>
      </c>
    </row>
    <row r="187" spans="1:15" ht="15.9" customHeight="1">
      <c r="A187" s="48"/>
      <c r="B187" s="49"/>
      <c r="C187" s="52"/>
      <c r="D187" s="52"/>
      <c r="E187" s="52"/>
      <c r="F187" s="11"/>
      <c r="G187" s="52">
        <f t="shared" si="31"/>
        <v>0</v>
      </c>
      <c r="H187" s="11"/>
      <c r="I187" s="11"/>
      <c r="J187" s="11"/>
      <c r="K187" s="57"/>
      <c r="L187" s="52">
        <f t="shared" si="56"/>
        <v>0</v>
      </c>
      <c r="M187" s="52">
        <f t="shared" si="57"/>
        <v>0</v>
      </c>
      <c r="N187" s="52">
        <f t="shared" si="58"/>
        <v>0</v>
      </c>
      <c r="O187" s="52">
        <f t="shared" si="59"/>
        <v>0</v>
      </c>
    </row>
    <row r="188" spans="1:15" ht="15.9" customHeight="1">
      <c r="A188" s="48"/>
      <c r="B188" s="49"/>
      <c r="C188" s="52"/>
      <c r="D188" s="52"/>
      <c r="E188" s="52"/>
      <c r="F188" s="11"/>
      <c r="G188" s="52">
        <f t="shared" si="31"/>
        <v>0</v>
      </c>
      <c r="H188" s="11"/>
      <c r="I188" s="11"/>
      <c r="J188" s="11"/>
      <c r="K188" s="57"/>
      <c r="L188" s="52">
        <f t="shared" si="56"/>
        <v>0</v>
      </c>
      <c r="M188" s="52">
        <f t="shared" si="57"/>
        <v>0</v>
      </c>
      <c r="N188" s="52">
        <f t="shared" si="58"/>
        <v>0</v>
      </c>
      <c r="O188" s="52">
        <f t="shared" si="59"/>
        <v>0</v>
      </c>
    </row>
    <row r="189" spans="1:15" ht="15.9" customHeight="1">
      <c r="A189" s="48"/>
      <c r="B189" s="49"/>
      <c r="C189" s="52"/>
      <c r="D189" s="52"/>
      <c r="E189" s="52"/>
      <c r="F189" s="11"/>
      <c r="G189" s="52">
        <f t="shared" si="31"/>
        <v>0</v>
      </c>
      <c r="H189" s="11"/>
      <c r="I189" s="11"/>
      <c r="J189" s="11"/>
      <c r="K189" s="57"/>
      <c r="L189" s="52">
        <f t="shared" si="56"/>
        <v>0</v>
      </c>
      <c r="M189" s="52">
        <f t="shared" si="57"/>
        <v>0</v>
      </c>
      <c r="N189" s="52">
        <f t="shared" si="58"/>
        <v>0</v>
      </c>
      <c r="O189" s="52">
        <f t="shared" si="59"/>
        <v>0</v>
      </c>
    </row>
    <row r="190" spans="1:15" ht="15.9" customHeight="1">
      <c r="A190" s="48"/>
      <c r="B190" s="49"/>
      <c r="C190" s="52"/>
      <c r="D190" s="52"/>
      <c r="E190" s="52"/>
      <c r="F190" s="11"/>
      <c r="G190" s="52">
        <f t="shared" si="31"/>
        <v>0</v>
      </c>
      <c r="H190" s="11"/>
      <c r="I190" s="11"/>
      <c r="J190" s="11"/>
      <c r="K190" s="57"/>
      <c r="L190" s="52">
        <f t="shared" si="56"/>
        <v>0</v>
      </c>
      <c r="M190" s="52">
        <f t="shared" si="57"/>
        <v>0</v>
      </c>
      <c r="N190" s="52">
        <f t="shared" si="58"/>
        <v>0</v>
      </c>
      <c r="O190" s="52">
        <f t="shared" si="59"/>
        <v>0</v>
      </c>
    </row>
    <row r="191" spans="1:15" ht="15.9" customHeight="1">
      <c r="A191" s="48"/>
      <c r="B191" s="49"/>
      <c r="C191" s="52"/>
      <c r="D191" s="52"/>
      <c r="E191" s="52"/>
      <c r="F191" s="11"/>
      <c r="G191" s="52">
        <f t="shared" si="31"/>
        <v>0</v>
      </c>
      <c r="H191" s="11"/>
      <c r="I191" s="11"/>
      <c r="J191" s="11"/>
      <c r="K191" s="57"/>
      <c r="L191" s="52">
        <f t="shared" si="56"/>
        <v>0</v>
      </c>
      <c r="M191" s="52">
        <f t="shared" si="57"/>
        <v>0</v>
      </c>
      <c r="N191" s="52">
        <f t="shared" si="58"/>
        <v>0</v>
      </c>
      <c r="O191" s="52">
        <f t="shared" si="59"/>
        <v>0</v>
      </c>
    </row>
    <row r="192" spans="1:15" ht="15.9" customHeight="1">
      <c r="A192" s="48"/>
      <c r="B192" s="49"/>
      <c r="C192" s="52"/>
      <c r="D192" s="52"/>
      <c r="E192" s="52"/>
      <c r="F192" s="11"/>
      <c r="G192" s="52">
        <f t="shared" si="31"/>
        <v>0</v>
      </c>
      <c r="H192" s="11"/>
      <c r="I192" s="11"/>
      <c r="J192" s="11"/>
      <c r="K192" s="57"/>
      <c r="L192" s="52">
        <f t="shared" si="52"/>
        <v>0</v>
      </c>
      <c r="M192" s="52">
        <f t="shared" si="53"/>
        <v>0</v>
      </c>
      <c r="N192" s="52">
        <f t="shared" si="54"/>
        <v>0</v>
      </c>
      <c r="O192" s="52">
        <f t="shared" si="55"/>
        <v>0</v>
      </c>
    </row>
    <row r="193" spans="1:15" ht="15.9" customHeight="1">
      <c r="A193" s="48"/>
      <c r="B193" s="49"/>
      <c r="C193" s="52"/>
      <c r="D193" s="52"/>
      <c r="E193" s="52"/>
      <c r="F193" s="11"/>
      <c r="G193" s="52">
        <f t="shared" si="31"/>
        <v>0</v>
      </c>
      <c r="H193" s="11"/>
      <c r="I193" s="11"/>
      <c r="J193" s="11"/>
      <c r="K193" s="57"/>
      <c r="L193" s="52">
        <f t="shared" si="52"/>
        <v>0</v>
      </c>
      <c r="M193" s="52">
        <f t="shared" si="53"/>
        <v>0</v>
      </c>
      <c r="N193" s="52">
        <f t="shared" si="54"/>
        <v>0</v>
      </c>
      <c r="O193" s="52">
        <f t="shared" si="55"/>
        <v>0</v>
      </c>
    </row>
    <row r="194" spans="1:15" ht="15.9" customHeight="1">
      <c r="A194" s="48"/>
      <c r="B194" s="49"/>
      <c r="C194" s="52"/>
      <c r="D194" s="52"/>
      <c r="E194" s="52"/>
      <c r="F194" s="11"/>
      <c r="G194" s="52">
        <f t="shared" si="31"/>
        <v>0</v>
      </c>
      <c r="H194" s="11"/>
      <c r="I194" s="11"/>
      <c r="J194" s="11"/>
      <c r="K194" s="57"/>
      <c r="L194" s="52">
        <f t="shared" si="52"/>
        <v>0</v>
      </c>
      <c r="M194" s="52">
        <f t="shared" si="53"/>
        <v>0</v>
      </c>
      <c r="N194" s="52">
        <f t="shared" si="54"/>
        <v>0</v>
      </c>
      <c r="O194" s="52">
        <f t="shared" si="55"/>
        <v>0</v>
      </c>
    </row>
    <row r="195" spans="1:15" ht="15.9" customHeight="1">
      <c r="A195" s="48"/>
      <c r="B195" s="49"/>
      <c r="C195" s="52"/>
      <c r="D195" s="52"/>
      <c r="E195" s="52"/>
      <c r="F195" s="11"/>
      <c r="G195" s="52">
        <f t="shared" si="31"/>
        <v>0</v>
      </c>
      <c r="H195" s="11"/>
      <c r="I195" s="11"/>
      <c r="J195" s="11"/>
      <c r="K195" s="57"/>
      <c r="L195" s="52">
        <f t="shared" si="44"/>
        <v>0</v>
      </c>
      <c r="M195" s="52">
        <f t="shared" si="45"/>
        <v>0</v>
      </c>
      <c r="N195" s="52">
        <f t="shared" si="46"/>
        <v>0</v>
      </c>
      <c r="O195" s="52">
        <f t="shared" si="47"/>
        <v>0</v>
      </c>
    </row>
    <row r="196" spans="1:15" ht="15.9" customHeight="1">
      <c r="A196" s="48"/>
      <c r="B196" s="49"/>
      <c r="C196" s="52"/>
      <c r="D196" s="52"/>
      <c r="E196" s="52"/>
      <c r="F196" s="11"/>
      <c r="G196" s="52">
        <f t="shared" si="31"/>
        <v>0</v>
      </c>
      <c r="H196" s="11"/>
      <c r="I196" s="11"/>
      <c r="J196" s="11"/>
      <c r="K196" s="57"/>
      <c r="L196" s="52">
        <f t="shared" si="44"/>
        <v>0</v>
      </c>
      <c r="M196" s="52">
        <f t="shared" si="45"/>
        <v>0</v>
      </c>
      <c r="N196" s="52">
        <f t="shared" si="46"/>
        <v>0</v>
      </c>
      <c r="O196" s="52">
        <f t="shared" si="47"/>
        <v>0</v>
      </c>
    </row>
    <row r="197" spans="1:15" ht="15.9" customHeight="1">
      <c r="A197" s="48"/>
      <c r="B197" s="49"/>
      <c r="C197" s="52"/>
      <c r="D197" s="52"/>
      <c r="E197" s="52"/>
      <c r="F197" s="11"/>
      <c r="G197" s="52">
        <f t="shared" si="31"/>
        <v>0</v>
      </c>
      <c r="H197" s="11"/>
      <c r="I197" s="11"/>
      <c r="J197" s="11"/>
      <c r="K197" s="57"/>
      <c r="L197" s="52">
        <f t="shared" si="44"/>
        <v>0</v>
      </c>
      <c r="M197" s="52">
        <f t="shared" si="45"/>
        <v>0</v>
      </c>
      <c r="N197" s="52">
        <f t="shared" si="46"/>
        <v>0</v>
      </c>
      <c r="O197" s="52">
        <f t="shared" si="47"/>
        <v>0</v>
      </c>
    </row>
    <row r="198" spans="1:15" ht="15.9" customHeight="1">
      <c r="A198" s="48"/>
      <c r="B198" s="49"/>
      <c r="C198" s="52"/>
      <c r="D198" s="52"/>
      <c r="E198" s="52"/>
      <c r="F198" s="11"/>
      <c r="G198" s="52">
        <f t="shared" si="31"/>
        <v>0</v>
      </c>
      <c r="H198" s="11"/>
      <c r="I198" s="11"/>
      <c r="J198" s="11"/>
      <c r="K198" s="57"/>
      <c r="L198" s="52">
        <f t="shared" ref="L198:L221" si="60">G198*H198/100</f>
        <v>0</v>
      </c>
      <c r="M198" s="52">
        <f t="shared" ref="M198:M221" si="61">G198*I198/100</f>
        <v>0</v>
      </c>
      <c r="N198" s="52">
        <f t="shared" ref="N198:N221" si="62">G198*J198/100</f>
        <v>0</v>
      </c>
      <c r="O198" s="52">
        <f t="shared" ref="O198:O221" si="63">G198*K198/1000</f>
        <v>0</v>
      </c>
    </row>
    <row r="199" spans="1:15" ht="15.9" customHeight="1">
      <c r="A199" s="48"/>
      <c r="B199" s="49"/>
      <c r="C199" s="52"/>
      <c r="D199" s="52"/>
      <c r="E199" s="52"/>
      <c r="F199" s="11"/>
      <c r="G199" s="52">
        <f t="shared" si="31"/>
        <v>0</v>
      </c>
      <c r="H199" s="11"/>
      <c r="I199" s="11"/>
      <c r="J199" s="11"/>
      <c r="K199" s="57"/>
      <c r="L199" s="52">
        <f t="shared" si="60"/>
        <v>0</v>
      </c>
      <c r="M199" s="52">
        <f t="shared" si="61"/>
        <v>0</v>
      </c>
      <c r="N199" s="52">
        <f t="shared" si="62"/>
        <v>0</v>
      </c>
      <c r="O199" s="52">
        <f t="shared" si="63"/>
        <v>0</v>
      </c>
    </row>
    <row r="200" spans="1:15" ht="15.9" customHeight="1">
      <c r="A200" s="48"/>
      <c r="B200" s="49"/>
      <c r="C200" s="52"/>
      <c r="D200" s="52"/>
      <c r="E200" s="52"/>
      <c r="F200" s="11"/>
      <c r="G200" s="52">
        <f t="shared" si="31"/>
        <v>0</v>
      </c>
      <c r="H200" s="11"/>
      <c r="I200" s="11"/>
      <c r="J200" s="11"/>
      <c r="K200" s="57"/>
      <c r="L200" s="52">
        <f t="shared" si="60"/>
        <v>0</v>
      </c>
      <c r="M200" s="52">
        <f t="shared" si="61"/>
        <v>0</v>
      </c>
      <c r="N200" s="52">
        <f t="shared" si="62"/>
        <v>0</v>
      </c>
      <c r="O200" s="52">
        <f t="shared" si="63"/>
        <v>0</v>
      </c>
    </row>
    <row r="201" spans="1:15" ht="15.9" customHeight="1">
      <c r="A201" s="48"/>
      <c r="B201" s="49"/>
      <c r="C201" s="52"/>
      <c r="D201" s="52"/>
      <c r="E201" s="52"/>
      <c r="F201" s="11"/>
      <c r="G201" s="52">
        <f t="shared" si="31"/>
        <v>0</v>
      </c>
      <c r="H201" s="11"/>
      <c r="I201" s="11"/>
      <c r="J201" s="11"/>
      <c r="K201" s="57"/>
      <c r="L201" s="52">
        <f t="shared" si="60"/>
        <v>0</v>
      </c>
      <c r="M201" s="52">
        <f t="shared" si="61"/>
        <v>0</v>
      </c>
      <c r="N201" s="52">
        <f t="shared" si="62"/>
        <v>0</v>
      </c>
      <c r="O201" s="52">
        <f t="shared" si="63"/>
        <v>0</v>
      </c>
    </row>
    <row r="202" spans="1:15" ht="15.9" customHeight="1">
      <c r="A202" s="48"/>
      <c r="B202" s="49"/>
      <c r="C202" s="52"/>
      <c r="D202" s="52"/>
      <c r="E202" s="52"/>
      <c r="F202" s="11"/>
      <c r="G202" s="52">
        <f t="shared" si="31"/>
        <v>0</v>
      </c>
      <c r="H202" s="11"/>
      <c r="I202" s="11"/>
      <c r="J202" s="11"/>
      <c r="K202" s="57"/>
      <c r="L202" s="52">
        <f t="shared" si="60"/>
        <v>0</v>
      </c>
      <c r="M202" s="52">
        <f t="shared" si="61"/>
        <v>0</v>
      </c>
      <c r="N202" s="52">
        <f t="shared" si="62"/>
        <v>0</v>
      </c>
      <c r="O202" s="52">
        <f t="shared" si="63"/>
        <v>0</v>
      </c>
    </row>
    <row r="203" spans="1:15" ht="15.9" customHeight="1">
      <c r="A203" s="48"/>
      <c r="B203" s="49"/>
      <c r="C203" s="52"/>
      <c r="D203" s="52"/>
      <c r="E203" s="52"/>
      <c r="F203" s="11"/>
      <c r="G203" s="52">
        <f t="shared" si="31"/>
        <v>0</v>
      </c>
      <c r="H203" s="11"/>
      <c r="I203" s="11"/>
      <c r="J203" s="11"/>
      <c r="K203" s="57"/>
      <c r="L203" s="52">
        <f t="shared" si="60"/>
        <v>0</v>
      </c>
      <c r="M203" s="52">
        <f t="shared" si="61"/>
        <v>0</v>
      </c>
      <c r="N203" s="52">
        <f t="shared" si="62"/>
        <v>0</v>
      </c>
      <c r="O203" s="52">
        <f t="shared" si="63"/>
        <v>0</v>
      </c>
    </row>
    <row r="204" spans="1:15" ht="15.9" customHeight="1">
      <c r="A204" s="48"/>
      <c r="B204" s="49"/>
      <c r="C204" s="52"/>
      <c r="D204" s="52"/>
      <c r="E204" s="52"/>
      <c r="F204" s="11"/>
      <c r="G204" s="52">
        <f t="shared" si="31"/>
        <v>0</v>
      </c>
      <c r="H204" s="11"/>
      <c r="I204" s="11"/>
      <c r="J204" s="11"/>
      <c r="K204" s="57"/>
      <c r="L204" s="52">
        <f t="shared" si="60"/>
        <v>0</v>
      </c>
      <c r="M204" s="52">
        <f t="shared" si="61"/>
        <v>0</v>
      </c>
      <c r="N204" s="52">
        <f t="shared" si="62"/>
        <v>0</v>
      </c>
      <c r="O204" s="52">
        <f t="shared" si="63"/>
        <v>0</v>
      </c>
    </row>
    <row r="205" spans="1:15" ht="15.9" customHeight="1">
      <c r="A205" s="48"/>
      <c r="B205" s="49"/>
      <c r="C205" s="52"/>
      <c r="D205" s="52"/>
      <c r="E205" s="52"/>
      <c r="F205" s="11"/>
      <c r="G205" s="52">
        <f t="shared" si="31"/>
        <v>0</v>
      </c>
      <c r="H205" s="11"/>
      <c r="I205" s="11"/>
      <c r="J205" s="11"/>
      <c r="K205" s="57"/>
      <c r="L205" s="52">
        <f t="shared" si="60"/>
        <v>0</v>
      </c>
      <c r="M205" s="52">
        <f t="shared" si="61"/>
        <v>0</v>
      </c>
      <c r="N205" s="52">
        <f t="shared" si="62"/>
        <v>0</v>
      </c>
      <c r="O205" s="52">
        <f t="shared" si="63"/>
        <v>0</v>
      </c>
    </row>
    <row r="206" spans="1:15" ht="15.9" customHeight="1">
      <c r="A206" s="48"/>
      <c r="B206" s="49"/>
      <c r="C206" s="52"/>
      <c r="D206" s="52"/>
      <c r="E206" s="52"/>
      <c r="F206" s="11"/>
      <c r="G206" s="52">
        <f t="shared" si="31"/>
        <v>0</v>
      </c>
      <c r="H206" s="11"/>
      <c r="I206" s="11"/>
      <c r="J206" s="11"/>
      <c r="K206" s="57"/>
      <c r="L206" s="52">
        <f t="shared" si="60"/>
        <v>0</v>
      </c>
      <c r="M206" s="52">
        <f t="shared" si="61"/>
        <v>0</v>
      </c>
      <c r="N206" s="52">
        <f t="shared" si="62"/>
        <v>0</v>
      </c>
      <c r="O206" s="52">
        <f t="shared" si="63"/>
        <v>0</v>
      </c>
    </row>
    <row r="207" spans="1:15" ht="15.9" customHeight="1">
      <c r="A207" s="48"/>
      <c r="B207" s="49"/>
      <c r="C207" s="52"/>
      <c r="D207" s="52"/>
      <c r="E207" s="52"/>
      <c r="F207" s="11"/>
      <c r="G207" s="52">
        <f t="shared" si="31"/>
        <v>0</v>
      </c>
      <c r="H207" s="11"/>
      <c r="I207" s="11"/>
      <c r="J207" s="11"/>
      <c r="K207" s="57"/>
      <c r="L207" s="52">
        <f t="shared" si="60"/>
        <v>0</v>
      </c>
      <c r="M207" s="52">
        <f t="shared" si="61"/>
        <v>0</v>
      </c>
      <c r="N207" s="52">
        <f t="shared" si="62"/>
        <v>0</v>
      </c>
      <c r="O207" s="52">
        <f t="shared" si="63"/>
        <v>0</v>
      </c>
    </row>
    <row r="208" spans="1:15" ht="15.9" customHeight="1">
      <c r="A208" s="48"/>
      <c r="B208" s="49"/>
      <c r="C208" s="52"/>
      <c r="D208" s="52"/>
      <c r="E208" s="52"/>
      <c r="F208" s="11"/>
      <c r="G208" s="52">
        <f t="shared" si="31"/>
        <v>0</v>
      </c>
      <c r="H208" s="11"/>
      <c r="I208" s="11"/>
      <c r="J208" s="11"/>
      <c r="K208" s="57"/>
      <c r="L208" s="52">
        <f t="shared" si="60"/>
        <v>0</v>
      </c>
      <c r="M208" s="52">
        <f t="shared" si="61"/>
        <v>0</v>
      </c>
      <c r="N208" s="52">
        <f t="shared" si="62"/>
        <v>0</v>
      </c>
      <c r="O208" s="52">
        <f t="shared" si="63"/>
        <v>0</v>
      </c>
    </row>
    <row r="209" spans="1:15" ht="15.9" customHeight="1">
      <c r="A209" s="48"/>
      <c r="B209" s="49"/>
      <c r="C209" s="52"/>
      <c r="D209" s="52"/>
      <c r="E209" s="52"/>
      <c r="F209" s="11"/>
      <c r="G209" s="52">
        <f t="shared" si="31"/>
        <v>0</v>
      </c>
      <c r="H209" s="11"/>
      <c r="I209" s="11"/>
      <c r="J209" s="11"/>
      <c r="K209" s="57"/>
      <c r="L209" s="52">
        <f t="shared" ref="L209:L215" si="64">G209*H209/100</f>
        <v>0</v>
      </c>
      <c r="M209" s="52">
        <f t="shared" ref="M209:M215" si="65">G209*I209/100</f>
        <v>0</v>
      </c>
      <c r="N209" s="52">
        <f t="shared" ref="N209:N215" si="66">G209*J209/100</f>
        <v>0</v>
      </c>
      <c r="O209" s="52">
        <f t="shared" ref="O209:O215" si="67">G209*K209/1000</f>
        <v>0</v>
      </c>
    </row>
    <row r="210" spans="1:15" ht="15.9" customHeight="1">
      <c r="A210" s="48"/>
      <c r="B210" s="49"/>
      <c r="C210" s="52"/>
      <c r="D210" s="52"/>
      <c r="E210" s="52"/>
      <c r="F210" s="11"/>
      <c r="G210" s="52">
        <f t="shared" si="31"/>
        <v>0</v>
      </c>
      <c r="H210" s="11"/>
      <c r="I210" s="11"/>
      <c r="J210" s="11"/>
      <c r="K210" s="57"/>
      <c r="L210" s="52">
        <f t="shared" si="64"/>
        <v>0</v>
      </c>
      <c r="M210" s="52">
        <f t="shared" si="65"/>
        <v>0</v>
      </c>
      <c r="N210" s="52">
        <f t="shared" si="66"/>
        <v>0</v>
      </c>
      <c r="O210" s="52">
        <f t="shared" si="67"/>
        <v>0</v>
      </c>
    </row>
    <row r="211" spans="1:15" ht="15.9" customHeight="1">
      <c r="A211" s="48"/>
      <c r="B211" s="49"/>
      <c r="C211" s="52"/>
      <c r="D211" s="52"/>
      <c r="E211" s="52"/>
      <c r="F211" s="11"/>
      <c r="G211" s="52">
        <f t="shared" si="31"/>
        <v>0</v>
      </c>
      <c r="H211" s="11"/>
      <c r="I211" s="11"/>
      <c r="J211" s="11"/>
      <c r="K211" s="57"/>
      <c r="L211" s="52">
        <f t="shared" si="64"/>
        <v>0</v>
      </c>
      <c r="M211" s="52">
        <f t="shared" si="65"/>
        <v>0</v>
      </c>
      <c r="N211" s="52">
        <f t="shared" si="66"/>
        <v>0</v>
      </c>
      <c r="O211" s="52">
        <f t="shared" si="67"/>
        <v>0</v>
      </c>
    </row>
    <row r="212" spans="1:15" ht="15.9" customHeight="1">
      <c r="A212" s="48"/>
      <c r="B212" s="49"/>
      <c r="C212" s="52"/>
      <c r="D212" s="52"/>
      <c r="E212" s="52"/>
      <c r="F212" s="11"/>
      <c r="G212" s="52">
        <f t="shared" si="31"/>
        <v>0</v>
      </c>
      <c r="H212" s="11"/>
      <c r="I212" s="11"/>
      <c r="J212" s="11"/>
      <c r="K212" s="57"/>
      <c r="L212" s="52">
        <f t="shared" si="64"/>
        <v>0</v>
      </c>
      <c r="M212" s="52">
        <f t="shared" si="65"/>
        <v>0</v>
      </c>
      <c r="N212" s="52">
        <f t="shared" si="66"/>
        <v>0</v>
      </c>
      <c r="O212" s="52">
        <f t="shared" si="67"/>
        <v>0</v>
      </c>
    </row>
    <row r="213" spans="1:15" ht="15.9" customHeight="1">
      <c r="A213" s="48"/>
      <c r="B213" s="49"/>
      <c r="C213" s="52"/>
      <c r="D213" s="52"/>
      <c r="E213" s="52"/>
      <c r="F213" s="11"/>
      <c r="G213" s="52">
        <f t="shared" si="31"/>
        <v>0</v>
      </c>
      <c r="H213" s="11"/>
      <c r="I213" s="11"/>
      <c r="J213" s="11"/>
      <c r="K213" s="57"/>
      <c r="L213" s="52">
        <f t="shared" si="64"/>
        <v>0</v>
      </c>
      <c r="M213" s="52">
        <f t="shared" si="65"/>
        <v>0</v>
      </c>
      <c r="N213" s="52">
        <f t="shared" si="66"/>
        <v>0</v>
      </c>
      <c r="O213" s="52">
        <f t="shared" si="67"/>
        <v>0</v>
      </c>
    </row>
    <row r="214" spans="1:15" ht="15.9" customHeight="1">
      <c r="A214" s="48"/>
      <c r="B214" s="49"/>
      <c r="C214" s="52"/>
      <c r="D214" s="52"/>
      <c r="E214" s="52"/>
      <c r="F214" s="11"/>
      <c r="G214" s="52">
        <f t="shared" si="31"/>
        <v>0</v>
      </c>
      <c r="H214" s="11"/>
      <c r="I214" s="11"/>
      <c r="J214" s="11"/>
      <c r="K214" s="57"/>
      <c r="L214" s="52">
        <f t="shared" si="64"/>
        <v>0</v>
      </c>
      <c r="M214" s="52">
        <f t="shared" si="65"/>
        <v>0</v>
      </c>
      <c r="N214" s="52">
        <f t="shared" si="66"/>
        <v>0</v>
      </c>
      <c r="O214" s="52">
        <f t="shared" si="67"/>
        <v>0</v>
      </c>
    </row>
    <row r="215" spans="1:15" ht="15.9" customHeight="1">
      <c r="A215" s="48"/>
      <c r="B215" s="49"/>
      <c r="C215" s="52"/>
      <c r="D215" s="52"/>
      <c r="E215" s="52"/>
      <c r="F215" s="11"/>
      <c r="G215" s="52">
        <f t="shared" si="31"/>
        <v>0</v>
      </c>
      <c r="H215" s="11"/>
      <c r="I215" s="11"/>
      <c r="J215" s="11"/>
      <c r="K215" s="57"/>
      <c r="L215" s="52">
        <f t="shared" si="64"/>
        <v>0</v>
      </c>
      <c r="M215" s="52">
        <f t="shared" si="65"/>
        <v>0</v>
      </c>
      <c r="N215" s="52">
        <f t="shared" si="66"/>
        <v>0</v>
      </c>
      <c r="O215" s="52">
        <f t="shared" si="67"/>
        <v>0</v>
      </c>
    </row>
    <row r="216" spans="1:15" ht="15.9" customHeight="1">
      <c r="A216" s="48"/>
      <c r="B216" s="49"/>
      <c r="C216" s="52"/>
      <c r="D216" s="52"/>
      <c r="E216" s="52"/>
      <c r="F216" s="11"/>
      <c r="G216" s="52">
        <f t="shared" si="31"/>
        <v>0</v>
      </c>
      <c r="H216" s="11"/>
      <c r="I216" s="11"/>
      <c r="J216" s="11"/>
      <c r="K216" s="57"/>
      <c r="L216" s="52">
        <f t="shared" si="60"/>
        <v>0</v>
      </c>
      <c r="M216" s="52">
        <f t="shared" si="61"/>
        <v>0</v>
      </c>
      <c r="N216" s="52">
        <f t="shared" si="62"/>
        <v>0</v>
      </c>
      <c r="O216" s="52">
        <f t="shared" si="63"/>
        <v>0</v>
      </c>
    </row>
    <row r="217" spans="1:15" ht="15.9" customHeight="1">
      <c r="A217" s="48"/>
      <c r="B217" s="49"/>
      <c r="C217" s="52"/>
      <c r="D217" s="52"/>
      <c r="E217" s="52"/>
      <c r="F217" s="11"/>
      <c r="G217" s="52">
        <f t="shared" si="31"/>
        <v>0</v>
      </c>
      <c r="H217" s="11"/>
      <c r="I217" s="11"/>
      <c r="J217" s="11"/>
      <c r="K217" s="57"/>
      <c r="L217" s="52">
        <f t="shared" si="60"/>
        <v>0</v>
      </c>
      <c r="M217" s="52">
        <f t="shared" si="61"/>
        <v>0</v>
      </c>
      <c r="N217" s="52">
        <f t="shared" si="62"/>
        <v>0</v>
      </c>
      <c r="O217" s="52">
        <f t="shared" si="63"/>
        <v>0</v>
      </c>
    </row>
    <row r="218" spans="1:15" ht="15.9" customHeight="1">
      <c r="A218" s="48"/>
      <c r="B218" s="49"/>
      <c r="C218" s="52"/>
      <c r="D218" s="52"/>
      <c r="E218" s="52"/>
      <c r="F218" s="11"/>
      <c r="G218" s="52">
        <f t="shared" si="31"/>
        <v>0</v>
      </c>
      <c r="H218" s="11"/>
      <c r="I218" s="11"/>
      <c r="J218" s="11"/>
      <c r="K218" s="57"/>
      <c r="L218" s="52">
        <f t="shared" si="60"/>
        <v>0</v>
      </c>
      <c r="M218" s="52">
        <f t="shared" si="61"/>
        <v>0</v>
      </c>
      <c r="N218" s="52">
        <f t="shared" si="62"/>
        <v>0</v>
      </c>
      <c r="O218" s="52">
        <f t="shared" si="63"/>
        <v>0</v>
      </c>
    </row>
    <row r="219" spans="1:15" ht="15.9" customHeight="1">
      <c r="A219" s="48"/>
      <c r="B219" s="49"/>
      <c r="C219" s="52"/>
      <c r="D219" s="52"/>
      <c r="E219" s="52"/>
      <c r="F219" s="11"/>
      <c r="G219" s="52">
        <f t="shared" si="31"/>
        <v>0</v>
      </c>
      <c r="H219" s="11"/>
      <c r="I219" s="11"/>
      <c r="J219" s="11"/>
      <c r="K219" s="57"/>
      <c r="L219" s="52">
        <f t="shared" si="60"/>
        <v>0</v>
      </c>
      <c r="M219" s="52">
        <f t="shared" si="61"/>
        <v>0</v>
      </c>
      <c r="N219" s="52">
        <f t="shared" si="62"/>
        <v>0</v>
      </c>
      <c r="O219" s="52">
        <f t="shared" si="63"/>
        <v>0</v>
      </c>
    </row>
    <row r="220" spans="1:15" ht="15.9" customHeight="1">
      <c r="A220" s="48"/>
      <c r="B220" s="49"/>
      <c r="C220" s="52"/>
      <c r="D220" s="52"/>
      <c r="E220" s="52"/>
      <c r="F220" s="11"/>
      <c r="G220" s="52">
        <f t="shared" si="31"/>
        <v>0</v>
      </c>
      <c r="H220" s="11"/>
      <c r="I220" s="11"/>
      <c r="J220" s="11"/>
      <c r="K220" s="57"/>
      <c r="L220" s="52">
        <f t="shared" si="60"/>
        <v>0</v>
      </c>
      <c r="M220" s="52">
        <f t="shared" si="61"/>
        <v>0</v>
      </c>
      <c r="N220" s="52">
        <f t="shared" si="62"/>
        <v>0</v>
      </c>
      <c r="O220" s="52">
        <f t="shared" si="63"/>
        <v>0</v>
      </c>
    </row>
    <row r="221" spans="1:15" ht="15.9" customHeight="1">
      <c r="A221" s="48"/>
      <c r="B221" s="49"/>
      <c r="C221" s="52"/>
      <c r="D221" s="52"/>
      <c r="E221" s="52"/>
      <c r="F221" s="11"/>
      <c r="G221" s="52">
        <f t="shared" si="31"/>
        <v>0</v>
      </c>
      <c r="H221" s="11"/>
      <c r="I221" s="11"/>
      <c r="J221" s="11"/>
      <c r="K221" s="57"/>
      <c r="L221" s="52">
        <f t="shared" si="60"/>
        <v>0</v>
      </c>
      <c r="M221" s="52">
        <f t="shared" si="61"/>
        <v>0</v>
      </c>
      <c r="N221" s="52">
        <f t="shared" si="62"/>
        <v>0</v>
      </c>
      <c r="O221" s="52">
        <f t="shared" si="63"/>
        <v>0</v>
      </c>
    </row>
    <row r="222" spans="1:15" ht="15.9" customHeight="1">
      <c r="A222" s="48"/>
      <c r="B222" s="49"/>
      <c r="C222" s="52"/>
      <c r="D222" s="52"/>
      <c r="E222" s="52"/>
      <c r="F222" s="11"/>
      <c r="G222" s="52">
        <f t="shared" si="31"/>
        <v>0</v>
      </c>
      <c r="H222" s="11"/>
      <c r="I222" s="11"/>
      <c r="J222" s="11"/>
      <c r="K222" s="57"/>
      <c r="L222" s="52">
        <f t="shared" ref="L222:L236" si="68">G222*H222/100</f>
        <v>0</v>
      </c>
      <c r="M222" s="52">
        <f t="shared" ref="M222:M236" si="69">G222*I222/100</f>
        <v>0</v>
      </c>
      <c r="N222" s="52">
        <f t="shared" ref="N222:N236" si="70">G222*J222/100</f>
        <v>0</v>
      </c>
      <c r="O222" s="52">
        <f t="shared" ref="O222:O236" si="71">G222*K222/1000</f>
        <v>0</v>
      </c>
    </row>
    <row r="223" spans="1:15" ht="15.9" customHeight="1">
      <c r="A223" s="48"/>
      <c r="B223" s="49"/>
      <c r="C223" s="52"/>
      <c r="D223" s="52"/>
      <c r="E223" s="52"/>
      <c r="F223" s="11"/>
      <c r="G223" s="52">
        <f t="shared" si="31"/>
        <v>0</v>
      </c>
      <c r="H223" s="11"/>
      <c r="I223" s="11"/>
      <c r="J223" s="11"/>
      <c r="K223" s="57"/>
      <c r="L223" s="52">
        <f t="shared" si="68"/>
        <v>0</v>
      </c>
      <c r="M223" s="52">
        <f t="shared" si="69"/>
        <v>0</v>
      </c>
      <c r="N223" s="52">
        <f t="shared" si="70"/>
        <v>0</v>
      </c>
      <c r="O223" s="52">
        <f t="shared" si="71"/>
        <v>0</v>
      </c>
    </row>
    <row r="224" spans="1:15" ht="15.9" customHeight="1">
      <c r="A224" s="48"/>
      <c r="B224" s="49"/>
      <c r="C224" s="52"/>
      <c r="D224" s="52"/>
      <c r="E224" s="52"/>
      <c r="F224" s="11"/>
      <c r="G224" s="52">
        <f t="shared" si="31"/>
        <v>0</v>
      </c>
      <c r="H224" s="11"/>
      <c r="I224" s="11"/>
      <c r="J224" s="11"/>
      <c r="K224" s="57"/>
      <c r="L224" s="52">
        <f t="shared" si="68"/>
        <v>0</v>
      </c>
      <c r="M224" s="52">
        <f t="shared" si="69"/>
        <v>0</v>
      </c>
      <c r="N224" s="52">
        <f t="shared" si="70"/>
        <v>0</v>
      </c>
      <c r="O224" s="52">
        <f t="shared" si="71"/>
        <v>0</v>
      </c>
    </row>
    <row r="225" spans="1:15" ht="15.9" customHeight="1">
      <c r="A225" s="48"/>
      <c r="B225" s="49"/>
      <c r="C225" s="52"/>
      <c r="D225" s="52"/>
      <c r="E225" s="52"/>
      <c r="F225" s="11"/>
      <c r="G225" s="52">
        <f t="shared" si="31"/>
        <v>0</v>
      </c>
      <c r="H225" s="11"/>
      <c r="I225" s="11"/>
      <c r="J225" s="11"/>
      <c r="K225" s="57"/>
      <c r="L225" s="52">
        <f t="shared" si="68"/>
        <v>0</v>
      </c>
      <c r="M225" s="52">
        <f t="shared" si="69"/>
        <v>0</v>
      </c>
      <c r="N225" s="52">
        <f t="shared" si="70"/>
        <v>0</v>
      </c>
      <c r="O225" s="52">
        <f t="shared" si="71"/>
        <v>0</v>
      </c>
    </row>
    <row r="226" spans="1:15" ht="15.9" customHeight="1">
      <c r="A226" s="48"/>
      <c r="B226" s="49"/>
      <c r="C226" s="52"/>
      <c r="D226" s="52"/>
      <c r="E226" s="52"/>
      <c r="F226" s="11"/>
      <c r="G226" s="52">
        <f t="shared" si="31"/>
        <v>0</v>
      </c>
      <c r="H226" s="11"/>
      <c r="I226" s="11"/>
      <c r="J226" s="11"/>
      <c r="K226" s="57"/>
      <c r="L226" s="52">
        <f t="shared" si="68"/>
        <v>0</v>
      </c>
      <c r="M226" s="52">
        <f t="shared" si="69"/>
        <v>0</v>
      </c>
      <c r="N226" s="52">
        <f t="shared" si="70"/>
        <v>0</v>
      </c>
      <c r="O226" s="52">
        <f t="shared" si="71"/>
        <v>0</v>
      </c>
    </row>
    <row r="227" spans="1:15" ht="15.9" customHeight="1">
      <c r="A227" s="48"/>
      <c r="B227" s="49"/>
      <c r="C227" s="52"/>
      <c r="D227" s="52"/>
      <c r="E227" s="52"/>
      <c r="F227" s="11"/>
      <c r="G227" s="52">
        <f t="shared" si="31"/>
        <v>0</v>
      </c>
      <c r="H227" s="11"/>
      <c r="I227" s="11"/>
      <c r="J227" s="11"/>
      <c r="K227" s="57"/>
      <c r="L227" s="52">
        <f t="shared" si="68"/>
        <v>0</v>
      </c>
      <c r="M227" s="52">
        <f t="shared" si="69"/>
        <v>0</v>
      </c>
      <c r="N227" s="52">
        <f t="shared" si="70"/>
        <v>0</v>
      </c>
      <c r="O227" s="52">
        <f t="shared" si="71"/>
        <v>0</v>
      </c>
    </row>
    <row r="228" spans="1:15" ht="15.9" customHeight="1">
      <c r="A228" s="48"/>
      <c r="B228" s="49"/>
      <c r="C228" s="52"/>
      <c r="D228" s="52"/>
      <c r="E228" s="52"/>
      <c r="F228" s="11"/>
      <c r="G228" s="52">
        <f t="shared" si="31"/>
        <v>0</v>
      </c>
      <c r="H228" s="11"/>
      <c r="I228" s="11"/>
      <c r="J228" s="11"/>
      <c r="K228" s="57"/>
      <c r="L228" s="52">
        <f t="shared" si="68"/>
        <v>0</v>
      </c>
      <c r="M228" s="52">
        <f t="shared" si="69"/>
        <v>0</v>
      </c>
      <c r="N228" s="52">
        <f t="shared" si="70"/>
        <v>0</v>
      </c>
      <c r="O228" s="52">
        <f t="shared" si="71"/>
        <v>0</v>
      </c>
    </row>
    <row r="229" spans="1:15" ht="15.9" customHeight="1">
      <c r="A229" s="48"/>
      <c r="B229" s="49"/>
      <c r="C229" s="52"/>
      <c r="D229" s="52"/>
      <c r="E229" s="52"/>
      <c r="F229" s="11"/>
      <c r="G229" s="52">
        <f t="shared" si="31"/>
        <v>0</v>
      </c>
      <c r="H229" s="11"/>
      <c r="I229" s="11"/>
      <c r="J229" s="11"/>
      <c r="K229" s="57"/>
      <c r="L229" s="52">
        <f t="shared" si="68"/>
        <v>0</v>
      </c>
      <c r="M229" s="52">
        <f t="shared" si="69"/>
        <v>0</v>
      </c>
      <c r="N229" s="52">
        <f t="shared" si="70"/>
        <v>0</v>
      </c>
      <c r="O229" s="52">
        <f t="shared" si="71"/>
        <v>0</v>
      </c>
    </row>
    <row r="230" spans="1:15" ht="15.9" customHeight="1">
      <c r="A230" s="48"/>
      <c r="B230" s="49"/>
      <c r="C230" s="52"/>
      <c r="D230" s="52"/>
      <c r="E230" s="52"/>
      <c r="F230" s="11"/>
      <c r="G230" s="52">
        <f t="shared" si="31"/>
        <v>0</v>
      </c>
      <c r="H230" s="11"/>
      <c r="I230" s="11"/>
      <c r="J230" s="11"/>
      <c r="K230" s="57"/>
      <c r="L230" s="52">
        <f t="shared" si="68"/>
        <v>0</v>
      </c>
      <c r="M230" s="52">
        <f t="shared" si="69"/>
        <v>0</v>
      </c>
      <c r="N230" s="52">
        <f t="shared" si="70"/>
        <v>0</v>
      </c>
      <c r="O230" s="52">
        <f t="shared" si="71"/>
        <v>0</v>
      </c>
    </row>
    <row r="231" spans="1:15" ht="15.9" customHeight="1">
      <c r="A231" s="48"/>
      <c r="B231" s="49"/>
      <c r="C231" s="52"/>
      <c r="D231" s="52"/>
      <c r="E231" s="52"/>
      <c r="F231" s="11"/>
      <c r="G231" s="52">
        <f t="shared" si="31"/>
        <v>0</v>
      </c>
      <c r="H231" s="11"/>
      <c r="I231" s="11"/>
      <c r="J231" s="11"/>
      <c r="K231" s="57"/>
      <c r="L231" s="52">
        <f t="shared" si="68"/>
        <v>0</v>
      </c>
      <c r="M231" s="52">
        <f t="shared" si="69"/>
        <v>0</v>
      </c>
      <c r="N231" s="52">
        <f t="shared" si="70"/>
        <v>0</v>
      </c>
      <c r="O231" s="52">
        <f t="shared" si="71"/>
        <v>0</v>
      </c>
    </row>
    <row r="232" spans="1:15" ht="15.9" customHeight="1">
      <c r="A232" s="48"/>
      <c r="B232" s="49"/>
      <c r="C232" s="52"/>
      <c r="D232" s="52"/>
      <c r="E232" s="52"/>
      <c r="F232" s="11"/>
      <c r="G232" s="52">
        <f t="shared" si="31"/>
        <v>0</v>
      </c>
      <c r="H232" s="11"/>
      <c r="I232" s="11"/>
      <c r="J232" s="11"/>
      <c r="K232" s="57"/>
      <c r="L232" s="52">
        <f t="shared" si="68"/>
        <v>0</v>
      </c>
      <c r="M232" s="52">
        <f t="shared" si="69"/>
        <v>0</v>
      </c>
      <c r="N232" s="52">
        <f t="shared" si="70"/>
        <v>0</v>
      </c>
      <c r="O232" s="52">
        <f t="shared" si="71"/>
        <v>0</v>
      </c>
    </row>
    <row r="233" spans="1:15" ht="15.9" customHeight="1">
      <c r="A233" s="48"/>
      <c r="B233" s="49"/>
      <c r="C233" s="52"/>
      <c r="D233" s="52"/>
      <c r="E233" s="52"/>
      <c r="F233" s="11"/>
      <c r="G233" s="52">
        <f t="shared" si="31"/>
        <v>0</v>
      </c>
      <c r="H233" s="11"/>
      <c r="I233" s="11"/>
      <c r="J233" s="11"/>
      <c r="K233" s="57"/>
      <c r="L233" s="52">
        <f t="shared" si="68"/>
        <v>0</v>
      </c>
      <c r="M233" s="52">
        <f t="shared" si="69"/>
        <v>0</v>
      </c>
      <c r="N233" s="52">
        <f t="shared" si="70"/>
        <v>0</v>
      </c>
      <c r="O233" s="52">
        <f t="shared" si="71"/>
        <v>0</v>
      </c>
    </row>
    <row r="234" spans="1:15" ht="15.9" customHeight="1">
      <c r="A234" s="48"/>
      <c r="B234" s="49"/>
      <c r="C234" s="52"/>
      <c r="D234" s="52"/>
      <c r="E234" s="52"/>
      <c r="F234" s="11"/>
      <c r="G234" s="52">
        <f t="shared" si="31"/>
        <v>0</v>
      </c>
      <c r="H234" s="11"/>
      <c r="I234" s="11"/>
      <c r="J234" s="11"/>
      <c r="K234" s="57"/>
      <c r="L234" s="52">
        <f t="shared" si="68"/>
        <v>0</v>
      </c>
      <c r="M234" s="52">
        <f t="shared" si="69"/>
        <v>0</v>
      </c>
      <c r="N234" s="52">
        <f t="shared" si="70"/>
        <v>0</v>
      </c>
      <c r="O234" s="52">
        <f t="shared" si="71"/>
        <v>0</v>
      </c>
    </row>
    <row r="235" spans="1:15" ht="15.9" customHeight="1">
      <c r="A235" s="48"/>
      <c r="B235" s="49"/>
      <c r="C235" s="52"/>
      <c r="D235" s="52"/>
      <c r="E235" s="52"/>
      <c r="F235" s="11"/>
      <c r="G235" s="52">
        <f t="shared" si="31"/>
        <v>0</v>
      </c>
      <c r="H235" s="11"/>
      <c r="I235" s="11"/>
      <c r="J235" s="11"/>
      <c r="K235" s="57"/>
      <c r="L235" s="52">
        <f t="shared" si="68"/>
        <v>0</v>
      </c>
      <c r="M235" s="52">
        <f t="shared" si="69"/>
        <v>0</v>
      </c>
      <c r="N235" s="52">
        <f t="shared" si="70"/>
        <v>0</v>
      </c>
      <c r="O235" s="52">
        <f t="shared" si="71"/>
        <v>0</v>
      </c>
    </row>
    <row r="236" spans="1:15" ht="15.9" customHeight="1">
      <c r="A236" s="48"/>
      <c r="B236" s="49"/>
      <c r="C236" s="52"/>
      <c r="D236" s="52"/>
      <c r="E236" s="52"/>
      <c r="F236" s="11"/>
      <c r="G236" s="52">
        <f t="shared" si="31"/>
        <v>0</v>
      </c>
      <c r="H236" s="11"/>
      <c r="I236" s="11"/>
      <c r="J236" s="11"/>
      <c r="K236" s="57"/>
      <c r="L236" s="52">
        <f t="shared" si="68"/>
        <v>0</v>
      </c>
      <c r="M236" s="52">
        <f t="shared" si="69"/>
        <v>0</v>
      </c>
      <c r="N236" s="52">
        <f t="shared" si="70"/>
        <v>0</v>
      </c>
      <c r="O236" s="52">
        <f t="shared" si="71"/>
        <v>0</v>
      </c>
    </row>
    <row r="237" spans="1:15" ht="15.9" customHeight="1">
      <c r="A237" s="48"/>
      <c r="B237" s="49"/>
      <c r="C237" s="52"/>
      <c r="D237" s="52"/>
      <c r="E237" s="52"/>
      <c r="F237" s="11"/>
      <c r="G237" s="52">
        <f t="shared" si="31"/>
        <v>0</v>
      </c>
      <c r="H237" s="11"/>
      <c r="I237" s="11"/>
      <c r="J237" s="11"/>
      <c r="K237" s="57"/>
      <c r="L237" s="52">
        <f t="shared" si="44"/>
        <v>0</v>
      </c>
      <c r="M237" s="52">
        <f t="shared" si="45"/>
        <v>0</v>
      </c>
      <c r="N237" s="52">
        <f t="shared" si="46"/>
        <v>0</v>
      </c>
      <c r="O237" s="52">
        <f t="shared" si="47"/>
        <v>0</v>
      </c>
    </row>
    <row r="238" spans="1:15" ht="15.9" customHeight="1">
      <c r="A238" s="48"/>
      <c r="B238" s="49"/>
      <c r="C238" s="52"/>
      <c r="D238" s="52"/>
      <c r="E238" s="52"/>
      <c r="F238" s="11"/>
      <c r="G238" s="52">
        <f t="shared" si="31"/>
        <v>0</v>
      </c>
      <c r="H238" s="11"/>
      <c r="I238" s="11"/>
      <c r="J238" s="11"/>
      <c r="K238" s="57"/>
      <c r="L238" s="52">
        <f t="shared" ref="L238:L301" si="72">G238*H238/100</f>
        <v>0</v>
      </c>
      <c r="M238" s="52">
        <f t="shared" ref="M238:M301" si="73">G238*I238/100</f>
        <v>0</v>
      </c>
      <c r="N238" s="52">
        <f t="shared" ref="N238:N301" si="74">G238*J238/100</f>
        <v>0</v>
      </c>
      <c r="O238" s="52">
        <f t="shared" ref="O238:O301" si="75">G238*K238/1000</f>
        <v>0</v>
      </c>
    </row>
    <row r="239" spans="1:15" ht="15.9" customHeight="1">
      <c r="A239" s="48"/>
      <c r="B239" s="49"/>
      <c r="C239" s="52"/>
      <c r="D239" s="52"/>
      <c r="E239" s="52"/>
      <c r="F239" s="11"/>
      <c r="G239" s="52">
        <f t="shared" si="31"/>
        <v>0</v>
      </c>
      <c r="H239" s="11"/>
      <c r="I239" s="11"/>
      <c r="J239" s="11"/>
      <c r="K239" s="57"/>
      <c r="L239" s="52">
        <f t="shared" si="72"/>
        <v>0</v>
      </c>
      <c r="M239" s="52">
        <f t="shared" si="73"/>
        <v>0</v>
      </c>
      <c r="N239" s="52">
        <f t="shared" si="74"/>
        <v>0</v>
      </c>
      <c r="O239" s="52">
        <f t="shared" si="75"/>
        <v>0</v>
      </c>
    </row>
    <row r="240" spans="1:15" ht="15.9" customHeight="1">
      <c r="A240" s="48"/>
      <c r="B240" s="49"/>
      <c r="C240" s="52"/>
      <c r="D240" s="52"/>
      <c r="E240" s="52"/>
      <c r="F240" s="11"/>
      <c r="G240" s="52">
        <f t="shared" si="31"/>
        <v>0</v>
      </c>
      <c r="H240" s="11"/>
      <c r="I240" s="11"/>
      <c r="J240" s="11"/>
      <c r="K240" s="57"/>
      <c r="L240" s="52">
        <f t="shared" si="72"/>
        <v>0</v>
      </c>
      <c r="M240" s="52">
        <f t="shared" si="73"/>
        <v>0</v>
      </c>
      <c r="N240" s="52">
        <f t="shared" si="74"/>
        <v>0</v>
      </c>
      <c r="O240" s="52">
        <f t="shared" si="75"/>
        <v>0</v>
      </c>
    </row>
    <row r="241" spans="1:15" ht="15.9" customHeight="1">
      <c r="A241" s="48"/>
      <c r="B241" s="49"/>
      <c r="C241" s="52"/>
      <c r="D241" s="52"/>
      <c r="E241" s="52"/>
      <c r="F241" s="11"/>
      <c r="G241" s="52">
        <f t="shared" si="31"/>
        <v>0</v>
      </c>
      <c r="H241" s="11"/>
      <c r="I241" s="11"/>
      <c r="J241" s="11"/>
      <c r="K241" s="57"/>
      <c r="L241" s="52">
        <f t="shared" si="72"/>
        <v>0</v>
      </c>
      <c r="M241" s="52">
        <f t="shared" si="73"/>
        <v>0</v>
      </c>
      <c r="N241" s="52">
        <f t="shared" si="74"/>
        <v>0</v>
      </c>
      <c r="O241" s="52">
        <f t="shared" si="75"/>
        <v>0</v>
      </c>
    </row>
    <row r="242" spans="1:15" ht="15.9" customHeight="1">
      <c r="A242" s="48"/>
      <c r="B242" s="49"/>
      <c r="C242" s="52"/>
      <c r="D242" s="52"/>
      <c r="E242" s="52"/>
      <c r="F242" s="11"/>
      <c r="G242" s="52">
        <f t="shared" si="31"/>
        <v>0</v>
      </c>
      <c r="H242" s="11"/>
      <c r="I242" s="11"/>
      <c r="J242" s="11"/>
      <c r="K242" s="57"/>
      <c r="L242" s="52">
        <f t="shared" si="72"/>
        <v>0</v>
      </c>
      <c r="M242" s="52">
        <f t="shared" si="73"/>
        <v>0</v>
      </c>
      <c r="N242" s="52">
        <f t="shared" si="74"/>
        <v>0</v>
      </c>
      <c r="O242" s="52">
        <f t="shared" si="75"/>
        <v>0</v>
      </c>
    </row>
    <row r="243" spans="1:15" ht="15.9" customHeight="1">
      <c r="A243" s="48"/>
      <c r="B243" s="49"/>
      <c r="C243" s="52"/>
      <c r="D243" s="52"/>
      <c r="E243" s="52"/>
      <c r="F243" s="11"/>
      <c r="G243" s="52">
        <f t="shared" si="31"/>
        <v>0</v>
      </c>
      <c r="H243" s="11"/>
      <c r="I243" s="11"/>
      <c r="J243" s="11"/>
      <c r="K243" s="57"/>
      <c r="L243" s="52">
        <f t="shared" si="72"/>
        <v>0</v>
      </c>
      <c r="M243" s="52">
        <f t="shared" si="73"/>
        <v>0</v>
      </c>
      <c r="N243" s="52">
        <f t="shared" si="74"/>
        <v>0</v>
      </c>
      <c r="O243" s="52">
        <f t="shared" si="75"/>
        <v>0</v>
      </c>
    </row>
    <row r="244" spans="1:15" ht="15.9" customHeight="1">
      <c r="A244" s="48"/>
      <c r="B244" s="49"/>
      <c r="C244" s="52"/>
      <c r="D244" s="52"/>
      <c r="E244" s="52"/>
      <c r="F244" s="11"/>
      <c r="G244" s="52">
        <f t="shared" si="31"/>
        <v>0</v>
      </c>
      <c r="H244" s="11"/>
      <c r="I244" s="11"/>
      <c r="J244" s="11"/>
      <c r="K244" s="57"/>
      <c r="L244" s="52">
        <f t="shared" si="72"/>
        <v>0</v>
      </c>
      <c r="M244" s="52">
        <f t="shared" si="73"/>
        <v>0</v>
      </c>
      <c r="N244" s="52">
        <f t="shared" si="74"/>
        <v>0</v>
      </c>
      <c r="O244" s="52">
        <f t="shared" si="75"/>
        <v>0</v>
      </c>
    </row>
    <row r="245" spans="1:15" ht="15.9" customHeight="1">
      <c r="A245" s="48"/>
      <c r="B245" s="49"/>
      <c r="C245" s="52"/>
      <c r="D245" s="52"/>
      <c r="E245" s="52"/>
      <c r="F245" s="11"/>
      <c r="G245" s="52">
        <f t="shared" si="31"/>
        <v>0</v>
      </c>
      <c r="H245" s="11"/>
      <c r="I245" s="11"/>
      <c r="J245" s="11"/>
      <c r="K245" s="57"/>
      <c r="L245" s="52">
        <f t="shared" si="72"/>
        <v>0</v>
      </c>
      <c r="M245" s="52">
        <f t="shared" si="73"/>
        <v>0</v>
      </c>
      <c r="N245" s="52">
        <f t="shared" si="74"/>
        <v>0</v>
      </c>
      <c r="O245" s="52">
        <f t="shared" si="75"/>
        <v>0</v>
      </c>
    </row>
    <row r="246" spans="1:15" ht="15.9" customHeight="1">
      <c r="A246" s="48"/>
      <c r="B246" s="49"/>
      <c r="C246" s="52"/>
      <c r="D246" s="52"/>
      <c r="E246" s="52"/>
      <c r="F246" s="11"/>
      <c r="G246" s="52">
        <f t="shared" si="31"/>
        <v>0</v>
      </c>
      <c r="H246" s="11"/>
      <c r="I246" s="11"/>
      <c r="J246" s="11"/>
      <c r="K246" s="57"/>
      <c r="L246" s="52">
        <f t="shared" si="72"/>
        <v>0</v>
      </c>
      <c r="M246" s="52">
        <f t="shared" si="73"/>
        <v>0</v>
      </c>
      <c r="N246" s="52">
        <f t="shared" si="74"/>
        <v>0</v>
      </c>
      <c r="O246" s="52">
        <f t="shared" si="75"/>
        <v>0</v>
      </c>
    </row>
    <row r="247" spans="1:15" ht="15.9" customHeight="1">
      <c r="A247" s="48"/>
      <c r="B247" s="49"/>
      <c r="C247" s="52"/>
      <c r="D247" s="52"/>
      <c r="E247" s="52"/>
      <c r="F247" s="11"/>
      <c r="G247" s="52">
        <f t="shared" si="31"/>
        <v>0</v>
      </c>
      <c r="H247" s="11"/>
      <c r="I247" s="11"/>
      <c r="J247" s="11"/>
      <c r="K247" s="57"/>
      <c r="L247" s="52">
        <f t="shared" si="72"/>
        <v>0</v>
      </c>
      <c r="M247" s="52">
        <f t="shared" si="73"/>
        <v>0</v>
      </c>
      <c r="N247" s="52">
        <f t="shared" si="74"/>
        <v>0</v>
      </c>
      <c r="O247" s="52">
        <f t="shared" si="75"/>
        <v>0</v>
      </c>
    </row>
    <row r="248" spans="1:15" ht="15.9" customHeight="1">
      <c r="A248" s="48"/>
      <c r="B248" s="49"/>
      <c r="C248" s="52"/>
      <c r="D248" s="52"/>
      <c r="E248" s="52"/>
      <c r="F248" s="11"/>
      <c r="G248" s="52">
        <f t="shared" si="31"/>
        <v>0</v>
      </c>
      <c r="H248" s="11"/>
      <c r="I248" s="11"/>
      <c r="J248" s="11"/>
      <c r="K248" s="57"/>
      <c r="L248" s="52">
        <f t="shared" si="72"/>
        <v>0</v>
      </c>
      <c r="M248" s="52">
        <f t="shared" si="73"/>
        <v>0</v>
      </c>
      <c r="N248" s="52">
        <f t="shared" si="74"/>
        <v>0</v>
      </c>
      <c r="O248" s="52">
        <f t="shared" si="75"/>
        <v>0</v>
      </c>
    </row>
    <row r="249" spans="1:15" ht="15.9" customHeight="1">
      <c r="A249" s="48"/>
      <c r="B249" s="49"/>
      <c r="C249" s="52"/>
      <c r="D249" s="52"/>
      <c r="E249" s="52"/>
      <c r="F249" s="11"/>
      <c r="G249" s="52">
        <f t="shared" si="31"/>
        <v>0</v>
      </c>
      <c r="H249" s="11"/>
      <c r="I249" s="11"/>
      <c r="J249" s="11"/>
      <c r="K249" s="57"/>
      <c r="L249" s="52">
        <f t="shared" si="72"/>
        <v>0</v>
      </c>
      <c r="M249" s="52">
        <f t="shared" si="73"/>
        <v>0</v>
      </c>
      <c r="N249" s="52">
        <f t="shared" si="74"/>
        <v>0</v>
      </c>
      <c r="O249" s="52">
        <f t="shared" si="75"/>
        <v>0</v>
      </c>
    </row>
    <row r="250" spans="1:15" ht="15.9" customHeight="1">
      <c r="A250" s="48"/>
      <c r="B250" s="49"/>
      <c r="C250" s="52"/>
      <c r="D250" s="52"/>
      <c r="E250" s="52"/>
      <c r="F250" s="11"/>
      <c r="G250" s="52">
        <f t="shared" si="31"/>
        <v>0</v>
      </c>
      <c r="H250" s="11"/>
      <c r="I250" s="11"/>
      <c r="J250" s="11"/>
      <c r="K250" s="57"/>
      <c r="L250" s="52">
        <f t="shared" si="72"/>
        <v>0</v>
      </c>
      <c r="M250" s="52">
        <f t="shared" si="73"/>
        <v>0</v>
      </c>
      <c r="N250" s="52">
        <f t="shared" si="74"/>
        <v>0</v>
      </c>
      <c r="O250" s="52">
        <f t="shared" si="75"/>
        <v>0</v>
      </c>
    </row>
    <row r="251" spans="1:15" ht="15.9" customHeight="1">
      <c r="A251" s="48"/>
      <c r="B251" s="49"/>
      <c r="C251" s="52"/>
      <c r="D251" s="52"/>
      <c r="E251" s="52"/>
      <c r="F251" s="11"/>
      <c r="G251" s="52">
        <f t="shared" si="31"/>
        <v>0</v>
      </c>
      <c r="H251" s="11"/>
      <c r="I251" s="11"/>
      <c r="J251" s="11"/>
      <c r="K251" s="57"/>
      <c r="L251" s="52">
        <f t="shared" si="72"/>
        <v>0</v>
      </c>
      <c r="M251" s="52">
        <f t="shared" si="73"/>
        <v>0</v>
      </c>
      <c r="N251" s="52">
        <f t="shared" si="74"/>
        <v>0</v>
      </c>
      <c r="O251" s="52">
        <f t="shared" si="75"/>
        <v>0</v>
      </c>
    </row>
    <row r="252" spans="1:15" ht="15.9" customHeight="1">
      <c r="A252" s="48"/>
      <c r="B252" s="49"/>
      <c r="C252" s="52"/>
      <c r="D252" s="52"/>
      <c r="E252" s="52"/>
      <c r="F252" s="11"/>
      <c r="G252" s="52">
        <f t="shared" si="31"/>
        <v>0</v>
      </c>
      <c r="H252" s="11"/>
      <c r="I252" s="11"/>
      <c r="J252" s="11"/>
      <c r="K252" s="57"/>
      <c r="L252" s="52">
        <f t="shared" si="72"/>
        <v>0</v>
      </c>
      <c r="M252" s="52">
        <f t="shared" si="73"/>
        <v>0</v>
      </c>
      <c r="N252" s="52">
        <f t="shared" si="74"/>
        <v>0</v>
      </c>
      <c r="O252" s="52">
        <f t="shared" si="75"/>
        <v>0</v>
      </c>
    </row>
    <row r="253" spans="1:15" ht="15.9" customHeight="1">
      <c r="A253" s="48"/>
      <c r="B253" s="49"/>
      <c r="C253" s="52"/>
      <c r="D253" s="52"/>
      <c r="E253" s="52"/>
      <c r="F253" s="11"/>
      <c r="G253" s="52">
        <f t="shared" si="31"/>
        <v>0</v>
      </c>
      <c r="H253" s="11"/>
      <c r="I253" s="11"/>
      <c r="J253" s="11"/>
      <c r="K253" s="57"/>
      <c r="L253" s="52">
        <f t="shared" si="72"/>
        <v>0</v>
      </c>
      <c r="M253" s="52">
        <f t="shared" si="73"/>
        <v>0</v>
      </c>
      <c r="N253" s="52">
        <f t="shared" si="74"/>
        <v>0</v>
      </c>
      <c r="O253" s="52">
        <f t="shared" si="75"/>
        <v>0</v>
      </c>
    </row>
    <row r="254" spans="1:15" ht="15.9" customHeight="1">
      <c r="A254" s="48"/>
      <c r="B254" s="49"/>
      <c r="C254" s="52"/>
      <c r="D254" s="52"/>
      <c r="E254" s="52"/>
      <c r="F254" s="11"/>
      <c r="G254" s="52">
        <f t="shared" si="31"/>
        <v>0</v>
      </c>
      <c r="H254" s="11"/>
      <c r="I254" s="11"/>
      <c r="J254" s="11"/>
      <c r="K254" s="57"/>
      <c r="L254" s="52">
        <f t="shared" si="72"/>
        <v>0</v>
      </c>
      <c r="M254" s="52">
        <f t="shared" si="73"/>
        <v>0</v>
      </c>
      <c r="N254" s="52">
        <f t="shared" si="74"/>
        <v>0</v>
      </c>
      <c r="O254" s="52">
        <f t="shared" si="75"/>
        <v>0</v>
      </c>
    </row>
    <row r="255" spans="1:15" ht="15.9" customHeight="1">
      <c r="A255" s="48"/>
      <c r="B255" s="49"/>
      <c r="C255" s="52"/>
      <c r="D255" s="52"/>
      <c r="E255" s="52"/>
      <c r="F255" s="11"/>
      <c r="G255" s="52">
        <f t="shared" si="31"/>
        <v>0</v>
      </c>
      <c r="H255" s="11"/>
      <c r="I255" s="11"/>
      <c r="J255" s="11"/>
      <c r="K255" s="57"/>
      <c r="L255" s="52">
        <f t="shared" si="72"/>
        <v>0</v>
      </c>
      <c r="M255" s="52">
        <f t="shared" si="73"/>
        <v>0</v>
      </c>
      <c r="N255" s="52">
        <f t="shared" si="74"/>
        <v>0</v>
      </c>
      <c r="O255" s="52">
        <f t="shared" si="75"/>
        <v>0</v>
      </c>
    </row>
    <row r="256" spans="1:15" ht="15.9" customHeight="1">
      <c r="A256" s="48"/>
      <c r="B256" s="49"/>
      <c r="C256" s="52"/>
      <c r="D256" s="52"/>
      <c r="E256" s="52"/>
      <c r="F256" s="11"/>
      <c r="G256" s="52">
        <f t="shared" si="31"/>
        <v>0</v>
      </c>
      <c r="H256" s="11"/>
      <c r="I256" s="11"/>
      <c r="J256" s="11"/>
      <c r="K256" s="57"/>
      <c r="L256" s="52">
        <f t="shared" si="72"/>
        <v>0</v>
      </c>
      <c r="M256" s="52">
        <f t="shared" si="73"/>
        <v>0</v>
      </c>
      <c r="N256" s="52">
        <f t="shared" si="74"/>
        <v>0</v>
      </c>
      <c r="O256" s="52">
        <f t="shared" si="75"/>
        <v>0</v>
      </c>
    </row>
    <row r="257" spans="1:15" ht="15.9" customHeight="1">
      <c r="A257" s="48"/>
      <c r="B257" s="49"/>
      <c r="C257" s="52"/>
      <c r="D257" s="52"/>
      <c r="E257" s="52"/>
      <c r="F257" s="11"/>
      <c r="G257" s="52">
        <f t="shared" si="31"/>
        <v>0</v>
      </c>
      <c r="H257" s="11"/>
      <c r="I257" s="11"/>
      <c r="J257" s="11"/>
      <c r="K257" s="57"/>
      <c r="L257" s="52">
        <f t="shared" si="72"/>
        <v>0</v>
      </c>
      <c r="M257" s="52">
        <f t="shared" si="73"/>
        <v>0</v>
      </c>
      <c r="N257" s="52">
        <f t="shared" si="74"/>
        <v>0</v>
      </c>
      <c r="O257" s="52">
        <f t="shared" si="75"/>
        <v>0</v>
      </c>
    </row>
    <row r="258" spans="1:15" ht="15.9" customHeight="1">
      <c r="A258" s="48"/>
      <c r="B258" s="49"/>
      <c r="C258" s="52"/>
      <c r="D258" s="52"/>
      <c r="E258" s="52"/>
      <c r="F258" s="11"/>
      <c r="G258" s="52">
        <f t="shared" si="31"/>
        <v>0</v>
      </c>
      <c r="H258" s="11"/>
      <c r="I258" s="11"/>
      <c r="J258" s="11"/>
      <c r="K258" s="57"/>
      <c r="L258" s="52">
        <f t="shared" si="72"/>
        <v>0</v>
      </c>
      <c r="M258" s="52">
        <f t="shared" si="73"/>
        <v>0</v>
      </c>
      <c r="N258" s="52">
        <f t="shared" si="74"/>
        <v>0</v>
      </c>
      <c r="O258" s="52">
        <f t="shared" si="75"/>
        <v>0</v>
      </c>
    </row>
    <row r="259" spans="1:15" ht="15.9" customHeight="1">
      <c r="A259" s="48"/>
      <c r="B259" s="49"/>
      <c r="C259" s="52"/>
      <c r="D259" s="52"/>
      <c r="E259" s="52"/>
      <c r="F259" s="11"/>
      <c r="G259" s="52">
        <f t="shared" si="31"/>
        <v>0</v>
      </c>
      <c r="H259" s="11"/>
      <c r="I259" s="11"/>
      <c r="J259" s="11"/>
      <c r="K259" s="57"/>
      <c r="L259" s="52">
        <f t="shared" si="72"/>
        <v>0</v>
      </c>
      <c r="M259" s="52">
        <f t="shared" si="73"/>
        <v>0</v>
      </c>
      <c r="N259" s="52">
        <f t="shared" si="74"/>
        <v>0</v>
      </c>
      <c r="O259" s="52">
        <f t="shared" si="75"/>
        <v>0</v>
      </c>
    </row>
    <row r="260" spans="1:15" ht="15.9" customHeight="1">
      <c r="A260" s="48"/>
      <c r="B260" s="49"/>
      <c r="C260" s="52"/>
      <c r="D260" s="52"/>
      <c r="E260" s="52"/>
      <c r="F260" s="11"/>
      <c r="G260" s="52">
        <f t="shared" si="31"/>
        <v>0</v>
      </c>
      <c r="H260" s="11"/>
      <c r="I260" s="11"/>
      <c r="J260" s="11"/>
      <c r="K260" s="57"/>
      <c r="L260" s="52">
        <f t="shared" si="72"/>
        <v>0</v>
      </c>
      <c r="M260" s="52">
        <f t="shared" si="73"/>
        <v>0</v>
      </c>
      <c r="N260" s="52">
        <f t="shared" si="74"/>
        <v>0</v>
      </c>
      <c r="O260" s="52">
        <f t="shared" si="75"/>
        <v>0</v>
      </c>
    </row>
    <row r="261" spans="1:15" ht="15.9" customHeight="1">
      <c r="A261" s="48"/>
      <c r="B261" s="49"/>
      <c r="C261" s="52"/>
      <c r="D261" s="52"/>
      <c r="E261" s="52"/>
      <c r="F261" s="11"/>
      <c r="G261" s="52">
        <f t="shared" si="31"/>
        <v>0</v>
      </c>
      <c r="H261" s="11"/>
      <c r="I261" s="11"/>
      <c r="J261" s="11"/>
      <c r="K261" s="57"/>
      <c r="L261" s="52">
        <f t="shared" si="72"/>
        <v>0</v>
      </c>
      <c r="M261" s="52">
        <f t="shared" si="73"/>
        <v>0</v>
      </c>
      <c r="N261" s="52">
        <f t="shared" si="74"/>
        <v>0</v>
      </c>
      <c r="O261" s="52">
        <f t="shared" si="75"/>
        <v>0</v>
      </c>
    </row>
    <row r="262" spans="1:15" ht="15.9" customHeight="1">
      <c r="A262" s="48"/>
      <c r="B262" s="49"/>
      <c r="C262" s="52"/>
      <c r="D262" s="52"/>
      <c r="E262" s="52"/>
      <c r="F262" s="11"/>
      <c r="G262" s="52">
        <f t="shared" si="31"/>
        <v>0</v>
      </c>
      <c r="H262" s="11"/>
      <c r="I262" s="11"/>
      <c r="J262" s="11"/>
      <c r="K262" s="57"/>
      <c r="L262" s="52">
        <f t="shared" si="72"/>
        <v>0</v>
      </c>
      <c r="M262" s="52">
        <f t="shared" si="73"/>
        <v>0</v>
      </c>
      <c r="N262" s="52">
        <f t="shared" si="74"/>
        <v>0</v>
      </c>
      <c r="O262" s="52">
        <f t="shared" si="75"/>
        <v>0</v>
      </c>
    </row>
    <row r="263" spans="1:15" ht="15.9" customHeight="1">
      <c r="A263" s="48"/>
      <c r="B263" s="49"/>
      <c r="C263" s="52"/>
      <c r="D263" s="52"/>
      <c r="E263" s="52"/>
      <c r="F263" s="11"/>
      <c r="G263" s="52">
        <f t="shared" si="31"/>
        <v>0</v>
      </c>
      <c r="H263" s="11"/>
      <c r="I263" s="11"/>
      <c r="J263" s="11"/>
      <c r="K263" s="57"/>
      <c r="L263" s="52">
        <f t="shared" si="72"/>
        <v>0</v>
      </c>
      <c r="M263" s="52">
        <f t="shared" si="73"/>
        <v>0</v>
      </c>
      <c r="N263" s="52">
        <f t="shared" si="74"/>
        <v>0</v>
      </c>
      <c r="O263" s="52">
        <f t="shared" si="75"/>
        <v>0</v>
      </c>
    </row>
    <row r="264" spans="1:15" ht="15.9" customHeight="1">
      <c r="A264" s="48"/>
      <c r="B264" s="49"/>
      <c r="C264" s="52"/>
      <c r="D264" s="52"/>
      <c r="E264" s="52"/>
      <c r="F264" s="11"/>
      <c r="G264" s="52">
        <f t="shared" si="31"/>
        <v>0</v>
      </c>
      <c r="H264" s="11"/>
      <c r="I264" s="11"/>
      <c r="J264" s="11"/>
      <c r="K264" s="57"/>
      <c r="L264" s="52">
        <f t="shared" si="72"/>
        <v>0</v>
      </c>
      <c r="M264" s="52">
        <f t="shared" si="73"/>
        <v>0</v>
      </c>
      <c r="N264" s="52">
        <f t="shared" si="74"/>
        <v>0</v>
      </c>
      <c r="O264" s="52">
        <f t="shared" si="75"/>
        <v>0</v>
      </c>
    </row>
    <row r="265" spans="1:15" ht="15.9" customHeight="1">
      <c r="A265" s="48"/>
      <c r="B265" s="49"/>
      <c r="C265" s="52"/>
      <c r="D265" s="52"/>
      <c r="E265" s="52"/>
      <c r="F265" s="11"/>
      <c r="G265" s="52">
        <f t="shared" si="31"/>
        <v>0</v>
      </c>
      <c r="H265" s="11"/>
      <c r="I265" s="11"/>
      <c r="J265" s="11"/>
      <c r="K265" s="57"/>
      <c r="L265" s="52">
        <f t="shared" si="72"/>
        <v>0</v>
      </c>
      <c r="M265" s="52">
        <f t="shared" si="73"/>
        <v>0</v>
      </c>
      <c r="N265" s="52">
        <f t="shared" si="74"/>
        <v>0</v>
      </c>
      <c r="O265" s="52">
        <f t="shared" si="75"/>
        <v>0</v>
      </c>
    </row>
    <row r="266" spans="1:15" ht="15.9" customHeight="1">
      <c r="A266" s="48"/>
      <c r="B266" s="49"/>
      <c r="C266" s="52"/>
      <c r="D266" s="52"/>
      <c r="E266" s="52"/>
      <c r="F266" s="11"/>
      <c r="G266" s="52">
        <f t="shared" si="31"/>
        <v>0</v>
      </c>
      <c r="H266" s="11"/>
      <c r="I266" s="11"/>
      <c r="J266" s="11"/>
      <c r="K266" s="57"/>
      <c r="L266" s="52">
        <f t="shared" si="72"/>
        <v>0</v>
      </c>
      <c r="M266" s="52">
        <f t="shared" si="73"/>
        <v>0</v>
      </c>
      <c r="N266" s="52">
        <f t="shared" si="74"/>
        <v>0</v>
      </c>
      <c r="O266" s="52">
        <f t="shared" si="75"/>
        <v>0</v>
      </c>
    </row>
    <row r="267" spans="1:15" ht="15.9" customHeight="1">
      <c r="A267" s="48"/>
      <c r="B267" s="49"/>
      <c r="C267" s="52"/>
      <c r="D267" s="52"/>
      <c r="E267" s="52"/>
      <c r="F267" s="11"/>
      <c r="G267" s="52">
        <f t="shared" si="31"/>
        <v>0</v>
      </c>
      <c r="H267" s="11"/>
      <c r="I267" s="11"/>
      <c r="J267" s="11"/>
      <c r="K267" s="57"/>
      <c r="L267" s="52">
        <f t="shared" si="72"/>
        <v>0</v>
      </c>
      <c r="M267" s="52">
        <f t="shared" si="73"/>
        <v>0</v>
      </c>
      <c r="N267" s="52">
        <f t="shared" si="74"/>
        <v>0</v>
      </c>
      <c r="O267" s="52">
        <f t="shared" si="75"/>
        <v>0</v>
      </c>
    </row>
    <row r="268" spans="1:15" ht="15.9" customHeight="1">
      <c r="A268" s="48"/>
      <c r="B268" s="49"/>
      <c r="C268" s="52"/>
      <c r="D268" s="52"/>
      <c r="E268" s="52"/>
      <c r="F268" s="11"/>
      <c r="G268" s="52">
        <f t="shared" si="31"/>
        <v>0</v>
      </c>
      <c r="H268" s="11"/>
      <c r="I268" s="11"/>
      <c r="J268" s="11"/>
      <c r="K268" s="57"/>
      <c r="L268" s="52">
        <f t="shared" si="72"/>
        <v>0</v>
      </c>
      <c r="M268" s="52">
        <f t="shared" si="73"/>
        <v>0</v>
      </c>
      <c r="N268" s="52">
        <f t="shared" si="74"/>
        <v>0</v>
      </c>
      <c r="O268" s="52">
        <f t="shared" si="75"/>
        <v>0</v>
      </c>
    </row>
    <row r="269" spans="1:15" ht="15.9" customHeight="1">
      <c r="A269" s="48"/>
      <c r="B269" s="49"/>
      <c r="C269" s="52"/>
      <c r="D269" s="52"/>
      <c r="E269" s="52"/>
      <c r="F269" s="11"/>
      <c r="G269" s="52">
        <f t="shared" si="31"/>
        <v>0</v>
      </c>
      <c r="H269" s="11"/>
      <c r="I269" s="11"/>
      <c r="J269" s="11"/>
      <c r="K269" s="57"/>
      <c r="L269" s="52">
        <f t="shared" si="72"/>
        <v>0</v>
      </c>
      <c r="M269" s="52">
        <f t="shared" si="73"/>
        <v>0</v>
      </c>
      <c r="N269" s="52">
        <f t="shared" si="74"/>
        <v>0</v>
      </c>
      <c r="O269" s="52">
        <f t="shared" si="75"/>
        <v>0</v>
      </c>
    </row>
    <row r="270" spans="1:15" ht="15.9" customHeight="1">
      <c r="A270" s="48"/>
      <c r="B270" s="49"/>
      <c r="C270" s="52"/>
      <c r="D270" s="52"/>
      <c r="E270" s="52"/>
      <c r="F270" s="11"/>
      <c r="G270" s="52">
        <f t="shared" si="31"/>
        <v>0</v>
      </c>
      <c r="H270" s="11"/>
      <c r="I270" s="11"/>
      <c r="J270" s="11"/>
      <c r="K270" s="57"/>
      <c r="L270" s="52">
        <f t="shared" si="72"/>
        <v>0</v>
      </c>
      <c r="M270" s="52">
        <f t="shared" si="73"/>
        <v>0</v>
      </c>
      <c r="N270" s="52">
        <f t="shared" si="74"/>
        <v>0</v>
      </c>
      <c r="O270" s="52">
        <f t="shared" si="75"/>
        <v>0</v>
      </c>
    </row>
    <row r="271" spans="1:15" ht="15.9" customHeight="1">
      <c r="A271" s="48"/>
      <c r="B271" s="49"/>
      <c r="C271" s="52"/>
      <c r="D271" s="52"/>
      <c r="E271" s="52"/>
      <c r="F271" s="11"/>
      <c r="G271" s="52">
        <f t="shared" si="31"/>
        <v>0</v>
      </c>
      <c r="H271" s="11"/>
      <c r="I271" s="11"/>
      <c r="J271" s="11"/>
      <c r="K271" s="57"/>
      <c r="L271" s="52">
        <f t="shared" si="72"/>
        <v>0</v>
      </c>
      <c r="M271" s="52">
        <f t="shared" si="73"/>
        <v>0</v>
      </c>
      <c r="N271" s="52">
        <f t="shared" si="74"/>
        <v>0</v>
      </c>
      <c r="O271" s="52">
        <f t="shared" si="75"/>
        <v>0</v>
      </c>
    </row>
    <row r="272" spans="1:15" ht="15.9" customHeight="1">
      <c r="A272" s="48"/>
      <c r="B272" s="49"/>
      <c r="C272" s="52"/>
      <c r="D272" s="52"/>
      <c r="E272" s="52"/>
      <c r="F272" s="11"/>
      <c r="G272" s="52">
        <f t="shared" si="31"/>
        <v>0</v>
      </c>
      <c r="H272" s="11"/>
      <c r="I272" s="11"/>
      <c r="J272" s="11"/>
      <c r="K272" s="57"/>
      <c r="L272" s="52">
        <f t="shared" si="72"/>
        <v>0</v>
      </c>
      <c r="M272" s="52">
        <f t="shared" si="73"/>
        <v>0</v>
      </c>
      <c r="N272" s="52">
        <f t="shared" si="74"/>
        <v>0</v>
      </c>
      <c r="O272" s="52">
        <f t="shared" si="75"/>
        <v>0</v>
      </c>
    </row>
    <row r="273" spans="1:15" ht="15.9" customHeight="1">
      <c r="A273" s="48"/>
      <c r="B273" s="49"/>
      <c r="C273" s="52"/>
      <c r="D273" s="52"/>
      <c r="E273" s="52"/>
      <c r="F273" s="11"/>
      <c r="G273" s="52">
        <f t="shared" si="31"/>
        <v>0</v>
      </c>
      <c r="H273" s="11"/>
      <c r="I273" s="11"/>
      <c r="J273" s="11"/>
      <c r="K273" s="57"/>
      <c r="L273" s="52">
        <f t="shared" si="72"/>
        <v>0</v>
      </c>
      <c r="M273" s="52">
        <f t="shared" si="73"/>
        <v>0</v>
      </c>
      <c r="N273" s="52">
        <f t="shared" si="74"/>
        <v>0</v>
      </c>
      <c r="O273" s="52">
        <f t="shared" si="75"/>
        <v>0</v>
      </c>
    </row>
    <row r="274" spans="1:15" ht="15.9" customHeight="1">
      <c r="A274" s="48"/>
      <c r="B274" s="49"/>
      <c r="C274" s="52"/>
      <c r="D274" s="52"/>
      <c r="E274" s="52"/>
      <c r="F274" s="11"/>
      <c r="G274" s="52">
        <f t="shared" si="31"/>
        <v>0</v>
      </c>
      <c r="H274" s="11"/>
      <c r="I274" s="11"/>
      <c r="J274" s="11"/>
      <c r="K274" s="57"/>
      <c r="L274" s="52">
        <f t="shared" si="72"/>
        <v>0</v>
      </c>
      <c r="M274" s="52">
        <f t="shared" si="73"/>
        <v>0</v>
      </c>
      <c r="N274" s="52">
        <f t="shared" si="74"/>
        <v>0</v>
      </c>
      <c r="O274" s="52">
        <f t="shared" si="75"/>
        <v>0</v>
      </c>
    </row>
    <row r="275" spans="1:15" ht="15.9" customHeight="1">
      <c r="A275" s="48"/>
      <c r="B275" s="49"/>
      <c r="C275" s="52"/>
      <c r="D275" s="52"/>
      <c r="E275" s="52"/>
      <c r="F275" s="11"/>
      <c r="G275" s="52">
        <f t="shared" si="31"/>
        <v>0</v>
      </c>
      <c r="H275" s="11"/>
      <c r="I275" s="11"/>
      <c r="J275" s="11"/>
      <c r="K275" s="57"/>
      <c r="L275" s="52">
        <f t="shared" si="72"/>
        <v>0</v>
      </c>
      <c r="M275" s="52">
        <f t="shared" si="73"/>
        <v>0</v>
      </c>
      <c r="N275" s="52">
        <f t="shared" si="74"/>
        <v>0</v>
      </c>
      <c r="O275" s="52">
        <f t="shared" si="75"/>
        <v>0</v>
      </c>
    </row>
    <row r="276" spans="1:15" ht="15.9" customHeight="1">
      <c r="A276" s="48"/>
      <c r="B276" s="49"/>
      <c r="C276" s="52"/>
      <c r="D276" s="52"/>
      <c r="E276" s="52"/>
      <c r="F276" s="11"/>
      <c r="G276" s="52">
        <f t="shared" si="31"/>
        <v>0</v>
      </c>
      <c r="H276" s="11"/>
      <c r="I276" s="11"/>
      <c r="J276" s="11"/>
      <c r="K276" s="57"/>
      <c r="L276" s="52">
        <f t="shared" si="72"/>
        <v>0</v>
      </c>
      <c r="M276" s="52">
        <f t="shared" si="73"/>
        <v>0</v>
      </c>
      <c r="N276" s="52">
        <f t="shared" si="74"/>
        <v>0</v>
      </c>
      <c r="O276" s="52">
        <f t="shared" si="75"/>
        <v>0</v>
      </c>
    </row>
    <row r="277" spans="1:15" ht="15.9" customHeight="1">
      <c r="A277" s="48"/>
      <c r="B277" s="49"/>
      <c r="C277" s="52"/>
      <c r="D277" s="52"/>
      <c r="E277" s="52"/>
      <c r="F277" s="11"/>
      <c r="G277" s="52">
        <f t="shared" si="31"/>
        <v>0</v>
      </c>
      <c r="H277" s="11"/>
      <c r="I277" s="11"/>
      <c r="J277" s="11"/>
      <c r="K277" s="57"/>
      <c r="L277" s="52">
        <f t="shared" si="72"/>
        <v>0</v>
      </c>
      <c r="M277" s="52">
        <f t="shared" si="73"/>
        <v>0</v>
      </c>
      <c r="N277" s="52">
        <f t="shared" si="74"/>
        <v>0</v>
      </c>
      <c r="O277" s="52">
        <f t="shared" si="75"/>
        <v>0</v>
      </c>
    </row>
    <row r="278" spans="1:15" ht="15.9" customHeight="1">
      <c r="A278" s="48"/>
      <c r="B278" s="49"/>
      <c r="C278" s="52"/>
      <c r="D278" s="52"/>
      <c r="E278" s="52"/>
      <c r="F278" s="11"/>
      <c r="G278" s="52">
        <f t="shared" si="31"/>
        <v>0</v>
      </c>
      <c r="H278" s="11"/>
      <c r="I278" s="11"/>
      <c r="J278" s="11"/>
      <c r="K278" s="57"/>
      <c r="L278" s="52">
        <f t="shared" si="72"/>
        <v>0</v>
      </c>
      <c r="M278" s="52">
        <f t="shared" si="73"/>
        <v>0</v>
      </c>
      <c r="N278" s="52">
        <f t="shared" si="74"/>
        <v>0</v>
      </c>
      <c r="O278" s="52">
        <f t="shared" si="75"/>
        <v>0</v>
      </c>
    </row>
    <row r="279" spans="1:15" ht="15.9" customHeight="1">
      <c r="A279" s="48"/>
      <c r="B279" s="49"/>
      <c r="C279" s="52"/>
      <c r="D279" s="52"/>
      <c r="E279" s="52"/>
      <c r="F279" s="11"/>
      <c r="G279" s="52">
        <f t="shared" si="31"/>
        <v>0</v>
      </c>
      <c r="H279" s="11"/>
      <c r="I279" s="11"/>
      <c r="J279" s="11"/>
      <c r="K279" s="57"/>
      <c r="L279" s="52">
        <f t="shared" si="72"/>
        <v>0</v>
      </c>
      <c r="M279" s="52">
        <f t="shared" si="73"/>
        <v>0</v>
      </c>
      <c r="N279" s="52">
        <f t="shared" si="74"/>
        <v>0</v>
      </c>
      <c r="O279" s="52">
        <f t="shared" si="75"/>
        <v>0</v>
      </c>
    </row>
    <row r="280" spans="1:15" ht="15.9" customHeight="1">
      <c r="A280" s="48"/>
      <c r="B280" s="49"/>
      <c r="C280" s="52"/>
      <c r="D280" s="52"/>
      <c r="E280" s="52"/>
      <c r="F280" s="11"/>
      <c r="G280" s="52">
        <f t="shared" si="31"/>
        <v>0</v>
      </c>
      <c r="H280" s="11"/>
      <c r="I280" s="11"/>
      <c r="J280" s="11"/>
      <c r="K280" s="57"/>
      <c r="L280" s="52">
        <f t="shared" si="72"/>
        <v>0</v>
      </c>
      <c r="M280" s="52">
        <f t="shared" si="73"/>
        <v>0</v>
      </c>
      <c r="N280" s="52">
        <f t="shared" si="74"/>
        <v>0</v>
      </c>
      <c r="O280" s="52">
        <f t="shared" si="75"/>
        <v>0</v>
      </c>
    </row>
    <row r="281" spans="1:15" ht="15.9" customHeight="1">
      <c r="A281" s="48"/>
      <c r="B281" s="49"/>
      <c r="C281" s="52"/>
      <c r="D281" s="52"/>
      <c r="E281" s="52"/>
      <c r="F281" s="11"/>
      <c r="G281" s="52">
        <f t="shared" si="31"/>
        <v>0</v>
      </c>
      <c r="H281" s="11"/>
      <c r="I281" s="11"/>
      <c r="J281" s="11"/>
      <c r="K281" s="57"/>
      <c r="L281" s="52">
        <f t="shared" si="72"/>
        <v>0</v>
      </c>
      <c r="M281" s="52">
        <f t="shared" si="73"/>
        <v>0</v>
      </c>
      <c r="N281" s="52">
        <f t="shared" si="74"/>
        <v>0</v>
      </c>
      <c r="O281" s="52">
        <f t="shared" si="75"/>
        <v>0</v>
      </c>
    </row>
    <row r="282" spans="1:15" ht="15.9" customHeight="1">
      <c r="A282" s="48"/>
      <c r="B282" s="49"/>
      <c r="C282" s="52"/>
      <c r="D282" s="52"/>
      <c r="E282" s="52"/>
      <c r="F282" s="11"/>
      <c r="G282" s="52">
        <f t="shared" si="31"/>
        <v>0</v>
      </c>
      <c r="H282" s="11"/>
      <c r="I282" s="11"/>
      <c r="J282" s="11"/>
      <c r="K282" s="57"/>
      <c r="L282" s="52">
        <f t="shared" si="72"/>
        <v>0</v>
      </c>
      <c r="M282" s="52">
        <f t="shared" si="73"/>
        <v>0</v>
      </c>
      <c r="N282" s="52">
        <f t="shared" si="74"/>
        <v>0</v>
      </c>
      <c r="O282" s="52">
        <f t="shared" si="75"/>
        <v>0</v>
      </c>
    </row>
    <row r="283" spans="1:15" ht="15.9" customHeight="1">
      <c r="A283" s="48"/>
      <c r="B283" s="49"/>
      <c r="C283" s="52"/>
      <c r="D283" s="52"/>
      <c r="E283" s="52"/>
      <c r="F283" s="11"/>
      <c r="G283" s="52">
        <f t="shared" si="31"/>
        <v>0</v>
      </c>
      <c r="H283" s="11"/>
      <c r="I283" s="11"/>
      <c r="J283" s="11"/>
      <c r="K283" s="57"/>
      <c r="L283" s="52">
        <f t="shared" si="72"/>
        <v>0</v>
      </c>
      <c r="M283" s="52">
        <f t="shared" si="73"/>
        <v>0</v>
      </c>
      <c r="N283" s="52">
        <f t="shared" si="74"/>
        <v>0</v>
      </c>
      <c r="O283" s="52">
        <f t="shared" si="75"/>
        <v>0</v>
      </c>
    </row>
    <row r="284" spans="1:15" ht="15.9" customHeight="1">
      <c r="A284" s="48"/>
      <c r="B284" s="49"/>
      <c r="C284" s="52"/>
      <c r="D284" s="52"/>
      <c r="E284" s="52"/>
      <c r="F284" s="11"/>
      <c r="G284" s="52">
        <f t="shared" si="31"/>
        <v>0</v>
      </c>
      <c r="H284" s="11"/>
      <c r="I284" s="11"/>
      <c r="J284" s="11"/>
      <c r="K284" s="57"/>
      <c r="L284" s="52">
        <f t="shared" si="72"/>
        <v>0</v>
      </c>
      <c r="M284" s="52">
        <f t="shared" si="73"/>
        <v>0</v>
      </c>
      <c r="N284" s="52">
        <f t="shared" si="74"/>
        <v>0</v>
      </c>
      <c r="O284" s="52">
        <f t="shared" si="75"/>
        <v>0</v>
      </c>
    </row>
    <row r="285" spans="1:15" ht="15.9" customHeight="1">
      <c r="A285" s="48"/>
      <c r="B285" s="49"/>
      <c r="C285" s="52"/>
      <c r="D285" s="52"/>
      <c r="E285" s="52"/>
      <c r="F285" s="11"/>
      <c r="G285" s="52">
        <f t="shared" si="31"/>
        <v>0</v>
      </c>
      <c r="H285" s="11"/>
      <c r="I285" s="11"/>
      <c r="J285" s="11"/>
      <c r="K285" s="57"/>
      <c r="L285" s="52">
        <f t="shared" si="72"/>
        <v>0</v>
      </c>
      <c r="M285" s="52">
        <f t="shared" si="73"/>
        <v>0</v>
      </c>
      <c r="N285" s="52">
        <f t="shared" si="74"/>
        <v>0</v>
      </c>
      <c r="O285" s="52">
        <f t="shared" si="75"/>
        <v>0</v>
      </c>
    </row>
    <row r="286" spans="1:15" ht="15.9" customHeight="1">
      <c r="A286" s="48"/>
      <c r="B286" s="49"/>
      <c r="C286" s="52"/>
      <c r="D286" s="52"/>
      <c r="E286" s="52"/>
      <c r="F286" s="11"/>
      <c r="G286" s="52">
        <f t="shared" si="31"/>
        <v>0</v>
      </c>
      <c r="H286" s="11"/>
      <c r="I286" s="11"/>
      <c r="J286" s="11"/>
      <c r="K286" s="57"/>
      <c r="L286" s="52">
        <f t="shared" si="72"/>
        <v>0</v>
      </c>
      <c r="M286" s="52">
        <f t="shared" si="73"/>
        <v>0</v>
      </c>
      <c r="N286" s="52">
        <f t="shared" si="74"/>
        <v>0</v>
      </c>
      <c r="O286" s="52">
        <f t="shared" si="75"/>
        <v>0</v>
      </c>
    </row>
    <row r="287" spans="1:15" ht="15.9" customHeight="1">
      <c r="A287" s="48"/>
      <c r="B287" s="49"/>
      <c r="C287" s="52"/>
      <c r="D287" s="52"/>
      <c r="E287" s="52"/>
      <c r="F287" s="11"/>
      <c r="G287" s="52">
        <f t="shared" si="31"/>
        <v>0</v>
      </c>
      <c r="H287" s="11"/>
      <c r="I287" s="11"/>
      <c r="J287" s="11"/>
      <c r="K287" s="57"/>
      <c r="L287" s="52">
        <f t="shared" si="72"/>
        <v>0</v>
      </c>
      <c r="M287" s="52">
        <f t="shared" si="73"/>
        <v>0</v>
      </c>
      <c r="N287" s="52">
        <f t="shared" si="74"/>
        <v>0</v>
      </c>
      <c r="O287" s="52">
        <f t="shared" si="75"/>
        <v>0</v>
      </c>
    </row>
    <row r="288" spans="1:15" ht="15.9" customHeight="1">
      <c r="A288" s="48"/>
      <c r="B288" s="49"/>
      <c r="C288" s="52"/>
      <c r="D288" s="52"/>
      <c r="E288" s="52"/>
      <c r="F288" s="11"/>
      <c r="G288" s="52">
        <f t="shared" si="31"/>
        <v>0</v>
      </c>
      <c r="H288" s="11"/>
      <c r="I288" s="11"/>
      <c r="J288" s="11"/>
      <c r="K288" s="57"/>
      <c r="L288" s="52">
        <f t="shared" si="72"/>
        <v>0</v>
      </c>
      <c r="M288" s="52">
        <f t="shared" si="73"/>
        <v>0</v>
      </c>
      <c r="N288" s="52">
        <f t="shared" si="74"/>
        <v>0</v>
      </c>
      <c r="O288" s="52">
        <f t="shared" si="75"/>
        <v>0</v>
      </c>
    </row>
    <row r="289" spans="1:17" ht="15.9" customHeight="1">
      <c r="A289" s="48"/>
      <c r="B289" s="49"/>
      <c r="C289" s="52"/>
      <c r="D289" s="52"/>
      <c r="E289" s="52"/>
      <c r="F289" s="11"/>
      <c r="G289" s="52">
        <f t="shared" si="31"/>
        <v>0</v>
      </c>
      <c r="H289" s="11"/>
      <c r="I289" s="11"/>
      <c r="J289" s="11"/>
      <c r="K289" s="57"/>
      <c r="L289" s="52">
        <f t="shared" si="72"/>
        <v>0</v>
      </c>
      <c r="M289" s="52">
        <f t="shared" si="73"/>
        <v>0</v>
      </c>
      <c r="N289" s="52">
        <f t="shared" si="74"/>
        <v>0</v>
      </c>
      <c r="O289" s="52">
        <f t="shared" si="75"/>
        <v>0</v>
      </c>
    </row>
    <row r="290" spans="1:17" ht="15.9" customHeight="1">
      <c r="A290" s="48"/>
      <c r="B290" s="49"/>
      <c r="C290" s="52"/>
      <c r="D290" s="52"/>
      <c r="E290" s="52"/>
      <c r="F290" s="11"/>
      <c r="G290" s="52">
        <f t="shared" si="31"/>
        <v>0</v>
      </c>
      <c r="H290" s="11"/>
      <c r="I290" s="11"/>
      <c r="J290" s="11"/>
      <c r="K290" s="57"/>
      <c r="L290" s="52">
        <f t="shared" si="72"/>
        <v>0</v>
      </c>
      <c r="M290" s="52">
        <f t="shared" si="73"/>
        <v>0</v>
      </c>
      <c r="N290" s="52">
        <f t="shared" si="74"/>
        <v>0</v>
      </c>
      <c r="O290" s="52">
        <f t="shared" si="75"/>
        <v>0</v>
      </c>
    </row>
    <row r="291" spans="1:17" ht="15.9" customHeight="1">
      <c r="A291" s="48"/>
      <c r="B291" s="49"/>
      <c r="C291" s="52"/>
      <c r="D291" s="52"/>
      <c r="E291" s="52"/>
      <c r="F291" s="11"/>
      <c r="G291" s="52">
        <f t="shared" si="31"/>
        <v>0</v>
      </c>
      <c r="H291" s="11"/>
      <c r="I291" s="11"/>
      <c r="J291" s="11"/>
      <c r="K291" s="57"/>
      <c r="L291" s="52">
        <f t="shared" si="72"/>
        <v>0</v>
      </c>
      <c r="M291" s="52">
        <f t="shared" si="73"/>
        <v>0</v>
      </c>
      <c r="N291" s="52">
        <f t="shared" si="74"/>
        <v>0</v>
      </c>
      <c r="O291" s="52">
        <f t="shared" si="75"/>
        <v>0</v>
      </c>
    </row>
    <row r="292" spans="1:17" ht="15.9" customHeight="1">
      <c r="A292" s="48"/>
      <c r="B292" s="49"/>
      <c r="C292" s="52"/>
      <c r="D292" s="52"/>
      <c r="E292" s="52"/>
      <c r="F292" s="11"/>
      <c r="G292" s="52">
        <f t="shared" si="31"/>
        <v>0</v>
      </c>
      <c r="H292" s="11"/>
      <c r="I292" s="11"/>
      <c r="J292" s="11"/>
      <c r="K292" s="57"/>
      <c r="L292" s="52">
        <f t="shared" si="72"/>
        <v>0</v>
      </c>
      <c r="M292" s="52">
        <f t="shared" si="73"/>
        <v>0</v>
      </c>
      <c r="N292" s="52">
        <f t="shared" si="74"/>
        <v>0</v>
      </c>
      <c r="O292" s="52">
        <f t="shared" si="75"/>
        <v>0</v>
      </c>
    </row>
    <row r="293" spans="1:17" ht="15.9" customHeight="1">
      <c r="A293" s="48"/>
      <c r="B293" s="49"/>
      <c r="C293" s="52"/>
      <c r="D293" s="52"/>
      <c r="E293" s="52"/>
      <c r="F293" s="11"/>
      <c r="G293" s="52">
        <f t="shared" si="31"/>
        <v>0</v>
      </c>
      <c r="H293" s="11"/>
      <c r="I293" s="11"/>
      <c r="J293" s="11"/>
      <c r="K293" s="57"/>
      <c r="L293" s="52">
        <f t="shared" si="72"/>
        <v>0</v>
      </c>
      <c r="M293" s="52">
        <f t="shared" si="73"/>
        <v>0</v>
      </c>
      <c r="N293" s="52">
        <f t="shared" si="74"/>
        <v>0</v>
      </c>
      <c r="O293" s="52">
        <f t="shared" si="75"/>
        <v>0</v>
      </c>
    </row>
    <row r="294" spans="1:17" ht="15.9" customHeight="1">
      <c r="A294" s="48"/>
      <c r="B294" s="49"/>
      <c r="C294" s="52"/>
      <c r="D294" s="52"/>
      <c r="E294" s="52"/>
      <c r="F294" s="11"/>
      <c r="G294" s="52">
        <f t="shared" si="31"/>
        <v>0</v>
      </c>
      <c r="H294" s="11"/>
      <c r="I294" s="11"/>
      <c r="J294" s="11"/>
      <c r="K294" s="57"/>
      <c r="L294" s="52">
        <f t="shared" si="72"/>
        <v>0</v>
      </c>
      <c r="M294" s="52">
        <f t="shared" si="73"/>
        <v>0</v>
      </c>
      <c r="N294" s="52">
        <f t="shared" si="74"/>
        <v>0</v>
      </c>
      <c r="O294" s="52">
        <f t="shared" si="75"/>
        <v>0</v>
      </c>
    </row>
    <row r="295" spans="1:17" ht="15.9" customHeight="1">
      <c r="A295" s="48"/>
      <c r="B295" s="49"/>
      <c r="C295" s="52"/>
      <c r="D295" s="52"/>
      <c r="E295" s="52"/>
      <c r="F295" s="11"/>
      <c r="G295" s="52">
        <f t="shared" si="31"/>
        <v>0</v>
      </c>
      <c r="H295" s="11"/>
      <c r="I295" s="11"/>
      <c r="J295" s="11"/>
      <c r="K295" s="57"/>
      <c r="L295" s="52">
        <f t="shared" si="72"/>
        <v>0</v>
      </c>
      <c r="M295" s="52">
        <f t="shared" si="73"/>
        <v>0</v>
      </c>
      <c r="N295" s="52">
        <f t="shared" si="74"/>
        <v>0</v>
      </c>
      <c r="O295" s="52">
        <f t="shared" si="75"/>
        <v>0</v>
      </c>
    </row>
    <row r="296" spans="1:17" ht="15.9" customHeight="1">
      <c r="A296" s="48"/>
      <c r="B296" s="49"/>
      <c r="C296" s="52"/>
      <c r="D296" s="52"/>
      <c r="E296" s="52"/>
      <c r="F296" s="11"/>
      <c r="G296" s="52">
        <f t="shared" si="31"/>
        <v>0</v>
      </c>
      <c r="H296" s="11"/>
      <c r="I296" s="11"/>
      <c r="J296" s="11"/>
      <c r="K296" s="57"/>
      <c r="L296" s="52">
        <f t="shared" si="72"/>
        <v>0</v>
      </c>
      <c r="M296" s="52">
        <f t="shared" si="73"/>
        <v>0</v>
      </c>
      <c r="N296" s="52">
        <f t="shared" si="74"/>
        <v>0</v>
      </c>
      <c r="O296" s="52">
        <f t="shared" si="75"/>
        <v>0</v>
      </c>
    </row>
    <row r="297" spans="1:17" ht="15.9" customHeight="1">
      <c r="A297" s="48"/>
      <c r="B297" s="49"/>
      <c r="C297" s="52"/>
      <c r="D297" s="52"/>
      <c r="E297" s="52"/>
      <c r="F297" s="11"/>
      <c r="G297" s="52">
        <f t="shared" si="31"/>
        <v>0</v>
      </c>
      <c r="H297" s="11"/>
      <c r="I297" s="11"/>
      <c r="J297" s="11"/>
      <c r="K297" s="57"/>
      <c r="L297" s="52">
        <f t="shared" si="72"/>
        <v>0</v>
      </c>
      <c r="M297" s="52">
        <f t="shared" si="73"/>
        <v>0</v>
      </c>
      <c r="N297" s="52">
        <f t="shared" si="74"/>
        <v>0</v>
      </c>
      <c r="O297" s="52">
        <f t="shared" si="75"/>
        <v>0</v>
      </c>
    </row>
    <row r="298" spans="1:17" ht="15.9" customHeight="1">
      <c r="A298" s="48"/>
      <c r="B298" s="49"/>
      <c r="C298" s="52"/>
      <c r="D298" s="52"/>
      <c r="E298" s="52"/>
      <c r="F298" s="11"/>
      <c r="G298" s="52">
        <f t="shared" si="31"/>
        <v>0</v>
      </c>
      <c r="H298" s="11"/>
      <c r="I298" s="11"/>
      <c r="J298" s="11"/>
      <c r="K298" s="57"/>
      <c r="L298" s="52">
        <f t="shared" si="72"/>
        <v>0</v>
      </c>
      <c r="M298" s="52">
        <f t="shared" si="73"/>
        <v>0</v>
      </c>
      <c r="N298" s="52">
        <f t="shared" si="74"/>
        <v>0</v>
      </c>
      <c r="O298" s="52">
        <f t="shared" si="75"/>
        <v>0</v>
      </c>
    </row>
    <row r="299" spans="1:17" ht="15.9" customHeight="1">
      <c r="A299" s="48"/>
      <c r="B299" s="49"/>
      <c r="C299" s="52"/>
      <c r="D299" s="52"/>
      <c r="E299" s="52"/>
      <c r="F299" s="11"/>
      <c r="G299" s="52">
        <f t="shared" si="31"/>
        <v>0</v>
      </c>
      <c r="H299" s="11"/>
      <c r="I299" s="11"/>
      <c r="J299" s="11"/>
      <c r="K299" s="57"/>
      <c r="L299" s="52">
        <f t="shared" si="72"/>
        <v>0</v>
      </c>
      <c r="M299" s="52">
        <f t="shared" si="73"/>
        <v>0</v>
      </c>
      <c r="N299" s="52">
        <f t="shared" si="74"/>
        <v>0</v>
      </c>
      <c r="O299" s="52">
        <f t="shared" si="75"/>
        <v>0</v>
      </c>
    </row>
    <row r="300" spans="1:17" ht="15.9" customHeight="1">
      <c r="A300" s="48"/>
      <c r="B300" s="49"/>
      <c r="C300" s="52"/>
      <c r="D300" s="52"/>
      <c r="E300" s="52"/>
      <c r="F300" s="11"/>
      <c r="G300" s="52">
        <f t="shared" si="31"/>
        <v>0</v>
      </c>
      <c r="H300" s="11"/>
      <c r="I300" s="11"/>
      <c r="J300" s="11"/>
      <c r="K300" s="57"/>
      <c r="L300" s="52">
        <f t="shared" si="72"/>
        <v>0</v>
      </c>
      <c r="M300" s="52">
        <f t="shared" si="73"/>
        <v>0</v>
      </c>
      <c r="N300" s="52">
        <f t="shared" si="74"/>
        <v>0</v>
      </c>
      <c r="O300" s="52">
        <f t="shared" si="75"/>
        <v>0</v>
      </c>
    </row>
    <row r="301" spans="1:17" ht="15.9" customHeight="1">
      <c r="A301" s="48"/>
      <c r="B301" s="49"/>
      <c r="C301" s="52"/>
      <c r="D301" s="52"/>
      <c r="E301" s="52"/>
      <c r="F301" s="11"/>
      <c r="G301" s="52">
        <f t="shared" si="31"/>
        <v>0</v>
      </c>
      <c r="H301" s="11"/>
      <c r="I301" s="11"/>
      <c r="J301" s="11"/>
      <c r="K301" s="57"/>
      <c r="L301" s="52">
        <f t="shared" si="72"/>
        <v>0</v>
      </c>
      <c r="M301" s="52">
        <f t="shared" si="73"/>
        <v>0</v>
      </c>
      <c r="N301" s="52">
        <f t="shared" si="74"/>
        <v>0</v>
      </c>
      <c r="O301" s="52">
        <f t="shared" si="75"/>
        <v>0</v>
      </c>
    </row>
    <row r="302" spans="1:17" ht="15.9" customHeight="1">
      <c r="A302" s="48"/>
      <c r="B302" s="49"/>
      <c r="C302" s="52"/>
      <c r="D302" s="52"/>
      <c r="E302" s="52"/>
      <c r="F302" s="11"/>
      <c r="G302" s="52">
        <f t="shared" si="31"/>
        <v>0</v>
      </c>
      <c r="H302" s="11"/>
      <c r="I302" s="11"/>
      <c r="J302" s="11"/>
      <c r="K302" s="57"/>
      <c r="L302" s="52">
        <f t="shared" ref="L302:L319" si="76">G302*H302/100</f>
        <v>0</v>
      </c>
      <c r="M302" s="52">
        <f t="shared" ref="M302:M319" si="77">G302*I302/100</f>
        <v>0</v>
      </c>
      <c r="N302" s="52">
        <f t="shared" ref="N302:N319" si="78">G302*J302/100</f>
        <v>0</v>
      </c>
      <c r="O302" s="52">
        <f t="shared" ref="O302:O319" si="79">G302*K302/1000</f>
        <v>0</v>
      </c>
    </row>
    <row r="303" spans="1:17" ht="15.9" customHeight="1">
      <c r="A303" s="48"/>
      <c r="B303" s="49"/>
      <c r="C303" s="52"/>
      <c r="D303" s="52"/>
      <c r="E303" s="52"/>
      <c r="F303" s="11"/>
      <c r="G303" s="52">
        <f t="shared" si="31"/>
        <v>0</v>
      </c>
      <c r="H303" s="11"/>
      <c r="I303" s="11"/>
      <c r="J303" s="11"/>
      <c r="K303" s="57"/>
      <c r="L303" s="52">
        <f t="shared" si="76"/>
        <v>0</v>
      </c>
      <c r="M303" s="52">
        <f t="shared" si="77"/>
        <v>0</v>
      </c>
      <c r="N303" s="52">
        <f t="shared" si="78"/>
        <v>0</v>
      </c>
      <c r="O303" s="52">
        <f t="shared" si="79"/>
        <v>0</v>
      </c>
    </row>
    <row r="304" spans="1:17" ht="15.9" customHeight="1">
      <c r="A304" s="48"/>
      <c r="B304" s="49"/>
      <c r="C304" s="52"/>
      <c r="D304" s="52"/>
      <c r="E304" s="52"/>
      <c r="F304" s="11"/>
      <c r="G304" s="52">
        <f t="shared" si="31"/>
        <v>0</v>
      </c>
      <c r="H304" s="11"/>
      <c r="I304" s="11"/>
      <c r="J304" s="11"/>
      <c r="K304" s="57"/>
      <c r="L304" s="52">
        <f t="shared" ref="L304:L308" si="80">G304*H304/100</f>
        <v>0</v>
      </c>
      <c r="M304" s="52">
        <f t="shared" ref="M304:M308" si="81">G304*I304/100</f>
        <v>0</v>
      </c>
      <c r="N304" s="52">
        <f t="shared" ref="N304:N308" si="82">G304*J304/100</f>
        <v>0</v>
      </c>
      <c r="O304" s="52">
        <f t="shared" ref="O304:O308" si="83">G304*K304/1000</f>
        <v>0</v>
      </c>
      <c r="P304" s="40"/>
      <c r="Q304" s="40"/>
    </row>
    <row r="305" spans="1:17" ht="15.9" customHeight="1">
      <c r="A305" s="62"/>
      <c r="B305" s="49"/>
      <c r="C305" s="52"/>
      <c r="D305" s="52"/>
      <c r="E305" s="52"/>
      <c r="F305" s="11"/>
      <c r="G305" s="52">
        <f t="shared" si="31"/>
        <v>0</v>
      </c>
      <c r="H305" s="11"/>
      <c r="I305" s="63"/>
      <c r="J305" s="11"/>
      <c r="K305" s="57"/>
      <c r="L305" s="52">
        <f t="shared" si="80"/>
        <v>0</v>
      </c>
      <c r="M305" s="52">
        <f t="shared" si="81"/>
        <v>0</v>
      </c>
      <c r="N305" s="52">
        <f t="shared" si="82"/>
        <v>0</v>
      </c>
      <c r="O305" s="52">
        <f t="shared" si="83"/>
        <v>0</v>
      </c>
      <c r="P305" s="40"/>
      <c r="Q305" s="40"/>
    </row>
    <row r="306" spans="1:17" ht="15.9" customHeight="1">
      <c r="A306" s="48"/>
      <c r="B306" s="49"/>
      <c r="C306" s="52"/>
      <c r="D306" s="52"/>
      <c r="E306" s="52"/>
      <c r="F306" s="11"/>
      <c r="G306" s="52">
        <f t="shared" si="31"/>
        <v>0</v>
      </c>
      <c r="H306" s="11"/>
      <c r="I306" s="11"/>
      <c r="J306" s="11"/>
      <c r="K306" s="57"/>
      <c r="L306" s="52">
        <f t="shared" si="80"/>
        <v>0</v>
      </c>
      <c r="M306" s="52">
        <f t="shared" si="81"/>
        <v>0</v>
      </c>
      <c r="N306" s="52">
        <f t="shared" si="82"/>
        <v>0</v>
      </c>
      <c r="O306" s="52">
        <f t="shared" si="83"/>
        <v>0</v>
      </c>
      <c r="P306" s="40"/>
      <c r="Q306" s="40"/>
    </row>
    <row r="307" spans="1:17" ht="15.9" customHeight="1">
      <c r="A307" s="48"/>
      <c r="B307" s="49"/>
      <c r="C307" s="52"/>
      <c r="D307" s="52"/>
      <c r="E307" s="52"/>
      <c r="F307" s="11"/>
      <c r="G307" s="52">
        <f t="shared" si="31"/>
        <v>0</v>
      </c>
      <c r="H307" s="11"/>
      <c r="I307" s="11"/>
      <c r="J307" s="11"/>
      <c r="K307" s="57"/>
      <c r="L307" s="52">
        <f t="shared" si="80"/>
        <v>0</v>
      </c>
      <c r="M307" s="52">
        <f t="shared" si="81"/>
        <v>0</v>
      </c>
      <c r="N307" s="52">
        <f t="shared" si="82"/>
        <v>0</v>
      </c>
      <c r="O307" s="52">
        <f t="shared" si="83"/>
        <v>0</v>
      </c>
      <c r="P307" s="40"/>
      <c r="Q307" s="40"/>
    </row>
    <row r="308" spans="1:17" ht="15.9" customHeight="1">
      <c r="A308" s="48"/>
      <c r="B308" s="49"/>
      <c r="C308" s="52"/>
      <c r="D308" s="52"/>
      <c r="E308" s="52"/>
      <c r="F308" s="11"/>
      <c r="G308" s="52">
        <f t="shared" si="31"/>
        <v>0</v>
      </c>
      <c r="H308" s="11"/>
      <c r="I308" s="11"/>
      <c r="J308" s="11"/>
      <c r="K308" s="57"/>
      <c r="L308" s="52">
        <f t="shared" si="80"/>
        <v>0</v>
      </c>
      <c r="M308" s="52">
        <f t="shared" si="81"/>
        <v>0</v>
      </c>
      <c r="N308" s="52">
        <f t="shared" si="82"/>
        <v>0</v>
      </c>
      <c r="O308" s="52">
        <f t="shared" si="83"/>
        <v>0</v>
      </c>
      <c r="P308" s="40"/>
      <c r="Q308" s="40"/>
    </row>
    <row r="309" spans="1:17" ht="15.9" customHeight="1">
      <c r="A309" s="48"/>
      <c r="B309" s="49"/>
      <c r="C309" s="52"/>
      <c r="D309" s="52"/>
      <c r="E309" s="52"/>
      <c r="F309" s="11"/>
      <c r="G309" s="52">
        <f t="shared" si="31"/>
        <v>0</v>
      </c>
      <c r="H309" s="11"/>
      <c r="I309" s="11"/>
      <c r="J309" s="11"/>
      <c r="K309" s="57"/>
      <c r="L309" s="52">
        <f t="shared" si="76"/>
        <v>0</v>
      </c>
      <c r="M309" s="52">
        <f t="shared" si="77"/>
        <v>0</v>
      </c>
      <c r="N309" s="52">
        <f t="shared" si="78"/>
        <v>0</v>
      </c>
      <c r="O309" s="52">
        <f t="shared" si="79"/>
        <v>0</v>
      </c>
      <c r="P309" s="40"/>
      <c r="Q309" s="40"/>
    </row>
    <row r="310" spans="1:17" ht="15.9" customHeight="1">
      <c r="A310" s="48"/>
      <c r="B310" s="49"/>
      <c r="C310" s="52"/>
      <c r="D310" s="52"/>
      <c r="E310" s="52"/>
      <c r="F310" s="11"/>
      <c r="G310" s="52">
        <f t="shared" si="31"/>
        <v>0</v>
      </c>
      <c r="H310" s="11"/>
      <c r="I310" s="11"/>
      <c r="J310" s="11"/>
      <c r="K310" s="57"/>
      <c r="L310" s="52">
        <f t="shared" si="76"/>
        <v>0</v>
      </c>
      <c r="M310" s="52">
        <f t="shared" si="77"/>
        <v>0</v>
      </c>
      <c r="N310" s="52">
        <f t="shared" si="78"/>
        <v>0</v>
      </c>
      <c r="O310" s="52">
        <f t="shared" si="79"/>
        <v>0</v>
      </c>
      <c r="P310" s="40"/>
      <c r="Q310" s="40"/>
    </row>
    <row r="311" spans="1:17" ht="15.9" customHeight="1">
      <c r="A311" s="48"/>
      <c r="B311" s="49"/>
      <c r="C311" s="52"/>
      <c r="D311" s="52"/>
      <c r="E311" s="52"/>
      <c r="F311" s="11"/>
      <c r="G311" s="52">
        <f t="shared" si="31"/>
        <v>0</v>
      </c>
      <c r="H311" s="11"/>
      <c r="I311" s="11"/>
      <c r="J311" s="11"/>
      <c r="K311" s="57"/>
      <c r="L311" s="52">
        <f t="shared" si="76"/>
        <v>0</v>
      </c>
      <c r="M311" s="52">
        <f t="shared" si="77"/>
        <v>0</v>
      </c>
      <c r="N311" s="52">
        <f t="shared" si="78"/>
        <v>0</v>
      </c>
      <c r="O311" s="52">
        <f t="shared" si="79"/>
        <v>0</v>
      </c>
      <c r="P311" s="40"/>
      <c r="Q311" s="40"/>
    </row>
    <row r="312" spans="1:17" ht="15.9" customHeight="1">
      <c r="A312" s="48"/>
      <c r="B312" s="49"/>
      <c r="C312" s="52"/>
      <c r="D312" s="52"/>
      <c r="E312" s="52"/>
      <c r="F312" s="11"/>
      <c r="G312" s="52">
        <f t="shared" si="31"/>
        <v>0</v>
      </c>
      <c r="H312" s="11"/>
      <c r="I312" s="11"/>
      <c r="J312" s="11"/>
      <c r="K312" s="57"/>
      <c r="L312" s="52">
        <f t="shared" si="76"/>
        <v>0</v>
      </c>
      <c r="M312" s="52">
        <f t="shared" si="77"/>
        <v>0</v>
      </c>
      <c r="N312" s="52">
        <f t="shared" si="78"/>
        <v>0</v>
      </c>
      <c r="O312" s="52">
        <f t="shared" si="79"/>
        <v>0</v>
      </c>
      <c r="P312" s="40"/>
      <c r="Q312" s="40"/>
    </row>
    <row r="313" spans="1:17" ht="15.9" customHeight="1">
      <c r="A313" s="48"/>
      <c r="B313" s="49"/>
      <c r="C313" s="52"/>
      <c r="D313" s="52"/>
      <c r="E313" s="52"/>
      <c r="F313" s="11"/>
      <c r="G313" s="52">
        <f t="shared" si="31"/>
        <v>0</v>
      </c>
      <c r="H313" s="11"/>
      <c r="I313" s="11"/>
      <c r="J313" s="11"/>
      <c r="K313" s="57"/>
      <c r="L313" s="52">
        <f t="shared" si="76"/>
        <v>0</v>
      </c>
      <c r="M313" s="52">
        <f t="shared" si="77"/>
        <v>0</v>
      </c>
      <c r="N313" s="52">
        <f t="shared" si="78"/>
        <v>0</v>
      </c>
      <c r="O313" s="52">
        <f t="shared" si="79"/>
        <v>0</v>
      </c>
      <c r="P313" s="40"/>
      <c r="Q313" s="40"/>
    </row>
    <row r="314" spans="1:17" ht="15.9" customHeight="1">
      <c r="A314" s="48"/>
      <c r="B314" s="49"/>
      <c r="C314" s="52"/>
      <c r="D314" s="52"/>
      <c r="E314" s="52"/>
      <c r="F314" s="11"/>
      <c r="G314" s="52">
        <f t="shared" si="31"/>
        <v>0</v>
      </c>
      <c r="H314" s="11"/>
      <c r="I314" s="11"/>
      <c r="J314" s="11"/>
      <c r="K314" s="57"/>
      <c r="L314" s="52">
        <f t="shared" si="76"/>
        <v>0</v>
      </c>
      <c r="M314" s="52">
        <f t="shared" si="77"/>
        <v>0</v>
      </c>
      <c r="N314" s="52">
        <f t="shared" si="78"/>
        <v>0</v>
      </c>
      <c r="O314" s="52">
        <f t="shared" si="79"/>
        <v>0</v>
      </c>
      <c r="P314" s="40"/>
      <c r="Q314" s="40"/>
    </row>
    <row r="315" spans="1:17" ht="15.9" customHeight="1">
      <c r="A315" s="48"/>
      <c r="B315" s="49"/>
      <c r="C315" s="52"/>
      <c r="D315" s="52"/>
      <c r="E315" s="52"/>
      <c r="F315" s="11"/>
      <c r="G315" s="52">
        <f t="shared" si="31"/>
        <v>0</v>
      </c>
      <c r="H315" s="11"/>
      <c r="I315" s="11"/>
      <c r="J315" s="11"/>
      <c r="K315" s="57"/>
      <c r="L315" s="52">
        <f t="shared" si="76"/>
        <v>0</v>
      </c>
      <c r="M315" s="52">
        <f t="shared" si="77"/>
        <v>0</v>
      </c>
      <c r="N315" s="52">
        <f t="shared" si="78"/>
        <v>0</v>
      </c>
      <c r="O315" s="52">
        <f t="shared" si="79"/>
        <v>0</v>
      </c>
      <c r="P315" s="40"/>
      <c r="Q315" s="40"/>
    </row>
    <row r="316" spans="1:17" ht="15.9" customHeight="1">
      <c r="A316" s="48"/>
      <c r="B316" s="49"/>
      <c r="C316" s="52"/>
      <c r="D316" s="52"/>
      <c r="E316" s="52"/>
      <c r="F316" s="11"/>
      <c r="G316" s="52">
        <f t="shared" si="31"/>
        <v>0</v>
      </c>
      <c r="H316" s="11"/>
      <c r="I316" s="11"/>
      <c r="J316" s="11"/>
      <c r="K316" s="57"/>
      <c r="L316" s="52">
        <f t="shared" si="76"/>
        <v>0</v>
      </c>
      <c r="M316" s="52">
        <f t="shared" si="77"/>
        <v>0</v>
      </c>
      <c r="N316" s="52">
        <f t="shared" si="78"/>
        <v>0</v>
      </c>
      <c r="O316" s="52">
        <f t="shared" si="79"/>
        <v>0</v>
      </c>
      <c r="P316" s="40"/>
      <c r="Q316" s="40"/>
    </row>
    <row r="317" spans="1:17" ht="15.9" customHeight="1">
      <c r="A317" s="48"/>
      <c r="B317" s="49"/>
      <c r="C317" s="52"/>
      <c r="D317" s="52"/>
      <c r="E317" s="52"/>
      <c r="F317" s="11"/>
      <c r="G317" s="52">
        <f t="shared" si="31"/>
        <v>0</v>
      </c>
      <c r="H317" s="11"/>
      <c r="I317" s="11"/>
      <c r="J317" s="11"/>
      <c r="K317" s="57"/>
      <c r="L317" s="52">
        <f t="shared" si="76"/>
        <v>0</v>
      </c>
      <c r="M317" s="52">
        <f t="shared" si="77"/>
        <v>0</v>
      </c>
      <c r="N317" s="52">
        <f t="shared" si="78"/>
        <v>0</v>
      </c>
      <c r="O317" s="52">
        <f t="shared" si="79"/>
        <v>0</v>
      </c>
      <c r="P317" s="40"/>
      <c r="Q317" s="40"/>
    </row>
    <row r="318" spans="1:17" ht="15.9" customHeight="1">
      <c r="A318" s="48"/>
      <c r="B318" s="49"/>
      <c r="C318" s="52"/>
      <c r="D318" s="52"/>
      <c r="E318" s="52"/>
      <c r="F318" s="11"/>
      <c r="G318" s="52">
        <f t="shared" si="31"/>
        <v>0</v>
      </c>
      <c r="H318" s="11"/>
      <c r="I318" s="11"/>
      <c r="J318" s="11"/>
      <c r="K318" s="57"/>
      <c r="L318" s="52">
        <f t="shared" si="76"/>
        <v>0</v>
      </c>
      <c r="M318" s="52">
        <f t="shared" si="77"/>
        <v>0</v>
      </c>
      <c r="N318" s="52">
        <f t="shared" si="78"/>
        <v>0</v>
      </c>
      <c r="O318" s="52">
        <f t="shared" si="79"/>
        <v>0</v>
      </c>
      <c r="P318" s="40"/>
      <c r="Q318" s="40"/>
    </row>
    <row r="319" spans="1:17" ht="15.9" customHeight="1">
      <c r="A319" s="48"/>
      <c r="B319" s="49"/>
      <c r="C319" s="52"/>
      <c r="D319" s="52"/>
      <c r="E319" s="52"/>
      <c r="F319" s="11"/>
      <c r="G319" s="52">
        <f t="shared" si="31"/>
        <v>0</v>
      </c>
      <c r="H319" s="11"/>
      <c r="I319" s="11"/>
      <c r="J319" s="11"/>
      <c r="K319" s="57"/>
      <c r="L319" s="52">
        <f t="shared" si="76"/>
        <v>0</v>
      </c>
      <c r="M319" s="52">
        <f t="shared" si="77"/>
        <v>0</v>
      </c>
      <c r="N319" s="52">
        <f t="shared" si="78"/>
        <v>0</v>
      </c>
      <c r="O319" s="52">
        <f t="shared" si="79"/>
        <v>0</v>
      </c>
      <c r="P319" s="40"/>
      <c r="Q319" s="40"/>
    </row>
    <row r="320" spans="1:17" ht="15.9" customHeight="1">
      <c r="A320" s="48"/>
      <c r="B320" s="49"/>
      <c r="C320" s="52"/>
      <c r="D320" s="52"/>
      <c r="E320" s="52"/>
      <c r="F320" s="11"/>
      <c r="G320" s="52">
        <f t="shared" si="31"/>
        <v>0</v>
      </c>
      <c r="H320" s="11"/>
      <c r="I320" s="11"/>
      <c r="J320" s="11"/>
      <c r="K320" s="57"/>
      <c r="L320" s="52">
        <f t="shared" si="44"/>
        <v>0</v>
      </c>
      <c r="M320" s="52">
        <f t="shared" si="45"/>
        <v>0</v>
      </c>
      <c r="N320" s="52">
        <f t="shared" si="46"/>
        <v>0</v>
      </c>
      <c r="O320" s="52">
        <f t="shared" si="47"/>
        <v>0</v>
      </c>
      <c r="P320" s="40"/>
      <c r="Q320" s="40"/>
    </row>
    <row r="321" spans="1:15" ht="15.9" customHeight="1">
      <c r="A321" s="48"/>
      <c r="B321" s="49"/>
      <c r="C321" s="51"/>
      <c r="D321" s="52"/>
      <c r="E321" s="52"/>
      <c r="F321" s="64"/>
      <c r="G321" s="52">
        <f t="shared" si="31"/>
        <v>0</v>
      </c>
      <c r="H321" s="64"/>
      <c r="I321" s="64"/>
      <c r="J321" s="64"/>
      <c r="K321" s="65"/>
      <c r="L321" s="52">
        <f t="shared" ref="L321:L423" si="84">G321*H321/100</f>
        <v>0</v>
      </c>
      <c r="M321" s="52">
        <f t="shared" ref="M321:M423" si="85">G321*I321/100</f>
        <v>0</v>
      </c>
      <c r="N321" s="52">
        <f t="shared" ref="N321:N423" si="86">G321*J321/100</f>
        <v>0</v>
      </c>
      <c r="O321" s="52">
        <f t="shared" ref="O321:O423" si="87">G321*K321/1000</f>
        <v>0</v>
      </c>
    </row>
    <row r="322" spans="1:15" ht="15.9" customHeight="1">
      <c r="A322" s="48"/>
      <c r="B322" s="49"/>
      <c r="C322" s="51"/>
      <c r="D322" s="52"/>
      <c r="E322" s="52"/>
      <c r="F322" s="64"/>
      <c r="G322" s="52">
        <f t="shared" ref="G322:G423" si="88">E322*(100-F322)/100</f>
        <v>0</v>
      </c>
      <c r="H322" s="64"/>
      <c r="I322" s="64"/>
      <c r="J322" s="64"/>
      <c r="K322" s="65"/>
      <c r="L322" s="52">
        <f t="shared" si="84"/>
        <v>0</v>
      </c>
      <c r="M322" s="52">
        <f t="shared" si="85"/>
        <v>0</v>
      </c>
      <c r="N322" s="52">
        <f t="shared" si="86"/>
        <v>0</v>
      </c>
      <c r="O322" s="52">
        <f t="shared" si="87"/>
        <v>0</v>
      </c>
    </row>
    <row r="323" spans="1:15" ht="15.9" customHeight="1">
      <c r="A323" s="48"/>
      <c r="B323" s="49"/>
      <c r="C323" s="51"/>
      <c r="D323" s="52"/>
      <c r="E323" s="52"/>
      <c r="F323" s="64"/>
      <c r="G323" s="52">
        <f t="shared" si="88"/>
        <v>0</v>
      </c>
      <c r="H323" s="64"/>
      <c r="I323" s="64"/>
      <c r="J323" s="64"/>
      <c r="K323" s="65"/>
      <c r="L323" s="52">
        <f t="shared" si="84"/>
        <v>0</v>
      </c>
      <c r="M323" s="52">
        <f t="shared" si="85"/>
        <v>0</v>
      </c>
      <c r="N323" s="52">
        <f t="shared" si="86"/>
        <v>0</v>
      </c>
      <c r="O323" s="52">
        <f t="shared" si="87"/>
        <v>0</v>
      </c>
    </row>
    <row r="324" spans="1:15" ht="15.9" customHeight="1">
      <c r="A324" s="48"/>
      <c r="B324" s="49"/>
      <c r="C324" s="51"/>
      <c r="D324" s="52"/>
      <c r="E324" s="52"/>
      <c r="F324" s="64"/>
      <c r="G324" s="52">
        <f t="shared" si="88"/>
        <v>0</v>
      </c>
      <c r="H324" s="64"/>
      <c r="I324" s="64"/>
      <c r="J324" s="64"/>
      <c r="K324" s="65"/>
      <c r="L324" s="52">
        <f t="shared" si="84"/>
        <v>0</v>
      </c>
      <c r="M324" s="52">
        <f t="shared" si="85"/>
        <v>0</v>
      </c>
      <c r="N324" s="52">
        <f t="shared" si="86"/>
        <v>0</v>
      </c>
      <c r="O324" s="52">
        <f t="shared" si="87"/>
        <v>0</v>
      </c>
    </row>
    <row r="325" spans="1:15" ht="15.9" customHeight="1">
      <c r="A325" s="48"/>
      <c r="B325" s="49"/>
      <c r="C325" s="51"/>
      <c r="D325" s="52"/>
      <c r="E325" s="52"/>
      <c r="F325" s="64"/>
      <c r="G325" s="52">
        <f t="shared" si="88"/>
        <v>0</v>
      </c>
      <c r="H325" s="64"/>
      <c r="I325" s="64"/>
      <c r="J325" s="64"/>
      <c r="K325" s="65"/>
      <c r="L325" s="52">
        <f t="shared" si="84"/>
        <v>0</v>
      </c>
      <c r="M325" s="52">
        <f t="shared" si="85"/>
        <v>0</v>
      </c>
      <c r="N325" s="52">
        <f t="shared" si="86"/>
        <v>0</v>
      </c>
      <c r="O325" s="52">
        <f t="shared" si="87"/>
        <v>0</v>
      </c>
    </row>
    <row r="326" spans="1:15" ht="15.9" customHeight="1">
      <c r="A326" s="48"/>
      <c r="B326" s="49"/>
      <c r="C326" s="51"/>
      <c r="D326" s="52"/>
      <c r="E326" s="52"/>
      <c r="F326" s="64"/>
      <c r="G326" s="52">
        <f t="shared" si="88"/>
        <v>0</v>
      </c>
      <c r="H326" s="64"/>
      <c r="I326" s="64"/>
      <c r="J326" s="64"/>
      <c r="K326" s="65"/>
      <c r="L326" s="52">
        <f t="shared" si="84"/>
        <v>0</v>
      </c>
      <c r="M326" s="52">
        <f t="shared" si="85"/>
        <v>0</v>
      </c>
      <c r="N326" s="52">
        <f t="shared" si="86"/>
        <v>0</v>
      </c>
      <c r="O326" s="52">
        <f t="shared" si="87"/>
        <v>0</v>
      </c>
    </row>
    <row r="327" spans="1:15" ht="15.9" customHeight="1">
      <c r="A327" s="48"/>
      <c r="B327" s="49"/>
      <c r="C327" s="51"/>
      <c r="D327" s="52"/>
      <c r="E327" s="52"/>
      <c r="F327" s="64"/>
      <c r="G327" s="52">
        <f t="shared" si="88"/>
        <v>0</v>
      </c>
      <c r="H327" s="64"/>
      <c r="I327" s="64"/>
      <c r="J327" s="64"/>
      <c r="K327" s="65"/>
      <c r="L327" s="52">
        <f t="shared" si="84"/>
        <v>0</v>
      </c>
      <c r="M327" s="52">
        <f t="shared" si="85"/>
        <v>0</v>
      </c>
      <c r="N327" s="52">
        <f t="shared" si="86"/>
        <v>0</v>
      </c>
      <c r="O327" s="52">
        <f t="shared" si="87"/>
        <v>0</v>
      </c>
    </row>
    <row r="328" spans="1:15" ht="15.9" customHeight="1">
      <c r="A328" s="48"/>
      <c r="B328" s="49"/>
      <c r="C328" s="51"/>
      <c r="D328" s="52"/>
      <c r="E328" s="52"/>
      <c r="F328" s="64"/>
      <c r="G328" s="52">
        <f t="shared" si="88"/>
        <v>0</v>
      </c>
      <c r="H328" s="64"/>
      <c r="I328" s="64"/>
      <c r="J328" s="64"/>
      <c r="K328" s="65"/>
      <c r="L328" s="52">
        <f t="shared" si="84"/>
        <v>0</v>
      </c>
      <c r="M328" s="52">
        <f t="shared" si="85"/>
        <v>0</v>
      </c>
      <c r="N328" s="52">
        <f t="shared" si="86"/>
        <v>0</v>
      </c>
      <c r="O328" s="52">
        <f t="shared" si="87"/>
        <v>0</v>
      </c>
    </row>
    <row r="329" spans="1:15" ht="15.9" customHeight="1">
      <c r="A329" s="48"/>
      <c r="B329" s="49"/>
      <c r="C329" s="51"/>
      <c r="D329" s="52"/>
      <c r="E329" s="52"/>
      <c r="F329" s="64"/>
      <c r="G329" s="52">
        <f t="shared" si="88"/>
        <v>0</v>
      </c>
      <c r="H329" s="64"/>
      <c r="I329" s="64"/>
      <c r="J329" s="64"/>
      <c r="K329" s="65"/>
      <c r="L329" s="52">
        <f t="shared" si="84"/>
        <v>0</v>
      </c>
      <c r="M329" s="52">
        <f t="shared" si="85"/>
        <v>0</v>
      </c>
      <c r="N329" s="52">
        <f t="shared" si="86"/>
        <v>0</v>
      </c>
      <c r="O329" s="52">
        <f t="shared" si="87"/>
        <v>0</v>
      </c>
    </row>
    <row r="330" spans="1:15" ht="15.9" customHeight="1">
      <c r="A330" s="48"/>
      <c r="B330" s="49"/>
      <c r="C330" s="51"/>
      <c r="D330" s="52"/>
      <c r="E330" s="52"/>
      <c r="F330" s="64"/>
      <c r="G330" s="52">
        <f t="shared" si="88"/>
        <v>0</v>
      </c>
      <c r="H330" s="64"/>
      <c r="I330" s="64"/>
      <c r="J330" s="64"/>
      <c r="K330" s="65"/>
      <c r="L330" s="52">
        <f t="shared" si="84"/>
        <v>0</v>
      </c>
      <c r="M330" s="52">
        <f t="shared" si="85"/>
        <v>0</v>
      </c>
      <c r="N330" s="52">
        <f t="shared" si="86"/>
        <v>0</v>
      </c>
      <c r="O330" s="52">
        <f t="shared" si="87"/>
        <v>0</v>
      </c>
    </row>
    <row r="331" spans="1:15" ht="15.9" customHeight="1">
      <c r="A331" s="48"/>
      <c r="B331" s="49"/>
      <c r="C331" s="51"/>
      <c r="D331" s="52"/>
      <c r="E331" s="52"/>
      <c r="F331" s="64"/>
      <c r="G331" s="52">
        <f t="shared" si="88"/>
        <v>0</v>
      </c>
      <c r="H331" s="64"/>
      <c r="I331" s="64"/>
      <c r="J331" s="64"/>
      <c r="K331" s="65"/>
      <c r="L331" s="52">
        <f t="shared" si="84"/>
        <v>0</v>
      </c>
      <c r="M331" s="52">
        <f t="shared" si="85"/>
        <v>0</v>
      </c>
      <c r="N331" s="52">
        <f t="shared" si="86"/>
        <v>0</v>
      </c>
      <c r="O331" s="52">
        <f t="shared" si="87"/>
        <v>0</v>
      </c>
    </row>
    <row r="332" spans="1:15" ht="15.9" customHeight="1">
      <c r="A332" s="48"/>
      <c r="B332" s="49"/>
      <c r="C332" s="51"/>
      <c r="D332" s="52"/>
      <c r="E332" s="52"/>
      <c r="F332" s="64"/>
      <c r="G332" s="52">
        <f t="shared" si="88"/>
        <v>0</v>
      </c>
      <c r="H332" s="64"/>
      <c r="I332" s="64"/>
      <c r="J332" s="64"/>
      <c r="K332" s="65"/>
      <c r="L332" s="52">
        <f t="shared" si="84"/>
        <v>0</v>
      </c>
      <c r="M332" s="52">
        <f t="shared" si="85"/>
        <v>0</v>
      </c>
      <c r="N332" s="52">
        <f t="shared" si="86"/>
        <v>0</v>
      </c>
      <c r="O332" s="52">
        <f t="shared" si="87"/>
        <v>0</v>
      </c>
    </row>
    <row r="333" spans="1:15" ht="15.9" customHeight="1">
      <c r="A333" s="48"/>
      <c r="B333" s="49"/>
      <c r="C333" s="51"/>
      <c r="D333" s="52"/>
      <c r="E333" s="52"/>
      <c r="F333" s="64"/>
      <c r="G333" s="52">
        <f t="shared" si="88"/>
        <v>0</v>
      </c>
      <c r="H333" s="64"/>
      <c r="I333" s="64"/>
      <c r="J333" s="64"/>
      <c r="K333" s="65"/>
      <c r="L333" s="52">
        <f t="shared" si="84"/>
        <v>0</v>
      </c>
      <c r="M333" s="52">
        <f t="shared" si="85"/>
        <v>0</v>
      </c>
      <c r="N333" s="52">
        <f t="shared" si="86"/>
        <v>0</v>
      </c>
      <c r="O333" s="52">
        <f t="shared" si="87"/>
        <v>0</v>
      </c>
    </row>
    <row r="334" spans="1:15" ht="15.9" customHeight="1">
      <c r="A334" s="48"/>
      <c r="B334" s="49"/>
      <c r="C334" s="51"/>
      <c r="D334" s="52"/>
      <c r="E334" s="52"/>
      <c r="F334" s="64"/>
      <c r="G334" s="52">
        <f t="shared" si="88"/>
        <v>0</v>
      </c>
      <c r="H334" s="64"/>
      <c r="I334" s="64"/>
      <c r="J334" s="64"/>
      <c r="K334" s="65"/>
      <c r="L334" s="52">
        <f t="shared" si="84"/>
        <v>0</v>
      </c>
      <c r="M334" s="52">
        <f t="shared" si="85"/>
        <v>0</v>
      </c>
      <c r="N334" s="52">
        <f t="shared" si="86"/>
        <v>0</v>
      </c>
      <c r="O334" s="52">
        <f t="shared" si="87"/>
        <v>0</v>
      </c>
    </row>
    <row r="335" spans="1:15" ht="15.9" customHeight="1">
      <c r="A335" s="48"/>
      <c r="B335" s="49"/>
      <c r="C335" s="51"/>
      <c r="D335" s="52"/>
      <c r="E335" s="52"/>
      <c r="F335" s="64"/>
      <c r="G335" s="52">
        <f t="shared" si="88"/>
        <v>0</v>
      </c>
      <c r="H335" s="64"/>
      <c r="I335" s="64"/>
      <c r="J335" s="64"/>
      <c r="K335" s="65"/>
      <c r="L335" s="52">
        <f t="shared" si="84"/>
        <v>0</v>
      </c>
      <c r="M335" s="52">
        <f t="shared" si="85"/>
        <v>0</v>
      </c>
      <c r="N335" s="52">
        <f t="shared" si="86"/>
        <v>0</v>
      </c>
      <c r="O335" s="52">
        <f t="shared" si="87"/>
        <v>0</v>
      </c>
    </row>
    <row r="336" spans="1:15" ht="15.9" customHeight="1">
      <c r="A336" s="48"/>
      <c r="B336" s="49"/>
      <c r="C336" s="51"/>
      <c r="D336" s="52"/>
      <c r="E336" s="52"/>
      <c r="F336" s="64"/>
      <c r="G336" s="52">
        <f t="shared" si="88"/>
        <v>0</v>
      </c>
      <c r="H336" s="64"/>
      <c r="I336" s="64"/>
      <c r="J336" s="64"/>
      <c r="K336" s="65"/>
      <c r="L336" s="52">
        <f t="shared" si="84"/>
        <v>0</v>
      </c>
      <c r="M336" s="52">
        <f t="shared" si="85"/>
        <v>0</v>
      </c>
      <c r="N336" s="52">
        <f t="shared" si="86"/>
        <v>0</v>
      </c>
      <c r="O336" s="52">
        <f t="shared" si="87"/>
        <v>0</v>
      </c>
    </row>
    <row r="337" spans="1:15" ht="15.9" customHeight="1">
      <c r="A337" s="48"/>
      <c r="B337" s="49"/>
      <c r="C337" s="51"/>
      <c r="D337" s="52"/>
      <c r="E337" s="52"/>
      <c r="F337" s="64"/>
      <c r="G337" s="52">
        <f t="shared" si="88"/>
        <v>0</v>
      </c>
      <c r="H337" s="64"/>
      <c r="I337" s="64"/>
      <c r="J337" s="64"/>
      <c r="K337" s="65"/>
      <c r="L337" s="52">
        <f t="shared" si="84"/>
        <v>0</v>
      </c>
      <c r="M337" s="52">
        <f t="shared" si="85"/>
        <v>0</v>
      </c>
      <c r="N337" s="52">
        <f t="shared" si="86"/>
        <v>0</v>
      </c>
      <c r="O337" s="52">
        <f t="shared" si="87"/>
        <v>0</v>
      </c>
    </row>
    <row r="338" spans="1:15" ht="15.9" customHeight="1">
      <c r="A338" s="48"/>
      <c r="B338" s="49"/>
      <c r="C338" s="51"/>
      <c r="D338" s="52"/>
      <c r="E338" s="52"/>
      <c r="F338" s="64"/>
      <c r="G338" s="52">
        <f t="shared" si="88"/>
        <v>0</v>
      </c>
      <c r="H338" s="64"/>
      <c r="I338" s="64"/>
      <c r="J338" s="64"/>
      <c r="K338" s="65"/>
      <c r="L338" s="52">
        <f t="shared" si="84"/>
        <v>0</v>
      </c>
      <c r="M338" s="52">
        <f t="shared" si="85"/>
        <v>0</v>
      </c>
      <c r="N338" s="52">
        <f t="shared" si="86"/>
        <v>0</v>
      </c>
      <c r="O338" s="52">
        <f t="shared" si="87"/>
        <v>0</v>
      </c>
    </row>
    <row r="339" spans="1:15" ht="15.9" customHeight="1">
      <c r="A339" s="48"/>
      <c r="B339" s="49"/>
      <c r="C339" s="51"/>
      <c r="D339" s="52"/>
      <c r="E339" s="52"/>
      <c r="F339" s="64"/>
      <c r="G339" s="52">
        <f t="shared" si="88"/>
        <v>0</v>
      </c>
      <c r="H339" s="64"/>
      <c r="I339" s="64"/>
      <c r="J339" s="64"/>
      <c r="K339" s="65"/>
      <c r="L339" s="52">
        <f t="shared" ref="L339:L347" si="89">G339*H339/100</f>
        <v>0</v>
      </c>
      <c r="M339" s="52">
        <f t="shared" ref="M339:M347" si="90">G339*I339/100</f>
        <v>0</v>
      </c>
      <c r="N339" s="52">
        <f t="shared" ref="N339:N347" si="91">G339*J339/100</f>
        <v>0</v>
      </c>
      <c r="O339" s="52">
        <f t="shared" ref="O339:O347" si="92">G339*K339/1000</f>
        <v>0</v>
      </c>
    </row>
    <row r="340" spans="1:15" ht="15.9" customHeight="1">
      <c r="A340" s="48"/>
      <c r="B340" s="49"/>
      <c r="C340" s="51"/>
      <c r="D340" s="52"/>
      <c r="E340" s="52"/>
      <c r="F340" s="64"/>
      <c r="G340" s="52">
        <f t="shared" si="88"/>
        <v>0</v>
      </c>
      <c r="H340" s="64"/>
      <c r="I340" s="64"/>
      <c r="J340" s="64"/>
      <c r="K340" s="65"/>
      <c r="L340" s="52">
        <f t="shared" si="89"/>
        <v>0</v>
      </c>
      <c r="M340" s="52">
        <f t="shared" si="90"/>
        <v>0</v>
      </c>
      <c r="N340" s="52">
        <f t="shared" si="91"/>
        <v>0</v>
      </c>
      <c r="O340" s="52">
        <f t="shared" si="92"/>
        <v>0</v>
      </c>
    </row>
    <row r="341" spans="1:15" ht="15.9" customHeight="1">
      <c r="A341" s="48"/>
      <c r="B341" s="49"/>
      <c r="C341" s="51"/>
      <c r="D341" s="52"/>
      <c r="E341" s="52"/>
      <c r="F341" s="64"/>
      <c r="G341" s="52">
        <f t="shared" si="88"/>
        <v>0</v>
      </c>
      <c r="H341" s="64"/>
      <c r="I341" s="64"/>
      <c r="J341" s="64"/>
      <c r="K341" s="65"/>
      <c r="L341" s="52">
        <f t="shared" si="89"/>
        <v>0</v>
      </c>
      <c r="M341" s="52">
        <f t="shared" si="90"/>
        <v>0</v>
      </c>
      <c r="N341" s="52">
        <f t="shared" si="91"/>
        <v>0</v>
      </c>
      <c r="O341" s="52">
        <f t="shared" si="92"/>
        <v>0</v>
      </c>
    </row>
    <row r="342" spans="1:15" ht="15.9" customHeight="1">
      <c r="A342" s="48"/>
      <c r="B342" s="49"/>
      <c r="C342" s="51"/>
      <c r="D342" s="52"/>
      <c r="E342" s="52"/>
      <c r="F342" s="64"/>
      <c r="G342" s="52">
        <f t="shared" si="88"/>
        <v>0</v>
      </c>
      <c r="H342" s="64"/>
      <c r="I342" s="64"/>
      <c r="J342" s="64"/>
      <c r="K342" s="65"/>
      <c r="L342" s="52">
        <f t="shared" si="89"/>
        <v>0</v>
      </c>
      <c r="M342" s="52">
        <f t="shared" si="90"/>
        <v>0</v>
      </c>
      <c r="N342" s="52">
        <f t="shared" si="91"/>
        <v>0</v>
      </c>
      <c r="O342" s="52">
        <f t="shared" si="92"/>
        <v>0</v>
      </c>
    </row>
    <row r="343" spans="1:15" ht="15.9" customHeight="1">
      <c r="A343" s="48"/>
      <c r="B343" s="49"/>
      <c r="C343" s="51"/>
      <c r="D343" s="52"/>
      <c r="E343" s="52"/>
      <c r="F343" s="64"/>
      <c r="G343" s="52">
        <f t="shared" si="88"/>
        <v>0</v>
      </c>
      <c r="H343" s="64"/>
      <c r="I343" s="64"/>
      <c r="J343" s="64"/>
      <c r="K343" s="65"/>
      <c r="L343" s="52">
        <f t="shared" si="89"/>
        <v>0</v>
      </c>
      <c r="M343" s="52">
        <f t="shared" si="90"/>
        <v>0</v>
      </c>
      <c r="N343" s="52">
        <f t="shared" si="91"/>
        <v>0</v>
      </c>
      <c r="O343" s="52">
        <f t="shared" si="92"/>
        <v>0</v>
      </c>
    </row>
    <row r="344" spans="1:15" ht="15.9" customHeight="1">
      <c r="A344" s="48"/>
      <c r="B344" s="49"/>
      <c r="C344" s="51"/>
      <c r="D344" s="52"/>
      <c r="E344" s="52"/>
      <c r="F344" s="64"/>
      <c r="G344" s="52">
        <f t="shared" si="88"/>
        <v>0</v>
      </c>
      <c r="H344" s="64"/>
      <c r="I344" s="64"/>
      <c r="J344" s="64"/>
      <c r="K344" s="65"/>
      <c r="L344" s="52">
        <f t="shared" si="89"/>
        <v>0</v>
      </c>
      <c r="M344" s="52">
        <f t="shared" si="90"/>
        <v>0</v>
      </c>
      <c r="N344" s="52">
        <f t="shared" si="91"/>
        <v>0</v>
      </c>
      <c r="O344" s="52">
        <f t="shared" si="92"/>
        <v>0</v>
      </c>
    </row>
    <row r="345" spans="1:15" ht="15.9" customHeight="1">
      <c r="A345" s="48"/>
      <c r="B345" s="49"/>
      <c r="C345" s="51"/>
      <c r="D345" s="52"/>
      <c r="E345" s="52"/>
      <c r="F345" s="64"/>
      <c r="G345" s="52">
        <f t="shared" si="88"/>
        <v>0</v>
      </c>
      <c r="H345" s="64"/>
      <c r="I345" s="64"/>
      <c r="J345" s="64"/>
      <c r="K345" s="65"/>
      <c r="L345" s="52">
        <f t="shared" si="89"/>
        <v>0</v>
      </c>
      <c r="M345" s="52">
        <f t="shared" si="90"/>
        <v>0</v>
      </c>
      <c r="N345" s="52">
        <f t="shared" si="91"/>
        <v>0</v>
      </c>
      <c r="O345" s="52">
        <f t="shared" si="92"/>
        <v>0</v>
      </c>
    </row>
    <row r="346" spans="1:15" ht="15.9" customHeight="1">
      <c r="A346" s="48"/>
      <c r="B346" s="49"/>
      <c r="C346" s="51"/>
      <c r="D346" s="52"/>
      <c r="E346" s="52"/>
      <c r="F346" s="64"/>
      <c r="G346" s="52">
        <f t="shared" si="88"/>
        <v>0</v>
      </c>
      <c r="H346" s="64"/>
      <c r="I346" s="64"/>
      <c r="J346" s="64"/>
      <c r="K346" s="65"/>
      <c r="L346" s="52">
        <f t="shared" si="89"/>
        <v>0</v>
      </c>
      <c r="M346" s="52">
        <f t="shared" si="90"/>
        <v>0</v>
      </c>
      <c r="N346" s="52">
        <f t="shared" si="91"/>
        <v>0</v>
      </c>
      <c r="O346" s="52">
        <f t="shared" si="92"/>
        <v>0</v>
      </c>
    </row>
    <row r="347" spans="1:15" ht="15.9" customHeight="1">
      <c r="A347" s="48"/>
      <c r="B347" s="49"/>
      <c r="C347" s="51"/>
      <c r="D347" s="52"/>
      <c r="E347" s="52"/>
      <c r="F347" s="64"/>
      <c r="G347" s="52">
        <f t="shared" si="88"/>
        <v>0</v>
      </c>
      <c r="H347" s="64"/>
      <c r="I347" s="64"/>
      <c r="J347" s="64"/>
      <c r="K347" s="65"/>
      <c r="L347" s="52">
        <f t="shared" si="89"/>
        <v>0</v>
      </c>
      <c r="M347" s="52">
        <f t="shared" si="90"/>
        <v>0</v>
      </c>
      <c r="N347" s="52">
        <f t="shared" si="91"/>
        <v>0</v>
      </c>
      <c r="O347" s="52">
        <f t="shared" si="92"/>
        <v>0</v>
      </c>
    </row>
    <row r="348" spans="1:15" ht="15.9" customHeight="1">
      <c r="A348" s="48"/>
      <c r="B348" s="49"/>
      <c r="C348" s="51"/>
      <c r="D348" s="52"/>
      <c r="E348" s="52"/>
      <c r="F348" s="64"/>
      <c r="G348" s="52">
        <f t="shared" si="88"/>
        <v>0</v>
      </c>
      <c r="H348" s="64"/>
      <c r="I348" s="64"/>
      <c r="J348" s="64"/>
      <c r="K348" s="65"/>
      <c r="L348" s="52">
        <f t="shared" ref="L348:L420" si="93">G348*H348/100</f>
        <v>0</v>
      </c>
      <c r="M348" s="52">
        <f t="shared" ref="M348:M420" si="94">G348*I348/100</f>
        <v>0</v>
      </c>
      <c r="N348" s="52">
        <f t="shared" ref="N348:N420" si="95">G348*J348/100</f>
        <v>0</v>
      </c>
      <c r="O348" s="52">
        <f t="shared" ref="O348:O420" si="96">G348*K348/1000</f>
        <v>0</v>
      </c>
    </row>
    <row r="349" spans="1:15" ht="15.9" customHeight="1">
      <c r="A349" s="48"/>
      <c r="B349" s="49"/>
      <c r="C349" s="51"/>
      <c r="D349" s="52"/>
      <c r="E349" s="52"/>
      <c r="F349" s="64"/>
      <c r="G349" s="52">
        <f t="shared" si="88"/>
        <v>0</v>
      </c>
      <c r="H349" s="64"/>
      <c r="I349" s="64"/>
      <c r="J349" s="64"/>
      <c r="K349" s="65"/>
      <c r="L349" s="52">
        <f t="shared" si="93"/>
        <v>0</v>
      </c>
      <c r="M349" s="52">
        <f t="shared" si="94"/>
        <v>0</v>
      </c>
      <c r="N349" s="52">
        <f t="shared" si="95"/>
        <v>0</v>
      </c>
      <c r="O349" s="52">
        <f t="shared" si="96"/>
        <v>0</v>
      </c>
    </row>
    <row r="350" spans="1:15" ht="15.9" customHeight="1">
      <c r="A350" s="48"/>
      <c r="B350" s="49"/>
      <c r="C350" s="51"/>
      <c r="D350" s="52"/>
      <c r="E350" s="52"/>
      <c r="F350" s="64"/>
      <c r="G350" s="52">
        <f t="shared" si="88"/>
        <v>0</v>
      </c>
      <c r="H350" s="64"/>
      <c r="I350" s="64"/>
      <c r="J350" s="64"/>
      <c r="K350" s="65"/>
      <c r="L350" s="52">
        <f t="shared" si="93"/>
        <v>0</v>
      </c>
      <c r="M350" s="52">
        <f t="shared" si="94"/>
        <v>0</v>
      </c>
      <c r="N350" s="52">
        <f t="shared" si="95"/>
        <v>0</v>
      </c>
      <c r="O350" s="52">
        <f t="shared" si="96"/>
        <v>0</v>
      </c>
    </row>
    <row r="351" spans="1:15" ht="15.9" customHeight="1">
      <c r="A351" s="48"/>
      <c r="B351" s="49"/>
      <c r="C351" s="51"/>
      <c r="D351" s="52"/>
      <c r="E351" s="52"/>
      <c r="F351" s="64"/>
      <c r="G351" s="52">
        <f t="shared" si="88"/>
        <v>0</v>
      </c>
      <c r="H351" s="64"/>
      <c r="I351" s="64"/>
      <c r="J351" s="64"/>
      <c r="K351" s="65"/>
      <c r="L351" s="52">
        <f t="shared" si="93"/>
        <v>0</v>
      </c>
      <c r="M351" s="52">
        <f t="shared" si="94"/>
        <v>0</v>
      </c>
      <c r="N351" s="52">
        <f t="shared" si="95"/>
        <v>0</v>
      </c>
      <c r="O351" s="52">
        <f t="shared" si="96"/>
        <v>0</v>
      </c>
    </row>
    <row r="352" spans="1:15" ht="15.9" customHeight="1">
      <c r="A352" s="48"/>
      <c r="B352" s="49"/>
      <c r="C352" s="51"/>
      <c r="D352" s="52"/>
      <c r="E352" s="52"/>
      <c r="F352" s="64"/>
      <c r="G352" s="52">
        <f t="shared" si="88"/>
        <v>0</v>
      </c>
      <c r="H352" s="64"/>
      <c r="I352" s="64"/>
      <c r="J352" s="64"/>
      <c r="K352" s="65"/>
      <c r="L352" s="52">
        <f t="shared" si="93"/>
        <v>0</v>
      </c>
      <c r="M352" s="52">
        <f t="shared" si="94"/>
        <v>0</v>
      </c>
      <c r="N352" s="52">
        <f t="shared" si="95"/>
        <v>0</v>
      </c>
      <c r="O352" s="52">
        <f t="shared" si="96"/>
        <v>0</v>
      </c>
    </row>
    <row r="353" spans="1:15" ht="15.9" customHeight="1">
      <c r="A353" s="48"/>
      <c r="B353" s="49"/>
      <c r="C353" s="51"/>
      <c r="D353" s="52"/>
      <c r="E353" s="52"/>
      <c r="F353" s="64"/>
      <c r="G353" s="52">
        <f t="shared" si="88"/>
        <v>0</v>
      </c>
      <c r="H353" s="64"/>
      <c r="I353" s="64"/>
      <c r="J353" s="64"/>
      <c r="K353" s="65"/>
      <c r="L353" s="52">
        <f t="shared" si="93"/>
        <v>0</v>
      </c>
      <c r="M353" s="52">
        <f t="shared" si="94"/>
        <v>0</v>
      </c>
      <c r="N353" s="52">
        <f t="shared" si="95"/>
        <v>0</v>
      </c>
      <c r="O353" s="52">
        <f t="shared" si="96"/>
        <v>0</v>
      </c>
    </row>
    <row r="354" spans="1:15" ht="15.9" customHeight="1">
      <c r="A354" s="48"/>
      <c r="B354" s="49"/>
      <c r="C354" s="51"/>
      <c r="D354" s="52"/>
      <c r="E354" s="52"/>
      <c r="F354" s="64"/>
      <c r="G354" s="52">
        <f t="shared" si="88"/>
        <v>0</v>
      </c>
      <c r="H354" s="64"/>
      <c r="I354" s="64"/>
      <c r="J354" s="64"/>
      <c r="K354" s="65"/>
      <c r="L354" s="52">
        <f t="shared" si="93"/>
        <v>0</v>
      </c>
      <c r="M354" s="52">
        <f t="shared" si="94"/>
        <v>0</v>
      </c>
      <c r="N354" s="52">
        <f t="shared" si="95"/>
        <v>0</v>
      </c>
      <c r="O354" s="52">
        <f t="shared" si="96"/>
        <v>0</v>
      </c>
    </row>
    <row r="355" spans="1:15" ht="15.9" customHeight="1">
      <c r="A355" s="48"/>
      <c r="B355" s="49"/>
      <c r="C355" s="51"/>
      <c r="D355" s="52"/>
      <c r="E355" s="52"/>
      <c r="F355" s="64"/>
      <c r="G355" s="52">
        <f t="shared" si="88"/>
        <v>0</v>
      </c>
      <c r="H355" s="64"/>
      <c r="I355" s="64"/>
      <c r="J355" s="64"/>
      <c r="K355" s="65"/>
      <c r="L355" s="52">
        <f t="shared" si="93"/>
        <v>0</v>
      </c>
      <c r="M355" s="52">
        <f t="shared" si="94"/>
        <v>0</v>
      </c>
      <c r="N355" s="52">
        <f t="shared" si="95"/>
        <v>0</v>
      </c>
      <c r="O355" s="52">
        <f t="shared" si="96"/>
        <v>0</v>
      </c>
    </row>
    <row r="356" spans="1:15" ht="15.9" customHeight="1">
      <c r="A356" s="48"/>
      <c r="B356" s="49"/>
      <c r="C356" s="51"/>
      <c r="D356" s="52"/>
      <c r="E356" s="52"/>
      <c r="F356" s="64"/>
      <c r="G356" s="52">
        <f t="shared" si="88"/>
        <v>0</v>
      </c>
      <c r="H356" s="64"/>
      <c r="I356" s="64"/>
      <c r="J356" s="64"/>
      <c r="K356" s="65"/>
      <c r="L356" s="52">
        <f t="shared" si="93"/>
        <v>0</v>
      </c>
      <c r="M356" s="52">
        <f t="shared" si="94"/>
        <v>0</v>
      </c>
      <c r="N356" s="52">
        <f t="shared" si="95"/>
        <v>0</v>
      </c>
      <c r="O356" s="52">
        <f t="shared" si="96"/>
        <v>0</v>
      </c>
    </row>
    <row r="357" spans="1:15" ht="15.9" customHeight="1">
      <c r="A357" s="48"/>
      <c r="B357" s="49"/>
      <c r="C357" s="51"/>
      <c r="D357" s="52"/>
      <c r="E357" s="52"/>
      <c r="F357" s="64"/>
      <c r="G357" s="52">
        <f t="shared" si="88"/>
        <v>0</v>
      </c>
      <c r="H357" s="64"/>
      <c r="I357" s="64"/>
      <c r="J357" s="64"/>
      <c r="K357" s="65"/>
      <c r="L357" s="52">
        <f t="shared" si="93"/>
        <v>0</v>
      </c>
      <c r="M357" s="52">
        <f t="shared" si="94"/>
        <v>0</v>
      </c>
      <c r="N357" s="52">
        <f t="shared" si="95"/>
        <v>0</v>
      </c>
      <c r="O357" s="52">
        <f t="shared" si="96"/>
        <v>0</v>
      </c>
    </row>
    <row r="358" spans="1:15" ht="15.9" customHeight="1">
      <c r="A358" s="48"/>
      <c r="B358" s="49"/>
      <c r="C358" s="51"/>
      <c r="D358" s="52"/>
      <c r="E358" s="52"/>
      <c r="F358" s="64"/>
      <c r="G358" s="52">
        <f t="shared" si="88"/>
        <v>0</v>
      </c>
      <c r="H358" s="64"/>
      <c r="I358" s="64"/>
      <c r="J358" s="64"/>
      <c r="K358" s="65"/>
      <c r="L358" s="52">
        <f t="shared" si="93"/>
        <v>0</v>
      </c>
      <c r="M358" s="52">
        <f t="shared" si="94"/>
        <v>0</v>
      </c>
      <c r="N358" s="52">
        <f t="shared" si="95"/>
        <v>0</v>
      </c>
      <c r="O358" s="52">
        <f t="shared" si="96"/>
        <v>0</v>
      </c>
    </row>
    <row r="359" spans="1:15" ht="15.9" customHeight="1">
      <c r="A359" s="48"/>
      <c r="B359" s="49"/>
      <c r="C359" s="51"/>
      <c r="D359" s="52"/>
      <c r="E359" s="52"/>
      <c r="F359" s="64"/>
      <c r="G359" s="52">
        <f t="shared" si="88"/>
        <v>0</v>
      </c>
      <c r="H359" s="64"/>
      <c r="I359" s="64"/>
      <c r="J359" s="64"/>
      <c r="K359" s="65"/>
      <c r="L359" s="52">
        <f t="shared" si="93"/>
        <v>0</v>
      </c>
      <c r="M359" s="52">
        <f t="shared" si="94"/>
        <v>0</v>
      </c>
      <c r="N359" s="52">
        <f t="shared" si="95"/>
        <v>0</v>
      </c>
      <c r="O359" s="52">
        <f t="shared" si="96"/>
        <v>0</v>
      </c>
    </row>
    <row r="360" spans="1:15" ht="15.9" customHeight="1">
      <c r="A360" s="48"/>
      <c r="B360" s="49"/>
      <c r="C360" s="51"/>
      <c r="D360" s="52"/>
      <c r="E360" s="52"/>
      <c r="F360" s="64"/>
      <c r="G360" s="52">
        <f t="shared" si="88"/>
        <v>0</v>
      </c>
      <c r="H360" s="64"/>
      <c r="I360" s="64"/>
      <c r="J360" s="64"/>
      <c r="K360" s="65"/>
      <c r="L360" s="52">
        <f t="shared" si="93"/>
        <v>0</v>
      </c>
      <c r="M360" s="52">
        <f t="shared" si="94"/>
        <v>0</v>
      </c>
      <c r="N360" s="52">
        <f t="shared" si="95"/>
        <v>0</v>
      </c>
      <c r="O360" s="52">
        <f t="shared" si="96"/>
        <v>0</v>
      </c>
    </row>
    <row r="361" spans="1:15" ht="15.9" customHeight="1">
      <c r="A361" s="48"/>
      <c r="B361" s="49"/>
      <c r="C361" s="51"/>
      <c r="D361" s="52"/>
      <c r="E361" s="52"/>
      <c r="F361" s="64"/>
      <c r="G361" s="52">
        <f t="shared" si="88"/>
        <v>0</v>
      </c>
      <c r="H361" s="64"/>
      <c r="I361" s="64"/>
      <c r="J361" s="64"/>
      <c r="K361" s="65"/>
      <c r="L361" s="52">
        <f t="shared" si="93"/>
        <v>0</v>
      </c>
      <c r="M361" s="52">
        <f t="shared" si="94"/>
        <v>0</v>
      </c>
      <c r="N361" s="52">
        <f t="shared" si="95"/>
        <v>0</v>
      </c>
      <c r="O361" s="52">
        <f t="shared" si="96"/>
        <v>0</v>
      </c>
    </row>
    <row r="362" spans="1:15" ht="15.9" customHeight="1">
      <c r="A362" s="48"/>
      <c r="B362" s="49"/>
      <c r="C362" s="51"/>
      <c r="D362" s="52"/>
      <c r="E362" s="52"/>
      <c r="F362" s="64"/>
      <c r="G362" s="52">
        <f t="shared" si="88"/>
        <v>0</v>
      </c>
      <c r="H362" s="64"/>
      <c r="I362" s="64"/>
      <c r="J362" s="64"/>
      <c r="K362" s="65"/>
      <c r="L362" s="52">
        <f t="shared" si="93"/>
        <v>0</v>
      </c>
      <c r="M362" s="52">
        <f t="shared" si="94"/>
        <v>0</v>
      </c>
      <c r="N362" s="52">
        <f t="shared" si="95"/>
        <v>0</v>
      </c>
      <c r="O362" s="52">
        <f t="shared" si="96"/>
        <v>0</v>
      </c>
    </row>
    <row r="363" spans="1:15" ht="15.9" customHeight="1">
      <c r="A363" s="48"/>
      <c r="B363" s="49"/>
      <c r="C363" s="51"/>
      <c r="D363" s="52"/>
      <c r="E363" s="52"/>
      <c r="F363" s="64"/>
      <c r="G363" s="52">
        <f t="shared" si="88"/>
        <v>0</v>
      </c>
      <c r="H363" s="64"/>
      <c r="I363" s="64"/>
      <c r="J363" s="64"/>
      <c r="K363" s="65"/>
      <c r="L363" s="52">
        <f t="shared" si="93"/>
        <v>0</v>
      </c>
      <c r="M363" s="52">
        <f t="shared" si="94"/>
        <v>0</v>
      </c>
      <c r="N363" s="52">
        <f t="shared" si="95"/>
        <v>0</v>
      </c>
      <c r="O363" s="52">
        <f t="shared" si="96"/>
        <v>0</v>
      </c>
    </row>
    <row r="364" spans="1:15" ht="15.9" customHeight="1">
      <c r="A364" s="48"/>
      <c r="B364" s="49"/>
      <c r="C364" s="51"/>
      <c r="D364" s="52"/>
      <c r="E364" s="52"/>
      <c r="F364" s="64"/>
      <c r="G364" s="52">
        <f t="shared" si="88"/>
        <v>0</v>
      </c>
      <c r="H364" s="64"/>
      <c r="I364" s="64"/>
      <c r="J364" s="64"/>
      <c r="K364" s="65"/>
      <c r="L364" s="52">
        <f t="shared" si="93"/>
        <v>0</v>
      </c>
      <c r="M364" s="52">
        <f t="shared" si="94"/>
        <v>0</v>
      </c>
      <c r="N364" s="52">
        <f t="shared" si="95"/>
        <v>0</v>
      </c>
      <c r="O364" s="52">
        <f t="shared" si="96"/>
        <v>0</v>
      </c>
    </row>
    <row r="365" spans="1:15" ht="15.9" customHeight="1">
      <c r="A365" s="48"/>
      <c r="B365" s="49"/>
      <c r="C365" s="51"/>
      <c r="D365" s="52"/>
      <c r="E365" s="52"/>
      <c r="F365" s="64"/>
      <c r="G365" s="52">
        <f t="shared" si="88"/>
        <v>0</v>
      </c>
      <c r="H365" s="64"/>
      <c r="I365" s="64"/>
      <c r="J365" s="64"/>
      <c r="K365" s="65"/>
      <c r="L365" s="52">
        <f t="shared" si="93"/>
        <v>0</v>
      </c>
      <c r="M365" s="52">
        <f t="shared" si="94"/>
        <v>0</v>
      </c>
      <c r="N365" s="52">
        <f t="shared" si="95"/>
        <v>0</v>
      </c>
      <c r="O365" s="52">
        <f t="shared" si="96"/>
        <v>0</v>
      </c>
    </row>
    <row r="366" spans="1:15" ht="15.9" customHeight="1">
      <c r="A366" s="48"/>
      <c r="B366" s="49"/>
      <c r="C366" s="51"/>
      <c r="D366" s="52"/>
      <c r="E366" s="52"/>
      <c r="F366" s="64"/>
      <c r="G366" s="52">
        <f t="shared" si="88"/>
        <v>0</v>
      </c>
      <c r="H366" s="64"/>
      <c r="I366" s="64"/>
      <c r="J366" s="64"/>
      <c r="K366" s="65"/>
      <c r="L366" s="52">
        <f t="shared" si="93"/>
        <v>0</v>
      </c>
      <c r="M366" s="52">
        <f t="shared" si="94"/>
        <v>0</v>
      </c>
      <c r="N366" s="52">
        <f t="shared" si="95"/>
        <v>0</v>
      </c>
      <c r="O366" s="52">
        <f t="shared" si="96"/>
        <v>0</v>
      </c>
    </row>
    <row r="367" spans="1:15" ht="15.9" customHeight="1">
      <c r="A367" s="48"/>
      <c r="B367" s="49"/>
      <c r="C367" s="51"/>
      <c r="D367" s="52"/>
      <c r="E367" s="52"/>
      <c r="F367" s="64"/>
      <c r="G367" s="52">
        <f t="shared" si="88"/>
        <v>0</v>
      </c>
      <c r="H367" s="64"/>
      <c r="I367" s="64"/>
      <c r="J367" s="64"/>
      <c r="K367" s="65"/>
      <c r="L367" s="52">
        <f t="shared" si="93"/>
        <v>0</v>
      </c>
      <c r="M367" s="52">
        <f t="shared" si="94"/>
        <v>0</v>
      </c>
      <c r="N367" s="52">
        <f t="shared" si="95"/>
        <v>0</v>
      </c>
      <c r="O367" s="52">
        <f t="shared" si="96"/>
        <v>0</v>
      </c>
    </row>
    <row r="368" spans="1:15" ht="15.9" customHeight="1">
      <c r="A368" s="48"/>
      <c r="B368" s="49"/>
      <c r="C368" s="51"/>
      <c r="D368" s="52"/>
      <c r="E368" s="52"/>
      <c r="F368" s="11"/>
      <c r="G368" s="52">
        <f t="shared" si="88"/>
        <v>0</v>
      </c>
      <c r="H368" s="11"/>
      <c r="I368" s="11"/>
      <c r="J368" s="11"/>
      <c r="K368" s="57"/>
      <c r="L368" s="52">
        <f t="shared" ref="L368:L381" si="97">G368*H368/100</f>
        <v>0</v>
      </c>
      <c r="M368" s="52">
        <f t="shared" ref="M368:M381" si="98">G368*I368/100</f>
        <v>0</v>
      </c>
      <c r="N368" s="52">
        <f t="shared" ref="N368:N381" si="99">G368*J368/100</f>
        <v>0</v>
      </c>
      <c r="O368" s="52">
        <f t="shared" ref="O368:O381" si="100">G368*K368/1000</f>
        <v>0</v>
      </c>
    </row>
    <row r="369" spans="1:15" ht="15.9" customHeight="1">
      <c r="A369" s="48"/>
      <c r="B369" s="49"/>
      <c r="C369" s="51"/>
      <c r="D369" s="52"/>
      <c r="E369" s="52"/>
      <c r="F369" s="11"/>
      <c r="G369" s="52">
        <f t="shared" si="88"/>
        <v>0</v>
      </c>
      <c r="H369" s="11"/>
      <c r="I369" s="11"/>
      <c r="J369" s="11"/>
      <c r="K369" s="57"/>
      <c r="L369" s="52">
        <f t="shared" si="97"/>
        <v>0</v>
      </c>
      <c r="M369" s="52">
        <f t="shared" si="98"/>
        <v>0</v>
      </c>
      <c r="N369" s="52">
        <f t="shared" si="99"/>
        <v>0</v>
      </c>
      <c r="O369" s="52">
        <f t="shared" si="100"/>
        <v>0</v>
      </c>
    </row>
    <row r="370" spans="1:15" ht="15.9" customHeight="1">
      <c r="A370" s="48"/>
      <c r="B370" s="49"/>
      <c r="C370" s="51"/>
      <c r="D370" s="52"/>
      <c r="E370" s="52"/>
      <c r="F370" s="11"/>
      <c r="G370" s="52">
        <f t="shared" si="88"/>
        <v>0</v>
      </c>
      <c r="H370" s="11"/>
      <c r="I370" s="11"/>
      <c r="J370" s="11"/>
      <c r="K370" s="57"/>
      <c r="L370" s="52">
        <f t="shared" si="97"/>
        <v>0</v>
      </c>
      <c r="M370" s="52">
        <f t="shared" si="98"/>
        <v>0</v>
      </c>
      <c r="N370" s="52">
        <f t="shared" si="99"/>
        <v>0</v>
      </c>
      <c r="O370" s="52">
        <f t="shared" si="100"/>
        <v>0</v>
      </c>
    </row>
    <row r="371" spans="1:15" ht="15.9" customHeight="1">
      <c r="A371" s="48"/>
      <c r="B371" s="49"/>
      <c r="C371" s="51"/>
      <c r="D371" s="52"/>
      <c r="E371" s="52"/>
      <c r="F371" s="11"/>
      <c r="G371" s="52">
        <f t="shared" si="88"/>
        <v>0</v>
      </c>
      <c r="H371" s="11"/>
      <c r="I371" s="11"/>
      <c r="J371" s="11"/>
      <c r="K371" s="57"/>
      <c r="L371" s="52">
        <f t="shared" si="97"/>
        <v>0</v>
      </c>
      <c r="M371" s="52">
        <f t="shared" si="98"/>
        <v>0</v>
      </c>
      <c r="N371" s="52">
        <f t="shared" si="99"/>
        <v>0</v>
      </c>
      <c r="O371" s="52">
        <f t="shared" si="100"/>
        <v>0</v>
      </c>
    </row>
    <row r="372" spans="1:15" ht="15.9" customHeight="1">
      <c r="A372" s="48"/>
      <c r="B372" s="49"/>
      <c r="C372" s="51"/>
      <c r="D372" s="52"/>
      <c r="E372" s="52"/>
      <c r="F372" s="11"/>
      <c r="G372" s="52">
        <f t="shared" si="88"/>
        <v>0</v>
      </c>
      <c r="H372" s="11"/>
      <c r="I372" s="11"/>
      <c r="J372" s="11"/>
      <c r="K372" s="57"/>
      <c r="L372" s="52">
        <f t="shared" si="97"/>
        <v>0</v>
      </c>
      <c r="M372" s="52">
        <f t="shared" si="98"/>
        <v>0</v>
      </c>
      <c r="N372" s="52">
        <f t="shared" si="99"/>
        <v>0</v>
      </c>
      <c r="O372" s="52">
        <f t="shared" si="100"/>
        <v>0</v>
      </c>
    </row>
    <row r="373" spans="1:15" ht="15.9" customHeight="1">
      <c r="A373" s="48"/>
      <c r="B373" s="49"/>
      <c r="C373" s="51"/>
      <c r="D373" s="52"/>
      <c r="E373" s="52"/>
      <c r="F373" s="11"/>
      <c r="G373" s="52">
        <f t="shared" si="88"/>
        <v>0</v>
      </c>
      <c r="H373" s="11"/>
      <c r="I373" s="11"/>
      <c r="J373" s="11"/>
      <c r="K373" s="57"/>
      <c r="L373" s="52">
        <f t="shared" si="97"/>
        <v>0</v>
      </c>
      <c r="M373" s="52">
        <f t="shared" si="98"/>
        <v>0</v>
      </c>
      <c r="N373" s="52">
        <f t="shared" si="99"/>
        <v>0</v>
      </c>
      <c r="O373" s="52">
        <f t="shared" si="100"/>
        <v>0</v>
      </c>
    </row>
    <row r="374" spans="1:15" ht="15.9" customHeight="1">
      <c r="A374" s="48"/>
      <c r="B374" s="49"/>
      <c r="C374" s="51"/>
      <c r="D374" s="52"/>
      <c r="E374" s="52"/>
      <c r="F374" s="11"/>
      <c r="G374" s="52">
        <f t="shared" si="88"/>
        <v>0</v>
      </c>
      <c r="H374" s="11"/>
      <c r="I374" s="11"/>
      <c r="J374" s="11"/>
      <c r="K374" s="57"/>
      <c r="L374" s="52">
        <f t="shared" si="97"/>
        <v>0</v>
      </c>
      <c r="M374" s="52">
        <f t="shared" si="98"/>
        <v>0</v>
      </c>
      <c r="N374" s="52">
        <f t="shared" si="99"/>
        <v>0</v>
      </c>
      <c r="O374" s="52">
        <f t="shared" si="100"/>
        <v>0</v>
      </c>
    </row>
    <row r="375" spans="1:15" ht="15.9" customHeight="1">
      <c r="A375" s="48"/>
      <c r="B375" s="49"/>
      <c r="C375" s="51"/>
      <c r="D375" s="52"/>
      <c r="E375" s="52"/>
      <c r="F375" s="11"/>
      <c r="G375" s="52">
        <f t="shared" si="88"/>
        <v>0</v>
      </c>
      <c r="H375" s="11"/>
      <c r="I375" s="11"/>
      <c r="J375" s="11"/>
      <c r="K375" s="57"/>
      <c r="L375" s="52">
        <f t="shared" si="97"/>
        <v>0</v>
      </c>
      <c r="M375" s="52">
        <f t="shared" si="98"/>
        <v>0</v>
      </c>
      <c r="N375" s="52">
        <f t="shared" si="99"/>
        <v>0</v>
      </c>
      <c r="O375" s="52">
        <f t="shared" si="100"/>
        <v>0</v>
      </c>
    </row>
    <row r="376" spans="1:15" ht="15.9" customHeight="1">
      <c r="A376" s="48"/>
      <c r="B376" s="49"/>
      <c r="C376" s="51"/>
      <c r="D376" s="52"/>
      <c r="E376" s="52"/>
      <c r="F376" s="11"/>
      <c r="G376" s="52">
        <f t="shared" si="88"/>
        <v>0</v>
      </c>
      <c r="H376" s="11"/>
      <c r="I376" s="11"/>
      <c r="J376" s="11"/>
      <c r="K376" s="57"/>
      <c r="L376" s="52">
        <f t="shared" si="97"/>
        <v>0</v>
      </c>
      <c r="M376" s="52">
        <f t="shared" si="98"/>
        <v>0</v>
      </c>
      <c r="N376" s="52">
        <f t="shared" si="99"/>
        <v>0</v>
      </c>
      <c r="O376" s="52">
        <f t="shared" si="100"/>
        <v>0</v>
      </c>
    </row>
    <row r="377" spans="1:15" ht="15.9" customHeight="1">
      <c r="A377" s="48"/>
      <c r="B377" s="49"/>
      <c r="C377" s="51"/>
      <c r="D377" s="52"/>
      <c r="E377" s="52"/>
      <c r="F377" s="11"/>
      <c r="G377" s="52">
        <f t="shared" si="88"/>
        <v>0</v>
      </c>
      <c r="H377" s="11"/>
      <c r="I377" s="11"/>
      <c r="J377" s="11"/>
      <c r="K377" s="57"/>
      <c r="L377" s="52">
        <f t="shared" si="97"/>
        <v>0</v>
      </c>
      <c r="M377" s="52">
        <f t="shared" si="98"/>
        <v>0</v>
      </c>
      <c r="N377" s="52">
        <f t="shared" si="99"/>
        <v>0</v>
      </c>
      <c r="O377" s="52">
        <f t="shared" si="100"/>
        <v>0</v>
      </c>
    </row>
    <row r="378" spans="1:15" ht="15.9" customHeight="1">
      <c r="A378" s="48"/>
      <c r="B378" s="49"/>
      <c r="C378" s="51"/>
      <c r="D378" s="52"/>
      <c r="E378" s="52"/>
      <c r="F378" s="11"/>
      <c r="G378" s="52">
        <f t="shared" si="88"/>
        <v>0</v>
      </c>
      <c r="H378" s="11"/>
      <c r="I378" s="11"/>
      <c r="J378" s="11"/>
      <c r="K378" s="57"/>
      <c r="L378" s="52">
        <f t="shared" si="97"/>
        <v>0</v>
      </c>
      <c r="M378" s="52">
        <f t="shared" si="98"/>
        <v>0</v>
      </c>
      <c r="N378" s="52">
        <f t="shared" si="99"/>
        <v>0</v>
      </c>
      <c r="O378" s="52">
        <f t="shared" si="100"/>
        <v>0</v>
      </c>
    </row>
    <row r="379" spans="1:15" ht="15.9" customHeight="1">
      <c r="A379" s="48"/>
      <c r="B379" s="49"/>
      <c r="C379" s="51"/>
      <c r="D379" s="52"/>
      <c r="E379" s="52"/>
      <c r="F379" s="11"/>
      <c r="G379" s="52">
        <f t="shared" si="88"/>
        <v>0</v>
      </c>
      <c r="H379" s="11"/>
      <c r="I379" s="11"/>
      <c r="J379" s="11"/>
      <c r="K379" s="57"/>
      <c r="L379" s="52">
        <f t="shared" si="97"/>
        <v>0</v>
      </c>
      <c r="M379" s="52">
        <f t="shared" si="98"/>
        <v>0</v>
      </c>
      <c r="N379" s="52">
        <f t="shared" si="99"/>
        <v>0</v>
      </c>
      <c r="O379" s="52">
        <f t="shared" si="100"/>
        <v>0</v>
      </c>
    </row>
    <row r="380" spans="1:15" ht="15.9" customHeight="1">
      <c r="A380" s="48"/>
      <c r="B380" s="49"/>
      <c r="C380" s="51"/>
      <c r="D380" s="52"/>
      <c r="E380" s="52"/>
      <c r="F380" s="11"/>
      <c r="G380" s="52">
        <f t="shared" si="88"/>
        <v>0</v>
      </c>
      <c r="H380" s="11"/>
      <c r="I380" s="11"/>
      <c r="J380" s="11"/>
      <c r="K380" s="57"/>
      <c r="L380" s="52">
        <f t="shared" si="97"/>
        <v>0</v>
      </c>
      <c r="M380" s="52">
        <f t="shared" si="98"/>
        <v>0</v>
      </c>
      <c r="N380" s="52">
        <f t="shared" si="99"/>
        <v>0</v>
      </c>
      <c r="O380" s="52">
        <f t="shared" si="100"/>
        <v>0</v>
      </c>
    </row>
    <row r="381" spans="1:15" ht="15.9" customHeight="1">
      <c r="A381" s="48"/>
      <c r="B381" s="49"/>
      <c r="C381" s="51"/>
      <c r="D381" s="52"/>
      <c r="E381" s="52"/>
      <c r="F381" s="11"/>
      <c r="G381" s="52">
        <f t="shared" si="88"/>
        <v>0</v>
      </c>
      <c r="H381" s="11"/>
      <c r="I381" s="11"/>
      <c r="J381" s="11"/>
      <c r="K381" s="57"/>
      <c r="L381" s="52">
        <f t="shared" si="97"/>
        <v>0</v>
      </c>
      <c r="M381" s="52">
        <f t="shared" si="98"/>
        <v>0</v>
      </c>
      <c r="N381" s="52">
        <f t="shared" si="99"/>
        <v>0</v>
      </c>
      <c r="O381" s="52">
        <f t="shared" si="100"/>
        <v>0</v>
      </c>
    </row>
    <row r="382" spans="1:15" ht="15.9" customHeight="1">
      <c r="A382" s="48"/>
      <c r="B382" s="49"/>
      <c r="C382" s="51"/>
      <c r="D382" s="52"/>
      <c r="E382" s="52"/>
      <c r="F382" s="11"/>
      <c r="G382" s="52">
        <f t="shared" si="88"/>
        <v>0</v>
      </c>
      <c r="H382" s="11"/>
      <c r="I382" s="11"/>
      <c r="J382" s="11"/>
      <c r="K382" s="57"/>
      <c r="L382" s="52">
        <f t="shared" ref="L382:L396" si="101">G382*H382/100</f>
        <v>0</v>
      </c>
      <c r="M382" s="52">
        <f t="shared" ref="M382:M396" si="102">G382*I382/100</f>
        <v>0</v>
      </c>
      <c r="N382" s="52">
        <f t="shared" ref="N382:N396" si="103">G382*J382/100</f>
        <v>0</v>
      </c>
      <c r="O382" s="52">
        <f t="shared" ref="O382:O396" si="104">G382*K382/1000</f>
        <v>0</v>
      </c>
    </row>
    <row r="383" spans="1:15" ht="15.9" customHeight="1">
      <c r="A383" s="48"/>
      <c r="B383" s="49"/>
      <c r="C383" s="51"/>
      <c r="D383" s="52"/>
      <c r="E383" s="52"/>
      <c r="F383" s="11"/>
      <c r="G383" s="52">
        <f t="shared" si="88"/>
        <v>0</v>
      </c>
      <c r="H383" s="11"/>
      <c r="I383" s="11"/>
      <c r="J383" s="11"/>
      <c r="K383" s="57"/>
      <c r="L383" s="52">
        <f t="shared" si="101"/>
        <v>0</v>
      </c>
      <c r="M383" s="52">
        <f t="shared" si="102"/>
        <v>0</v>
      </c>
      <c r="N383" s="52">
        <f t="shared" si="103"/>
        <v>0</v>
      </c>
      <c r="O383" s="52">
        <f t="shared" si="104"/>
        <v>0</v>
      </c>
    </row>
    <row r="384" spans="1:15" ht="15.9" customHeight="1">
      <c r="A384" s="48"/>
      <c r="B384" s="49"/>
      <c r="C384" s="51"/>
      <c r="D384" s="52"/>
      <c r="E384" s="52"/>
      <c r="F384" s="11"/>
      <c r="G384" s="52">
        <f t="shared" si="88"/>
        <v>0</v>
      </c>
      <c r="H384" s="11"/>
      <c r="I384" s="11"/>
      <c r="J384" s="11"/>
      <c r="K384" s="57"/>
      <c r="L384" s="52">
        <f t="shared" si="101"/>
        <v>0</v>
      </c>
      <c r="M384" s="52">
        <f t="shared" si="102"/>
        <v>0</v>
      </c>
      <c r="N384" s="52">
        <f t="shared" si="103"/>
        <v>0</v>
      </c>
      <c r="O384" s="52">
        <f t="shared" si="104"/>
        <v>0</v>
      </c>
    </row>
    <row r="385" spans="1:15" ht="15.9" customHeight="1">
      <c r="A385" s="48"/>
      <c r="B385" s="49"/>
      <c r="C385" s="51"/>
      <c r="D385" s="52"/>
      <c r="E385" s="52"/>
      <c r="F385" s="11"/>
      <c r="G385" s="52">
        <f t="shared" si="88"/>
        <v>0</v>
      </c>
      <c r="H385" s="11"/>
      <c r="I385" s="11"/>
      <c r="J385" s="11"/>
      <c r="K385" s="57"/>
      <c r="L385" s="52">
        <f t="shared" si="101"/>
        <v>0</v>
      </c>
      <c r="M385" s="52">
        <f t="shared" si="102"/>
        <v>0</v>
      </c>
      <c r="N385" s="52">
        <f t="shared" si="103"/>
        <v>0</v>
      </c>
      <c r="O385" s="52">
        <f t="shared" si="104"/>
        <v>0</v>
      </c>
    </row>
    <row r="386" spans="1:15" ht="15.9" customHeight="1">
      <c r="A386" s="48"/>
      <c r="B386" s="49"/>
      <c r="C386" s="51"/>
      <c r="D386" s="52"/>
      <c r="E386" s="52"/>
      <c r="F386" s="11"/>
      <c r="G386" s="52">
        <f t="shared" si="88"/>
        <v>0</v>
      </c>
      <c r="H386" s="11"/>
      <c r="I386" s="11"/>
      <c r="J386" s="11"/>
      <c r="K386" s="57"/>
      <c r="L386" s="52">
        <f t="shared" si="101"/>
        <v>0</v>
      </c>
      <c r="M386" s="52">
        <f t="shared" si="102"/>
        <v>0</v>
      </c>
      <c r="N386" s="52">
        <f t="shared" si="103"/>
        <v>0</v>
      </c>
      <c r="O386" s="52">
        <f t="shared" si="104"/>
        <v>0</v>
      </c>
    </row>
    <row r="387" spans="1:15" ht="15.9" customHeight="1">
      <c r="A387" s="48"/>
      <c r="B387" s="49"/>
      <c r="C387" s="51"/>
      <c r="D387" s="52"/>
      <c r="E387" s="52"/>
      <c r="F387" s="11"/>
      <c r="G387" s="52">
        <f t="shared" si="88"/>
        <v>0</v>
      </c>
      <c r="H387" s="11"/>
      <c r="I387" s="11"/>
      <c r="J387" s="11"/>
      <c r="K387" s="57"/>
      <c r="L387" s="52">
        <f t="shared" si="101"/>
        <v>0</v>
      </c>
      <c r="M387" s="52">
        <f t="shared" si="102"/>
        <v>0</v>
      </c>
      <c r="N387" s="52">
        <f t="shared" si="103"/>
        <v>0</v>
      </c>
      <c r="O387" s="52">
        <f t="shared" si="104"/>
        <v>0</v>
      </c>
    </row>
    <row r="388" spans="1:15" ht="15.9" customHeight="1">
      <c r="A388" s="48"/>
      <c r="B388" s="49"/>
      <c r="C388" s="51"/>
      <c r="D388" s="52"/>
      <c r="E388" s="52"/>
      <c r="F388" s="11"/>
      <c r="G388" s="52">
        <f t="shared" si="88"/>
        <v>0</v>
      </c>
      <c r="H388" s="11"/>
      <c r="I388" s="11"/>
      <c r="J388" s="11"/>
      <c r="K388" s="57"/>
      <c r="L388" s="52">
        <f t="shared" si="101"/>
        <v>0</v>
      </c>
      <c r="M388" s="52">
        <f t="shared" si="102"/>
        <v>0</v>
      </c>
      <c r="N388" s="52">
        <f t="shared" si="103"/>
        <v>0</v>
      </c>
      <c r="O388" s="52">
        <f t="shared" si="104"/>
        <v>0</v>
      </c>
    </row>
    <row r="389" spans="1:15" ht="15.9" customHeight="1">
      <c r="A389" s="48"/>
      <c r="B389" s="49"/>
      <c r="C389" s="51"/>
      <c r="D389" s="52"/>
      <c r="E389" s="52"/>
      <c r="F389" s="11"/>
      <c r="G389" s="52">
        <f t="shared" si="88"/>
        <v>0</v>
      </c>
      <c r="H389" s="11"/>
      <c r="I389" s="11"/>
      <c r="J389" s="11"/>
      <c r="K389" s="57"/>
      <c r="L389" s="52">
        <f t="shared" si="101"/>
        <v>0</v>
      </c>
      <c r="M389" s="52">
        <f t="shared" si="102"/>
        <v>0</v>
      </c>
      <c r="N389" s="52">
        <f t="shared" si="103"/>
        <v>0</v>
      </c>
      <c r="O389" s="52">
        <f t="shared" si="104"/>
        <v>0</v>
      </c>
    </row>
    <row r="390" spans="1:15" ht="15.9" customHeight="1">
      <c r="A390" s="48"/>
      <c r="B390" s="49"/>
      <c r="C390" s="51"/>
      <c r="D390" s="52"/>
      <c r="E390" s="52"/>
      <c r="F390" s="11"/>
      <c r="G390" s="52">
        <f t="shared" si="88"/>
        <v>0</v>
      </c>
      <c r="H390" s="11"/>
      <c r="I390" s="11"/>
      <c r="J390" s="11"/>
      <c r="K390" s="57"/>
      <c r="L390" s="52">
        <f t="shared" si="101"/>
        <v>0</v>
      </c>
      <c r="M390" s="52">
        <f t="shared" si="102"/>
        <v>0</v>
      </c>
      <c r="N390" s="52">
        <f t="shared" si="103"/>
        <v>0</v>
      </c>
      <c r="O390" s="52">
        <f t="shared" si="104"/>
        <v>0</v>
      </c>
    </row>
    <row r="391" spans="1:15" ht="15.9" customHeight="1">
      <c r="A391" s="48"/>
      <c r="B391" s="49"/>
      <c r="C391" s="51"/>
      <c r="D391" s="52"/>
      <c r="E391" s="52"/>
      <c r="F391" s="11"/>
      <c r="G391" s="52">
        <f t="shared" si="88"/>
        <v>0</v>
      </c>
      <c r="H391" s="11"/>
      <c r="I391" s="11"/>
      <c r="J391" s="11"/>
      <c r="K391" s="57"/>
      <c r="L391" s="52">
        <f t="shared" si="101"/>
        <v>0</v>
      </c>
      <c r="M391" s="52">
        <f t="shared" si="102"/>
        <v>0</v>
      </c>
      <c r="N391" s="52">
        <f t="shared" si="103"/>
        <v>0</v>
      </c>
      <c r="O391" s="52">
        <f t="shared" si="104"/>
        <v>0</v>
      </c>
    </row>
    <row r="392" spans="1:15" ht="15.9" customHeight="1">
      <c r="A392" s="48"/>
      <c r="B392" s="49"/>
      <c r="C392" s="51"/>
      <c r="D392" s="52"/>
      <c r="E392" s="52"/>
      <c r="F392" s="11"/>
      <c r="G392" s="52">
        <f t="shared" si="88"/>
        <v>0</v>
      </c>
      <c r="H392" s="11"/>
      <c r="I392" s="11"/>
      <c r="J392" s="11"/>
      <c r="K392" s="57"/>
      <c r="L392" s="52">
        <f t="shared" si="101"/>
        <v>0</v>
      </c>
      <c r="M392" s="52">
        <f t="shared" si="102"/>
        <v>0</v>
      </c>
      <c r="N392" s="52">
        <f t="shared" si="103"/>
        <v>0</v>
      </c>
      <c r="O392" s="52">
        <f t="shared" si="104"/>
        <v>0</v>
      </c>
    </row>
    <row r="393" spans="1:15" ht="15.9" customHeight="1">
      <c r="A393" s="48"/>
      <c r="B393" s="49"/>
      <c r="C393" s="51"/>
      <c r="D393" s="52"/>
      <c r="E393" s="52"/>
      <c r="F393" s="11"/>
      <c r="G393" s="52">
        <f t="shared" si="88"/>
        <v>0</v>
      </c>
      <c r="H393" s="11"/>
      <c r="I393" s="11"/>
      <c r="J393" s="11"/>
      <c r="K393" s="57"/>
      <c r="L393" s="52">
        <f t="shared" si="101"/>
        <v>0</v>
      </c>
      <c r="M393" s="52">
        <f t="shared" si="102"/>
        <v>0</v>
      </c>
      <c r="N393" s="52">
        <f t="shared" si="103"/>
        <v>0</v>
      </c>
      <c r="O393" s="52">
        <f t="shared" si="104"/>
        <v>0</v>
      </c>
    </row>
    <row r="394" spans="1:15" ht="15.9" customHeight="1">
      <c r="A394" s="48"/>
      <c r="B394" s="49"/>
      <c r="C394" s="51"/>
      <c r="D394" s="52"/>
      <c r="E394" s="52"/>
      <c r="F394" s="11"/>
      <c r="G394" s="52">
        <f t="shared" si="88"/>
        <v>0</v>
      </c>
      <c r="H394" s="11"/>
      <c r="I394" s="11"/>
      <c r="J394" s="11"/>
      <c r="K394" s="57"/>
      <c r="L394" s="52">
        <f t="shared" si="101"/>
        <v>0</v>
      </c>
      <c r="M394" s="52">
        <f t="shared" si="102"/>
        <v>0</v>
      </c>
      <c r="N394" s="52">
        <f t="shared" si="103"/>
        <v>0</v>
      </c>
      <c r="O394" s="52">
        <f t="shared" si="104"/>
        <v>0</v>
      </c>
    </row>
    <row r="395" spans="1:15" ht="15.9" customHeight="1">
      <c r="A395" s="48"/>
      <c r="B395" s="49"/>
      <c r="C395" s="51"/>
      <c r="D395" s="52"/>
      <c r="E395" s="52"/>
      <c r="F395" s="11"/>
      <c r="G395" s="52">
        <f t="shared" si="88"/>
        <v>0</v>
      </c>
      <c r="H395" s="11"/>
      <c r="I395" s="11"/>
      <c r="J395" s="11"/>
      <c r="K395" s="57"/>
      <c r="L395" s="52">
        <f t="shared" si="101"/>
        <v>0</v>
      </c>
      <c r="M395" s="52">
        <f t="shared" si="102"/>
        <v>0</v>
      </c>
      <c r="N395" s="52">
        <f t="shared" si="103"/>
        <v>0</v>
      </c>
      <c r="O395" s="52">
        <f t="shared" si="104"/>
        <v>0</v>
      </c>
    </row>
    <row r="396" spans="1:15" ht="15.9" customHeight="1">
      <c r="A396" s="48"/>
      <c r="B396" s="49"/>
      <c r="C396" s="51"/>
      <c r="D396" s="52"/>
      <c r="E396" s="52"/>
      <c r="F396" s="11"/>
      <c r="G396" s="52">
        <f t="shared" si="88"/>
        <v>0</v>
      </c>
      <c r="H396" s="11"/>
      <c r="I396" s="11"/>
      <c r="J396" s="11"/>
      <c r="K396" s="57"/>
      <c r="L396" s="52">
        <f t="shared" si="101"/>
        <v>0</v>
      </c>
      <c r="M396" s="52">
        <f t="shared" si="102"/>
        <v>0</v>
      </c>
      <c r="N396" s="52">
        <f t="shared" si="103"/>
        <v>0</v>
      </c>
      <c r="O396" s="52">
        <f t="shared" si="104"/>
        <v>0</v>
      </c>
    </row>
    <row r="397" spans="1:15" ht="15.9" customHeight="1">
      <c r="A397" s="48"/>
      <c r="B397" s="49"/>
      <c r="C397" s="51"/>
      <c r="D397" s="52"/>
      <c r="E397" s="52"/>
      <c r="F397" s="11"/>
      <c r="G397" s="52">
        <f t="shared" si="88"/>
        <v>0</v>
      </c>
      <c r="H397" s="11"/>
      <c r="I397" s="11"/>
      <c r="J397" s="11"/>
      <c r="K397" s="57"/>
      <c r="L397" s="52">
        <f t="shared" ref="L397:L411" si="105">G397*H397/100</f>
        <v>0</v>
      </c>
      <c r="M397" s="52">
        <f t="shared" ref="M397:M411" si="106">G397*I397/100</f>
        <v>0</v>
      </c>
      <c r="N397" s="52">
        <f t="shared" ref="N397:N411" si="107">G397*J397/100</f>
        <v>0</v>
      </c>
      <c r="O397" s="52">
        <f t="shared" ref="O397:O411" si="108">G397*K397/1000</f>
        <v>0</v>
      </c>
    </row>
    <row r="398" spans="1:15" ht="15.9" customHeight="1">
      <c r="A398" s="48"/>
      <c r="B398" s="49"/>
      <c r="C398" s="51"/>
      <c r="D398" s="52"/>
      <c r="E398" s="52"/>
      <c r="F398" s="11"/>
      <c r="G398" s="52">
        <f t="shared" si="88"/>
        <v>0</v>
      </c>
      <c r="H398" s="11"/>
      <c r="I398" s="11"/>
      <c r="J398" s="11"/>
      <c r="K398" s="57"/>
      <c r="L398" s="52">
        <f t="shared" si="105"/>
        <v>0</v>
      </c>
      <c r="M398" s="52">
        <f t="shared" si="106"/>
        <v>0</v>
      </c>
      <c r="N398" s="52">
        <f t="shared" si="107"/>
        <v>0</v>
      </c>
      <c r="O398" s="52">
        <f t="shared" si="108"/>
        <v>0</v>
      </c>
    </row>
    <row r="399" spans="1:15" ht="15.9" customHeight="1">
      <c r="A399" s="48"/>
      <c r="B399" s="49"/>
      <c r="C399" s="51"/>
      <c r="D399" s="52"/>
      <c r="E399" s="52"/>
      <c r="F399" s="11"/>
      <c r="G399" s="52">
        <f t="shared" si="88"/>
        <v>0</v>
      </c>
      <c r="H399" s="11"/>
      <c r="I399" s="11"/>
      <c r="J399" s="11"/>
      <c r="K399" s="57"/>
      <c r="L399" s="52">
        <f t="shared" si="105"/>
        <v>0</v>
      </c>
      <c r="M399" s="52">
        <f t="shared" si="106"/>
        <v>0</v>
      </c>
      <c r="N399" s="52">
        <f t="shared" si="107"/>
        <v>0</v>
      </c>
      <c r="O399" s="52">
        <f t="shared" si="108"/>
        <v>0</v>
      </c>
    </row>
    <row r="400" spans="1:15" ht="15.9" customHeight="1">
      <c r="A400" s="48"/>
      <c r="B400" s="49"/>
      <c r="C400" s="51"/>
      <c r="D400" s="52"/>
      <c r="E400" s="52"/>
      <c r="F400" s="11"/>
      <c r="G400" s="52">
        <f t="shared" si="88"/>
        <v>0</v>
      </c>
      <c r="H400" s="11"/>
      <c r="I400" s="11"/>
      <c r="J400" s="11"/>
      <c r="K400" s="57"/>
      <c r="L400" s="52">
        <f t="shared" si="105"/>
        <v>0</v>
      </c>
      <c r="M400" s="52">
        <f t="shared" si="106"/>
        <v>0</v>
      </c>
      <c r="N400" s="52">
        <f t="shared" si="107"/>
        <v>0</v>
      </c>
      <c r="O400" s="52">
        <f t="shared" si="108"/>
        <v>0</v>
      </c>
    </row>
    <row r="401" spans="1:15" ht="15.9" customHeight="1">
      <c r="A401" s="48"/>
      <c r="B401" s="49"/>
      <c r="C401" s="51"/>
      <c r="D401" s="52"/>
      <c r="E401" s="52"/>
      <c r="F401" s="11"/>
      <c r="G401" s="52">
        <f t="shared" si="88"/>
        <v>0</v>
      </c>
      <c r="H401" s="11"/>
      <c r="I401" s="11"/>
      <c r="J401" s="11"/>
      <c r="K401" s="57"/>
      <c r="L401" s="52">
        <f t="shared" si="105"/>
        <v>0</v>
      </c>
      <c r="M401" s="52">
        <f t="shared" si="106"/>
        <v>0</v>
      </c>
      <c r="N401" s="52">
        <f t="shared" si="107"/>
        <v>0</v>
      </c>
      <c r="O401" s="52">
        <f t="shared" si="108"/>
        <v>0</v>
      </c>
    </row>
    <row r="402" spans="1:15" ht="15.9" customHeight="1">
      <c r="A402" s="48"/>
      <c r="B402" s="49"/>
      <c r="C402" s="51"/>
      <c r="D402" s="52"/>
      <c r="E402" s="52"/>
      <c r="F402" s="11"/>
      <c r="G402" s="52">
        <f t="shared" si="88"/>
        <v>0</v>
      </c>
      <c r="H402" s="11"/>
      <c r="I402" s="11"/>
      <c r="J402" s="11"/>
      <c r="K402" s="57"/>
      <c r="L402" s="52">
        <f t="shared" si="105"/>
        <v>0</v>
      </c>
      <c r="M402" s="52">
        <f t="shared" si="106"/>
        <v>0</v>
      </c>
      <c r="N402" s="52">
        <f t="shared" si="107"/>
        <v>0</v>
      </c>
      <c r="O402" s="52">
        <f t="shared" si="108"/>
        <v>0</v>
      </c>
    </row>
    <row r="403" spans="1:15" ht="15.9" customHeight="1">
      <c r="A403" s="48"/>
      <c r="B403" s="49"/>
      <c r="C403" s="51"/>
      <c r="D403" s="52"/>
      <c r="E403" s="52"/>
      <c r="F403" s="11"/>
      <c r="G403" s="52">
        <f t="shared" si="88"/>
        <v>0</v>
      </c>
      <c r="H403" s="11"/>
      <c r="I403" s="11"/>
      <c r="J403" s="11"/>
      <c r="K403" s="57"/>
      <c r="L403" s="52">
        <f t="shared" si="105"/>
        <v>0</v>
      </c>
      <c r="M403" s="52">
        <f t="shared" si="106"/>
        <v>0</v>
      </c>
      <c r="N403" s="52">
        <f t="shared" si="107"/>
        <v>0</v>
      </c>
      <c r="O403" s="52">
        <f t="shared" si="108"/>
        <v>0</v>
      </c>
    </row>
    <row r="404" spans="1:15" ht="15.9" customHeight="1">
      <c r="A404" s="48"/>
      <c r="B404" s="49"/>
      <c r="C404" s="51"/>
      <c r="D404" s="52"/>
      <c r="E404" s="52"/>
      <c r="F404" s="11"/>
      <c r="G404" s="52">
        <f t="shared" si="88"/>
        <v>0</v>
      </c>
      <c r="H404" s="11"/>
      <c r="I404" s="11"/>
      <c r="J404" s="11"/>
      <c r="K404" s="57"/>
      <c r="L404" s="52">
        <f t="shared" si="105"/>
        <v>0</v>
      </c>
      <c r="M404" s="52">
        <f t="shared" si="106"/>
        <v>0</v>
      </c>
      <c r="N404" s="52">
        <f t="shared" si="107"/>
        <v>0</v>
      </c>
      <c r="O404" s="52">
        <f t="shared" si="108"/>
        <v>0</v>
      </c>
    </row>
    <row r="405" spans="1:15" ht="15.9" customHeight="1">
      <c r="A405" s="48"/>
      <c r="B405" s="49"/>
      <c r="C405" s="51"/>
      <c r="D405" s="52"/>
      <c r="E405" s="52"/>
      <c r="F405" s="11"/>
      <c r="G405" s="52">
        <f t="shared" si="88"/>
        <v>0</v>
      </c>
      <c r="H405" s="11"/>
      <c r="I405" s="11"/>
      <c r="J405" s="11"/>
      <c r="K405" s="57"/>
      <c r="L405" s="52">
        <f t="shared" si="105"/>
        <v>0</v>
      </c>
      <c r="M405" s="52">
        <f t="shared" si="106"/>
        <v>0</v>
      </c>
      <c r="N405" s="52">
        <f t="shared" si="107"/>
        <v>0</v>
      </c>
      <c r="O405" s="52">
        <f t="shared" si="108"/>
        <v>0</v>
      </c>
    </row>
    <row r="406" spans="1:15" ht="15.9" customHeight="1">
      <c r="A406" s="48"/>
      <c r="B406" s="49"/>
      <c r="C406" s="51"/>
      <c r="D406" s="52"/>
      <c r="E406" s="52"/>
      <c r="F406" s="11"/>
      <c r="G406" s="52">
        <f t="shared" si="88"/>
        <v>0</v>
      </c>
      <c r="H406" s="11"/>
      <c r="I406" s="11"/>
      <c r="J406" s="11"/>
      <c r="K406" s="57"/>
      <c r="L406" s="52">
        <f t="shared" si="105"/>
        <v>0</v>
      </c>
      <c r="M406" s="52">
        <f t="shared" si="106"/>
        <v>0</v>
      </c>
      <c r="N406" s="52">
        <f t="shared" si="107"/>
        <v>0</v>
      </c>
      <c r="O406" s="52">
        <f t="shared" si="108"/>
        <v>0</v>
      </c>
    </row>
    <row r="407" spans="1:15" ht="15.9" customHeight="1">
      <c r="A407" s="48"/>
      <c r="B407" s="49"/>
      <c r="C407" s="51"/>
      <c r="D407" s="52"/>
      <c r="E407" s="52"/>
      <c r="F407" s="11"/>
      <c r="G407" s="52">
        <f t="shared" si="88"/>
        <v>0</v>
      </c>
      <c r="H407" s="11"/>
      <c r="I407" s="11"/>
      <c r="J407" s="11"/>
      <c r="K407" s="57"/>
      <c r="L407" s="52">
        <f t="shared" si="105"/>
        <v>0</v>
      </c>
      <c r="M407" s="52">
        <f t="shared" si="106"/>
        <v>0</v>
      </c>
      <c r="N407" s="52">
        <f t="shared" si="107"/>
        <v>0</v>
      </c>
      <c r="O407" s="52">
        <f t="shared" si="108"/>
        <v>0</v>
      </c>
    </row>
    <row r="408" spans="1:15" ht="15.9" customHeight="1">
      <c r="A408" s="48"/>
      <c r="B408" s="49"/>
      <c r="C408" s="51"/>
      <c r="D408" s="52"/>
      <c r="E408" s="52"/>
      <c r="F408" s="11"/>
      <c r="G408" s="52">
        <f t="shared" si="88"/>
        <v>0</v>
      </c>
      <c r="H408" s="11"/>
      <c r="I408" s="11"/>
      <c r="J408" s="11"/>
      <c r="K408" s="57"/>
      <c r="L408" s="52">
        <f t="shared" si="105"/>
        <v>0</v>
      </c>
      <c r="M408" s="52">
        <f t="shared" si="106"/>
        <v>0</v>
      </c>
      <c r="N408" s="52">
        <f t="shared" si="107"/>
        <v>0</v>
      </c>
      <c r="O408" s="52">
        <f t="shared" si="108"/>
        <v>0</v>
      </c>
    </row>
    <row r="409" spans="1:15" ht="15.9" customHeight="1">
      <c r="A409" s="48"/>
      <c r="B409" s="49"/>
      <c r="C409" s="51"/>
      <c r="D409" s="52"/>
      <c r="E409" s="52"/>
      <c r="F409" s="11"/>
      <c r="G409" s="52">
        <f t="shared" si="88"/>
        <v>0</v>
      </c>
      <c r="H409" s="11"/>
      <c r="I409" s="11"/>
      <c r="J409" s="11"/>
      <c r="K409" s="57"/>
      <c r="L409" s="52">
        <f t="shared" si="105"/>
        <v>0</v>
      </c>
      <c r="M409" s="52">
        <f t="shared" si="106"/>
        <v>0</v>
      </c>
      <c r="N409" s="52">
        <f t="shared" si="107"/>
        <v>0</v>
      </c>
      <c r="O409" s="52">
        <f t="shared" si="108"/>
        <v>0</v>
      </c>
    </row>
    <row r="410" spans="1:15" ht="15.9" customHeight="1">
      <c r="A410" s="48"/>
      <c r="B410" s="49"/>
      <c r="C410" s="51"/>
      <c r="D410" s="52"/>
      <c r="E410" s="52"/>
      <c r="F410" s="11"/>
      <c r="G410" s="52">
        <f t="shared" si="88"/>
        <v>0</v>
      </c>
      <c r="H410" s="11"/>
      <c r="I410" s="11"/>
      <c r="J410" s="11"/>
      <c r="K410" s="57"/>
      <c r="L410" s="52">
        <f t="shared" si="105"/>
        <v>0</v>
      </c>
      <c r="M410" s="52">
        <f t="shared" si="106"/>
        <v>0</v>
      </c>
      <c r="N410" s="52">
        <f t="shared" si="107"/>
        <v>0</v>
      </c>
      <c r="O410" s="52">
        <f t="shared" si="108"/>
        <v>0</v>
      </c>
    </row>
    <row r="411" spans="1:15" ht="15.9" customHeight="1">
      <c r="A411" s="48"/>
      <c r="B411" s="49"/>
      <c r="C411" s="51"/>
      <c r="D411" s="52"/>
      <c r="E411" s="52"/>
      <c r="F411" s="11"/>
      <c r="G411" s="52">
        <f t="shared" si="88"/>
        <v>0</v>
      </c>
      <c r="H411" s="11"/>
      <c r="I411" s="11"/>
      <c r="J411" s="11"/>
      <c r="K411" s="57"/>
      <c r="L411" s="52">
        <f t="shared" si="105"/>
        <v>0</v>
      </c>
      <c r="M411" s="52">
        <f t="shared" si="106"/>
        <v>0</v>
      </c>
      <c r="N411" s="52">
        <f t="shared" si="107"/>
        <v>0</v>
      </c>
      <c r="O411" s="52">
        <f t="shared" si="108"/>
        <v>0</v>
      </c>
    </row>
    <row r="412" spans="1:15" ht="15.9" customHeight="1">
      <c r="A412" s="48"/>
      <c r="B412" s="49"/>
      <c r="C412" s="51"/>
      <c r="D412" s="52"/>
      <c r="E412" s="52"/>
      <c r="F412" s="11"/>
      <c r="G412" s="52">
        <f t="shared" si="88"/>
        <v>0</v>
      </c>
      <c r="H412" s="11"/>
      <c r="I412" s="11"/>
      <c r="J412" s="11"/>
      <c r="K412" s="57"/>
      <c r="L412" s="52">
        <f t="shared" si="93"/>
        <v>0</v>
      </c>
      <c r="M412" s="52">
        <f t="shared" si="94"/>
        <v>0</v>
      </c>
      <c r="N412" s="52">
        <f t="shared" si="95"/>
        <v>0</v>
      </c>
      <c r="O412" s="52">
        <f t="shared" si="96"/>
        <v>0</v>
      </c>
    </row>
    <row r="413" spans="1:15" ht="15.9" customHeight="1">
      <c r="A413" s="48"/>
      <c r="B413" s="49"/>
      <c r="C413" s="51"/>
      <c r="D413" s="52"/>
      <c r="E413" s="52"/>
      <c r="F413" s="11"/>
      <c r="G413" s="52">
        <f t="shared" si="88"/>
        <v>0</v>
      </c>
      <c r="H413" s="11"/>
      <c r="I413" s="11"/>
      <c r="J413" s="11"/>
      <c r="K413" s="57"/>
      <c r="L413" s="52">
        <f t="shared" si="93"/>
        <v>0</v>
      </c>
      <c r="M413" s="52">
        <f t="shared" si="94"/>
        <v>0</v>
      </c>
      <c r="N413" s="52">
        <f t="shared" si="95"/>
        <v>0</v>
      </c>
      <c r="O413" s="52">
        <f t="shared" si="96"/>
        <v>0</v>
      </c>
    </row>
    <row r="414" spans="1:15" ht="15.9" customHeight="1">
      <c r="A414" s="48"/>
      <c r="B414" s="49"/>
      <c r="C414" s="51"/>
      <c r="D414" s="52"/>
      <c r="E414" s="52"/>
      <c r="F414" s="11"/>
      <c r="G414" s="52">
        <f t="shared" si="88"/>
        <v>0</v>
      </c>
      <c r="H414" s="11"/>
      <c r="I414" s="11"/>
      <c r="J414" s="11"/>
      <c r="K414" s="57"/>
      <c r="L414" s="52">
        <f t="shared" si="93"/>
        <v>0</v>
      </c>
      <c r="M414" s="52">
        <f t="shared" si="94"/>
        <v>0</v>
      </c>
      <c r="N414" s="52">
        <f t="shared" si="95"/>
        <v>0</v>
      </c>
      <c r="O414" s="52">
        <f t="shared" si="96"/>
        <v>0</v>
      </c>
    </row>
    <row r="415" spans="1:15" ht="15.9" customHeight="1">
      <c r="A415" s="48"/>
      <c r="B415" s="49"/>
      <c r="C415" s="51"/>
      <c r="D415" s="52"/>
      <c r="E415" s="52"/>
      <c r="F415" s="11"/>
      <c r="G415" s="52">
        <f t="shared" si="88"/>
        <v>0</v>
      </c>
      <c r="H415" s="11"/>
      <c r="I415" s="11"/>
      <c r="J415" s="11"/>
      <c r="K415" s="57"/>
      <c r="L415" s="52">
        <f t="shared" si="93"/>
        <v>0</v>
      </c>
      <c r="M415" s="52">
        <f t="shared" si="94"/>
        <v>0</v>
      </c>
      <c r="N415" s="52">
        <f t="shared" si="95"/>
        <v>0</v>
      </c>
      <c r="O415" s="52">
        <f t="shared" si="96"/>
        <v>0</v>
      </c>
    </row>
    <row r="416" spans="1:15" ht="15.9" customHeight="1">
      <c r="A416" s="48"/>
      <c r="B416" s="49"/>
      <c r="C416" s="51"/>
      <c r="D416" s="52"/>
      <c r="E416" s="52"/>
      <c r="F416" s="11"/>
      <c r="G416" s="52">
        <f t="shared" si="88"/>
        <v>0</v>
      </c>
      <c r="H416" s="11"/>
      <c r="I416" s="11"/>
      <c r="J416" s="11"/>
      <c r="K416" s="57"/>
      <c r="L416" s="52">
        <f t="shared" si="93"/>
        <v>0</v>
      </c>
      <c r="M416" s="52">
        <f t="shared" si="94"/>
        <v>0</v>
      </c>
      <c r="N416" s="52">
        <f t="shared" si="95"/>
        <v>0</v>
      </c>
      <c r="O416" s="52">
        <f t="shared" si="96"/>
        <v>0</v>
      </c>
    </row>
    <row r="417" spans="1:15" ht="15.9" customHeight="1">
      <c r="A417" s="48"/>
      <c r="B417" s="49"/>
      <c r="C417" s="51"/>
      <c r="D417" s="52"/>
      <c r="E417" s="52"/>
      <c r="F417" s="11"/>
      <c r="G417" s="52">
        <f t="shared" si="88"/>
        <v>0</v>
      </c>
      <c r="H417" s="11"/>
      <c r="I417" s="11"/>
      <c r="J417" s="11"/>
      <c r="K417" s="57"/>
      <c r="L417" s="52">
        <f t="shared" si="93"/>
        <v>0</v>
      </c>
      <c r="M417" s="52">
        <f t="shared" si="94"/>
        <v>0</v>
      </c>
      <c r="N417" s="52">
        <f t="shared" si="95"/>
        <v>0</v>
      </c>
      <c r="O417" s="52">
        <f t="shared" si="96"/>
        <v>0</v>
      </c>
    </row>
    <row r="418" spans="1:15" ht="15.9" customHeight="1">
      <c r="A418" s="48"/>
      <c r="B418" s="49"/>
      <c r="C418" s="51"/>
      <c r="D418" s="52"/>
      <c r="E418" s="52"/>
      <c r="F418" s="11"/>
      <c r="G418" s="52">
        <f t="shared" si="88"/>
        <v>0</v>
      </c>
      <c r="H418" s="11"/>
      <c r="I418" s="11"/>
      <c r="J418" s="11"/>
      <c r="K418" s="57"/>
      <c r="L418" s="52">
        <f t="shared" si="93"/>
        <v>0</v>
      </c>
      <c r="M418" s="52">
        <f t="shared" si="94"/>
        <v>0</v>
      </c>
      <c r="N418" s="52">
        <f t="shared" si="95"/>
        <v>0</v>
      </c>
      <c r="O418" s="52">
        <f t="shared" si="96"/>
        <v>0</v>
      </c>
    </row>
    <row r="419" spans="1:15" ht="15.9" customHeight="1">
      <c r="A419" s="48"/>
      <c r="B419" s="49"/>
      <c r="C419" s="51"/>
      <c r="D419" s="52"/>
      <c r="E419" s="52"/>
      <c r="F419" s="11"/>
      <c r="G419" s="52">
        <f t="shared" si="88"/>
        <v>0</v>
      </c>
      <c r="H419" s="11"/>
      <c r="I419" s="11"/>
      <c r="J419" s="11"/>
      <c r="K419" s="57"/>
      <c r="L419" s="52">
        <f t="shared" si="93"/>
        <v>0</v>
      </c>
      <c r="M419" s="52">
        <f t="shared" si="94"/>
        <v>0</v>
      </c>
      <c r="N419" s="52">
        <f t="shared" si="95"/>
        <v>0</v>
      </c>
      <c r="O419" s="52">
        <f t="shared" si="96"/>
        <v>0</v>
      </c>
    </row>
    <row r="420" spans="1:15" ht="15.75" customHeight="1">
      <c r="A420" s="48"/>
      <c r="B420" s="49"/>
      <c r="C420" s="51"/>
      <c r="D420" s="52"/>
      <c r="E420" s="52"/>
      <c r="F420" s="11"/>
      <c r="G420" s="52">
        <f t="shared" si="88"/>
        <v>0</v>
      </c>
      <c r="H420" s="11"/>
      <c r="I420" s="11"/>
      <c r="J420" s="11"/>
      <c r="K420" s="57"/>
      <c r="L420" s="52">
        <f t="shared" si="93"/>
        <v>0</v>
      </c>
      <c r="M420" s="52">
        <f t="shared" si="94"/>
        <v>0</v>
      </c>
      <c r="N420" s="52">
        <f t="shared" si="95"/>
        <v>0</v>
      </c>
      <c r="O420" s="52">
        <f t="shared" si="96"/>
        <v>0</v>
      </c>
    </row>
    <row r="421" spans="1:15" ht="15.9" customHeight="1">
      <c r="A421" s="48"/>
      <c r="B421" s="49"/>
      <c r="C421" s="51"/>
      <c r="D421" s="52"/>
      <c r="E421" s="52"/>
      <c r="F421" s="11"/>
      <c r="G421" s="52">
        <f t="shared" si="88"/>
        <v>0</v>
      </c>
      <c r="H421" s="11"/>
      <c r="I421" s="11"/>
      <c r="J421" s="11"/>
      <c r="K421" s="57"/>
      <c r="L421" s="52">
        <f t="shared" si="84"/>
        <v>0</v>
      </c>
      <c r="M421" s="52">
        <f t="shared" si="85"/>
        <v>0</v>
      </c>
      <c r="N421" s="52">
        <f t="shared" si="86"/>
        <v>0</v>
      </c>
      <c r="O421" s="52">
        <f t="shared" si="87"/>
        <v>0</v>
      </c>
    </row>
    <row r="422" spans="1:15" ht="15.9" customHeight="1">
      <c r="A422" s="48"/>
      <c r="B422" s="49"/>
      <c r="C422" s="51"/>
      <c r="D422" s="52"/>
      <c r="E422" s="52"/>
      <c r="F422" s="11"/>
      <c r="G422" s="52">
        <f t="shared" si="88"/>
        <v>0</v>
      </c>
      <c r="H422" s="11"/>
      <c r="I422" s="11"/>
      <c r="J422" s="11"/>
      <c r="K422" s="57"/>
      <c r="L422" s="52">
        <f t="shared" si="84"/>
        <v>0</v>
      </c>
      <c r="M422" s="52">
        <f t="shared" si="85"/>
        <v>0</v>
      </c>
      <c r="N422" s="52">
        <f t="shared" si="86"/>
        <v>0</v>
      </c>
      <c r="O422" s="52">
        <f t="shared" si="87"/>
        <v>0</v>
      </c>
    </row>
    <row r="423" spans="1:15" ht="15.9" customHeight="1">
      <c r="A423" s="48"/>
      <c r="B423" s="49"/>
      <c r="C423" s="51"/>
      <c r="D423" s="52"/>
      <c r="E423" s="52"/>
      <c r="F423" s="11"/>
      <c r="G423" s="52">
        <f t="shared" si="88"/>
        <v>0</v>
      </c>
      <c r="H423" s="11"/>
      <c r="I423" s="11"/>
      <c r="J423" s="11"/>
      <c r="K423" s="57"/>
      <c r="L423" s="52">
        <f t="shared" si="84"/>
        <v>0</v>
      </c>
      <c r="M423" s="52">
        <f t="shared" si="85"/>
        <v>0</v>
      </c>
      <c r="N423" s="52">
        <f t="shared" si="86"/>
        <v>0</v>
      </c>
      <c r="O423" s="52">
        <f t="shared" si="87"/>
        <v>0</v>
      </c>
    </row>
    <row r="424" spans="1:15" ht="15.9" customHeight="1">
      <c r="A424" s="48"/>
      <c r="B424" s="49"/>
      <c r="C424" s="51"/>
      <c r="D424" s="52"/>
      <c r="E424" s="52"/>
      <c r="F424" s="11"/>
      <c r="G424" s="52">
        <f t="shared" ref="G424:G425" si="109">E424*(100-F424)/100</f>
        <v>0</v>
      </c>
      <c r="H424" s="11"/>
      <c r="I424" s="11"/>
      <c r="J424" s="11"/>
      <c r="K424" s="57"/>
      <c r="L424" s="52">
        <f t="shared" si="44"/>
        <v>0</v>
      </c>
      <c r="M424" s="52">
        <f t="shared" si="45"/>
        <v>0</v>
      </c>
      <c r="N424" s="52">
        <f t="shared" si="46"/>
        <v>0</v>
      </c>
      <c r="O424" s="52">
        <f t="shared" si="47"/>
        <v>0</v>
      </c>
    </row>
    <row r="425" spans="1:15" ht="15.9" customHeight="1">
      <c r="A425" s="48"/>
      <c r="B425" s="49"/>
      <c r="C425" s="52"/>
      <c r="D425" s="52"/>
      <c r="E425" s="52"/>
      <c r="F425" s="11"/>
      <c r="G425" s="52">
        <f t="shared" si="109"/>
        <v>0</v>
      </c>
      <c r="H425" s="11"/>
      <c r="I425" s="11"/>
      <c r="J425" s="11"/>
      <c r="K425" s="57"/>
      <c r="L425" s="52">
        <f t="shared" si="44"/>
        <v>0</v>
      </c>
      <c r="M425" s="52">
        <f t="shared" si="45"/>
        <v>0</v>
      </c>
      <c r="N425" s="52">
        <f t="shared" si="46"/>
        <v>0</v>
      </c>
      <c r="O425" s="52">
        <f t="shared" si="47"/>
        <v>0</v>
      </c>
    </row>
    <row r="426" spans="1:15" ht="15.9" customHeight="1">
      <c r="A426" s="48"/>
      <c r="B426" s="49"/>
      <c r="C426" s="52"/>
      <c r="D426" s="52"/>
      <c r="E426" s="52"/>
      <c r="F426" s="11"/>
      <c r="G426" s="52">
        <f t="shared" ref="G426:G845" si="110">E426*(100-F426)/100</f>
        <v>0</v>
      </c>
      <c r="H426" s="11"/>
      <c r="I426" s="11"/>
      <c r="J426" s="11"/>
      <c r="K426" s="57"/>
      <c r="L426" s="52">
        <f>G426*H426/100</f>
        <v>0</v>
      </c>
      <c r="M426" s="52">
        <f>G426*I426/100</f>
        <v>0</v>
      </c>
      <c r="N426" s="52">
        <f>G426*J426/100</f>
        <v>0</v>
      </c>
      <c r="O426" s="52">
        <f>G426*K426/1000</f>
        <v>0</v>
      </c>
    </row>
    <row r="427" spans="1:15" ht="15.9" customHeight="1">
      <c r="A427" s="48"/>
      <c r="B427" s="49"/>
      <c r="C427" s="52"/>
      <c r="D427" s="52"/>
      <c r="E427" s="52"/>
      <c r="F427" s="11"/>
      <c r="G427" s="52">
        <f t="shared" si="110"/>
        <v>0</v>
      </c>
      <c r="H427" s="11"/>
      <c r="I427" s="11"/>
      <c r="J427" s="11"/>
      <c r="K427" s="57"/>
      <c r="L427" s="52">
        <f t="shared" ref="L427:L443" si="111">G427*H427/100</f>
        <v>0</v>
      </c>
      <c r="M427" s="52">
        <f t="shared" ref="M427:M443" si="112">G427*I427/100</f>
        <v>0</v>
      </c>
      <c r="N427" s="52">
        <f t="shared" ref="N427:N443" si="113">G427*J427/100</f>
        <v>0</v>
      </c>
      <c r="O427" s="52">
        <f t="shared" ref="O427:O443" si="114">G427*K427/1000</f>
        <v>0</v>
      </c>
    </row>
    <row r="428" spans="1:15" ht="15.9" customHeight="1">
      <c r="A428" s="48"/>
      <c r="B428" s="49"/>
      <c r="C428" s="52"/>
      <c r="D428" s="52"/>
      <c r="E428" s="52"/>
      <c r="F428" s="11"/>
      <c r="G428" s="52">
        <f t="shared" si="110"/>
        <v>0</v>
      </c>
      <c r="H428" s="11"/>
      <c r="I428" s="11"/>
      <c r="J428" s="11"/>
      <c r="K428" s="57"/>
      <c r="L428" s="52">
        <f t="shared" si="111"/>
        <v>0</v>
      </c>
      <c r="M428" s="52">
        <f t="shared" si="112"/>
        <v>0</v>
      </c>
      <c r="N428" s="52">
        <f t="shared" si="113"/>
        <v>0</v>
      </c>
      <c r="O428" s="52">
        <f t="shared" si="114"/>
        <v>0</v>
      </c>
    </row>
    <row r="429" spans="1:15" ht="15.9" customHeight="1">
      <c r="A429" s="48"/>
      <c r="B429" s="49"/>
      <c r="C429" s="52"/>
      <c r="D429" s="52"/>
      <c r="E429" s="52"/>
      <c r="F429" s="11"/>
      <c r="G429" s="52">
        <f t="shared" si="110"/>
        <v>0</v>
      </c>
      <c r="H429" s="11"/>
      <c r="I429" s="11"/>
      <c r="J429" s="11"/>
      <c r="K429" s="57"/>
      <c r="L429" s="52">
        <f t="shared" si="111"/>
        <v>0</v>
      </c>
      <c r="M429" s="52">
        <f t="shared" si="112"/>
        <v>0</v>
      </c>
      <c r="N429" s="52">
        <f t="shared" si="113"/>
        <v>0</v>
      </c>
      <c r="O429" s="52">
        <f t="shared" si="114"/>
        <v>0</v>
      </c>
    </row>
    <row r="430" spans="1:15" ht="15.9" customHeight="1">
      <c r="A430" s="48"/>
      <c r="B430" s="49"/>
      <c r="C430" s="52"/>
      <c r="D430" s="52"/>
      <c r="E430" s="52"/>
      <c r="F430" s="11"/>
      <c r="G430" s="52">
        <f t="shared" si="110"/>
        <v>0</v>
      </c>
      <c r="H430" s="11"/>
      <c r="I430" s="11"/>
      <c r="J430" s="11"/>
      <c r="K430" s="57"/>
      <c r="L430" s="52">
        <f t="shared" si="111"/>
        <v>0</v>
      </c>
      <c r="M430" s="52">
        <f t="shared" si="112"/>
        <v>0</v>
      </c>
      <c r="N430" s="52">
        <f t="shared" si="113"/>
        <v>0</v>
      </c>
      <c r="O430" s="52">
        <f t="shared" si="114"/>
        <v>0</v>
      </c>
    </row>
    <row r="431" spans="1:15" ht="15.9" customHeight="1">
      <c r="A431" s="48"/>
      <c r="B431" s="49"/>
      <c r="C431" s="52"/>
      <c r="D431" s="52"/>
      <c r="E431" s="52"/>
      <c r="F431" s="11"/>
      <c r="G431" s="52">
        <f t="shared" si="110"/>
        <v>0</v>
      </c>
      <c r="H431" s="11"/>
      <c r="I431" s="11"/>
      <c r="J431" s="11"/>
      <c r="K431" s="57"/>
      <c r="L431" s="52">
        <f t="shared" si="111"/>
        <v>0</v>
      </c>
      <c r="M431" s="52">
        <f t="shared" si="112"/>
        <v>0</v>
      </c>
      <c r="N431" s="52">
        <f t="shared" si="113"/>
        <v>0</v>
      </c>
      <c r="O431" s="52">
        <f t="shared" si="114"/>
        <v>0</v>
      </c>
    </row>
    <row r="432" spans="1:15" ht="15.9" customHeight="1">
      <c r="A432" s="48"/>
      <c r="B432" s="49"/>
      <c r="C432" s="52"/>
      <c r="D432" s="52"/>
      <c r="E432" s="52"/>
      <c r="F432" s="11"/>
      <c r="G432" s="52">
        <f t="shared" si="110"/>
        <v>0</v>
      </c>
      <c r="H432" s="11"/>
      <c r="I432" s="11"/>
      <c r="J432" s="11"/>
      <c r="K432" s="57"/>
      <c r="L432" s="52">
        <f t="shared" si="111"/>
        <v>0</v>
      </c>
      <c r="M432" s="52">
        <f t="shared" si="112"/>
        <v>0</v>
      </c>
      <c r="N432" s="52">
        <f t="shared" si="113"/>
        <v>0</v>
      </c>
      <c r="O432" s="52">
        <f t="shared" si="114"/>
        <v>0</v>
      </c>
    </row>
    <row r="433" spans="1:15" ht="15.9" customHeight="1">
      <c r="A433" s="48"/>
      <c r="B433" s="49"/>
      <c r="C433" s="52"/>
      <c r="D433" s="52"/>
      <c r="E433" s="52"/>
      <c r="F433" s="11"/>
      <c r="G433" s="52">
        <f t="shared" si="110"/>
        <v>0</v>
      </c>
      <c r="H433" s="11"/>
      <c r="I433" s="11"/>
      <c r="J433" s="11"/>
      <c r="K433" s="57"/>
      <c r="L433" s="52">
        <f t="shared" si="111"/>
        <v>0</v>
      </c>
      <c r="M433" s="52">
        <f t="shared" si="112"/>
        <v>0</v>
      </c>
      <c r="N433" s="52">
        <f t="shared" si="113"/>
        <v>0</v>
      </c>
      <c r="O433" s="52">
        <f t="shared" si="114"/>
        <v>0</v>
      </c>
    </row>
    <row r="434" spans="1:15" ht="15.9" customHeight="1">
      <c r="A434" s="48"/>
      <c r="B434" s="49"/>
      <c r="C434" s="52"/>
      <c r="D434" s="52"/>
      <c r="E434" s="52"/>
      <c r="F434" s="11"/>
      <c r="G434" s="52">
        <f t="shared" si="110"/>
        <v>0</v>
      </c>
      <c r="H434" s="11"/>
      <c r="I434" s="11"/>
      <c r="J434" s="11"/>
      <c r="K434" s="57"/>
      <c r="L434" s="52">
        <f t="shared" si="111"/>
        <v>0</v>
      </c>
      <c r="M434" s="52">
        <f t="shared" si="112"/>
        <v>0</v>
      </c>
      <c r="N434" s="52">
        <f t="shared" si="113"/>
        <v>0</v>
      </c>
      <c r="O434" s="52">
        <f t="shared" si="114"/>
        <v>0</v>
      </c>
    </row>
    <row r="435" spans="1:15" ht="15.9" customHeight="1">
      <c r="A435" s="48"/>
      <c r="B435" s="49"/>
      <c r="C435" s="52"/>
      <c r="D435" s="52"/>
      <c r="E435" s="52"/>
      <c r="F435" s="11"/>
      <c r="G435" s="52">
        <f t="shared" si="110"/>
        <v>0</v>
      </c>
      <c r="H435" s="11"/>
      <c r="I435" s="11"/>
      <c r="J435" s="11"/>
      <c r="K435" s="57"/>
      <c r="L435" s="52">
        <f t="shared" si="111"/>
        <v>0</v>
      </c>
      <c r="M435" s="52">
        <f t="shared" si="112"/>
        <v>0</v>
      </c>
      <c r="N435" s="52">
        <f t="shared" si="113"/>
        <v>0</v>
      </c>
      <c r="O435" s="52">
        <f t="shared" si="114"/>
        <v>0</v>
      </c>
    </row>
    <row r="436" spans="1:15" ht="15.9" customHeight="1">
      <c r="A436" s="48"/>
      <c r="B436" s="49"/>
      <c r="C436" s="52"/>
      <c r="D436" s="52"/>
      <c r="E436" s="52"/>
      <c r="F436" s="11"/>
      <c r="G436" s="52">
        <f t="shared" si="110"/>
        <v>0</v>
      </c>
      <c r="H436" s="11"/>
      <c r="I436" s="11"/>
      <c r="J436" s="11"/>
      <c r="K436" s="57"/>
      <c r="L436" s="52">
        <f t="shared" si="111"/>
        <v>0</v>
      </c>
      <c r="M436" s="52">
        <f t="shared" si="112"/>
        <v>0</v>
      </c>
      <c r="N436" s="52">
        <f t="shared" si="113"/>
        <v>0</v>
      </c>
      <c r="O436" s="52">
        <f t="shared" si="114"/>
        <v>0</v>
      </c>
    </row>
    <row r="437" spans="1:15" ht="15.9" customHeight="1">
      <c r="A437" s="48"/>
      <c r="B437" s="49"/>
      <c r="C437" s="52"/>
      <c r="D437" s="52"/>
      <c r="E437" s="52"/>
      <c r="F437" s="11"/>
      <c r="G437" s="52">
        <f t="shared" si="110"/>
        <v>0</v>
      </c>
      <c r="H437" s="11"/>
      <c r="I437" s="11"/>
      <c r="J437" s="11"/>
      <c r="K437" s="57"/>
      <c r="L437" s="52">
        <f t="shared" si="111"/>
        <v>0</v>
      </c>
      <c r="M437" s="52">
        <f t="shared" si="112"/>
        <v>0</v>
      </c>
      <c r="N437" s="52">
        <f t="shared" si="113"/>
        <v>0</v>
      </c>
      <c r="O437" s="52">
        <f t="shared" si="114"/>
        <v>0</v>
      </c>
    </row>
    <row r="438" spans="1:15" ht="15.9" customHeight="1">
      <c r="A438" s="48"/>
      <c r="B438" s="49"/>
      <c r="C438" s="52"/>
      <c r="D438" s="52"/>
      <c r="E438" s="52"/>
      <c r="F438" s="11"/>
      <c r="G438" s="52">
        <f t="shared" si="110"/>
        <v>0</v>
      </c>
      <c r="H438" s="11"/>
      <c r="I438" s="11"/>
      <c r="J438" s="11"/>
      <c r="K438" s="57"/>
      <c r="L438" s="52">
        <f t="shared" si="111"/>
        <v>0</v>
      </c>
      <c r="M438" s="52">
        <f t="shared" si="112"/>
        <v>0</v>
      </c>
      <c r="N438" s="52">
        <f t="shared" si="113"/>
        <v>0</v>
      </c>
      <c r="O438" s="52">
        <f t="shared" si="114"/>
        <v>0</v>
      </c>
    </row>
    <row r="439" spans="1:15" ht="15.9" customHeight="1">
      <c r="A439" s="48"/>
      <c r="B439" s="49"/>
      <c r="C439" s="52"/>
      <c r="D439" s="52"/>
      <c r="E439" s="52"/>
      <c r="F439" s="11"/>
      <c r="G439" s="52">
        <f t="shared" si="110"/>
        <v>0</v>
      </c>
      <c r="H439" s="11"/>
      <c r="I439" s="11"/>
      <c r="J439" s="11"/>
      <c r="K439" s="57"/>
      <c r="L439" s="52">
        <f t="shared" si="111"/>
        <v>0</v>
      </c>
      <c r="M439" s="52">
        <f t="shared" si="112"/>
        <v>0</v>
      </c>
      <c r="N439" s="52">
        <f t="shared" si="113"/>
        <v>0</v>
      </c>
      <c r="O439" s="52">
        <f t="shared" si="114"/>
        <v>0</v>
      </c>
    </row>
    <row r="440" spans="1:15" ht="15.9" customHeight="1">
      <c r="A440" s="48"/>
      <c r="B440" s="49"/>
      <c r="C440" s="52"/>
      <c r="D440" s="52"/>
      <c r="E440" s="52"/>
      <c r="F440" s="11"/>
      <c r="G440" s="52">
        <f t="shared" si="110"/>
        <v>0</v>
      </c>
      <c r="H440" s="11"/>
      <c r="I440" s="11"/>
      <c r="J440" s="11"/>
      <c r="K440" s="57"/>
      <c r="L440" s="52">
        <f t="shared" si="111"/>
        <v>0</v>
      </c>
      <c r="M440" s="52">
        <f t="shared" si="112"/>
        <v>0</v>
      </c>
      <c r="N440" s="52">
        <f t="shared" si="113"/>
        <v>0</v>
      </c>
      <c r="O440" s="52">
        <f t="shared" si="114"/>
        <v>0</v>
      </c>
    </row>
    <row r="441" spans="1:15" ht="15.9" customHeight="1">
      <c r="A441" s="48"/>
      <c r="B441" s="49"/>
      <c r="C441" s="52"/>
      <c r="D441" s="52"/>
      <c r="E441" s="52"/>
      <c r="F441" s="11"/>
      <c r="G441" s="52">
        <f t="shared" si="110"/>
        <v>0</v>
      </c>
      <c r="H441" s="11"/>
      <c r="I441" s="11"/>
      <c r="J441" s="11"/>
      <c r="K441" s="57"/>
      <c r="L441" s="52">
        <f t="shared" si="111"/>
        <v>0</v>
      </c>
      <c r="M441" s="52">
        <f t="shared" si="112"/>
        <v>0</v>
      </c>
      <c r="N441" s="52">
        <f t="shared" si="113"/>
        <v>0</v>
      </c>
      <c r="O441" s="52">
        <f t="shared" si="114"/>
        <v>0</v>
      </c>
    </row>
    <row r="442" spans="1:15" ht="15.9" customHeight="1">
      <c r="A442" s="48"/>
      <c r="B442" s="49"/>
      <c r="C442" s="52"/>
      <c r="D442" s="52"/>
      <c r="E442" s="52"/>
      <c r="F442" s="11"/>
      <c r="G442" s="52">
        <f t="shared" si="110"/>
        <v>0</v>
      </c>
      <c r="H442" s="11"/>
      <c r="I442" s="11"/>
      <c r="J442" s="11"/>
      <c r="K442" s="57"/>
      <c r="L442" s="52">
        <f t="shared" si="111"/>
        <v>0</v>
      </c>
      <c r="M442" s="52">
        <f t="shared" si="112"/>
        <v>0</v>
      </c>
      <c r="N442" s="52">
        <f t="shared" si="113"/>
        <v>0</v>
      </c>
      <c r="O442" s="52">
        <f t="shared" si="114"/>
        <v>0</v>
      </c>
    </row>
    <row r="443" spans="1:15" ht="15.9" customHeight="1">
      <c r="A443" s="48"/>
      <c r="B443" s="49"/>
      <c r="C443" s="52"/>
      <c r="D443" s="52"/>
      <c r="E443" s="52"/>
      <c r="F443" s="11"/>
      <c r="G443" s="52">
        <f t="shared" si="110"/>
        <v>0</v>
      </c>
      <c r="H443" s="11"/>
      <c r="I443" s="11"/>
      <c r="J443" s="11"/>
      <c r="K443" s="57"/>
      <c r="L443" s="52">
        <f t="shared" si="111"/>
        <v>0</v>
      </c>
      <c r="M443" s="52">
        <f t="shared" si="112"/>
        <v>0</v>
      </c>
      <c r="N443" s="52">
        <f t="shared" si="113"/>
        <v>0</v>
      </c>
      <c r="O443" s="52">
        <f t="shared" si="114"/>
        <v>0</v>
      </c>
    </row>
    <row r="444" spans="1:15" ht="15.9" customHeight="1">
      <c r="A444" s="48"/>
      <c r="B444" s="49"/>
      <c r="C444" s="52"/>
      <c r="D444" s="52"/>
      <c r="E444" s="52"/>
      <c r="F444" s="11"/>
      <c r="G444" s="52">
        <f t="shared" si="110"/>
        <v>0</v>
      </c>
      <c r="H444" s="11"/>
      <c r="I444" s="11"/>
      <c r="J444" s="11"/>
      <c r="K444" s="57"/>
      <c r="L444" s="52">
        <f t="shared" ref="L444:L485" si="115">G444*H444/100</f>
        <v>0</v>
      </c>
      <c r="M444" s="52">
        <f t="shared" ref="M444:M485" si="116">G444*I444/100</f>
        <v>0</v>
      </c>
      <c r="N444" s="52">
        <f t="shared" ref="N444:N485" si="117">G444*J444/100</f>
        <v>0</v>
      </c>
      <c r="O444" s="52">
        <f t="shared" ref="O444:O485" si="118">G444*K444/1000</f>
        <v>0</v>
      </c>
    </row>
    <row r="445" spans="1:15" ht="15.9" customHeight="1">
      <c r="A445" s="48"/>
      <c r="B445" s="49"/>
      <c r="C445" s="52"/>
      <c r="D445" s="52"/>
      <c r="E445" s="52"/>
      <c r="F445" s="11"/>
      <c r="G445" s="52">
        <f t="shared" si="110"/>
        <v>0</v>
      </c>
      <c r="H445" s="11"/>
      <c r="I445" s="11"/>
      <c r="J445" s="11"/>
      <c r="K445" s="57"/>
      <c r="L445" s="52">
        <f t="shared" si="115"/>
        <v>0</v>
      </c>
      <c r="M445" s="52">
        <f t="shared" si="116"/>
        <v>0</v>
      </c>
      <c r="N445" s="52">
        <f t="shared" si="117"/>
        <v>0</v>
      </c>
      <c r="O445" s="52">
        <f t="shared" si="118"/>
        <v>0</v>
      </c>
    </row>
    <row r="446" spans="1:15" ht="15.9" customHeight="1">
      <c r="A446" s="48"/>
      <c r="B446" s="49"/>
      <c r="C446" s="52"/>
      <c r="D446" s="52"/>
      <c r="E446" s="52"/>
      <c r="F446" s="11"/>
      <c r="G446" s="52">
        <f t="shared" si="110"/>
        <v>0</v>
      </c>
      <c r="H446" s="11"/>
      <c r="I446" s="11"/>
      <c r="J446" s="11"/>
      <c r="K446" s="57"/>
      <c r="L446" s="52">
        <f t="shared" si="115"/>
        <v>0</v>
      </c>
      <c r="M446" s="52">
        <f t="shared" si="116"/>
        <v>0</v>
      </c>
      <c r="N446" s="52">
        <f t="shared" si="117"/>
        <v>0</v>
      </c>
      <c r="O446" s="52">
        <f t="shared" si="118"/>
        <v>0</v>
      </c>
    </row>
    <row r="447" spans="1:15" ht="15.9" customHeight="1">
      <c r="A447" s="48"/>
      <c r="B447" s="49"/>
      <c r="C447" s="52"/>
      <c r="D447" s="52"/>
      <c r="E447" s="52"/>
      <c r="F447" s="11"/>
      <c r="G447" s="52">
        <f t="shared" si="110"/>
        <v>0</v>
      </c>
      <c r="H447" s="11"/>
      <c r="I447" s="11"/>
      <c r="J447" s="11"/>
      <c r="K447" s="57"/>
      <c r="L447" s="52">
        <f t="shared" si="115"/>
        <v>0</v>
      </c>
      <c r="M447" s="52">
        <f t="shared" si="116"/>
        <v>0</v>
      </c>
      <c r="N447" s="52">
        <f t="shared" si="117"/>
        <v>0</v>
      </c>
      <c r="O447" s="52">
        <f t="shared" si="118"/>
        <v>0</v>
      </c>
    </row>
    <row r="448" spans="1:15" ht="15.9" customHeight="1">
      <c r="A448" s="48"/>
      <c r="B448" s="49"/>
      <c r="C448" s="52"/>
      <c r="D448" s="52"/>
      <c r="E448" s="52"/>
      <c r="F448" s="11"/>
      <c r="G448" s="52">
        <f t="shared" si="110"/>
        <v>0</v>
      </c>
      <c r="H448" s="11"/>
      <c r="I448" s="11"/>
      <c r="J448" s="11"/>
      <c r="K448" s="57"/>
      <c r="L448" s="52">
        <f t="shared" si="115"/>
        <v>0</v>
      </c>
      <c r="M448" s="52">
        <f t="shared" si="116"/>
        <v>0</v>
      </c>
      <c r="N448" s="52">
        <f t="shared" si="117"/>
        <v>0</v>
      </c>
      <c r="O448" s="52">
        <f t="shared" si="118"/>
        <v>0</v>
      </c>
    </row>
    <row r="449" spans="1:15" ht="15.9" customHeight="1">
      <c r="A449" s="48"/>
      <c r="B449" s="49"/>
      <c r="C449" s="52"/>
      <c r="D449" s="52"/>
      <c r="E449" s="52"/>
      <c r="F449" s="11"/>
      <c r="G449" s="52">
        <f t="shared" si="110"/>
        <v>0</v>
      </c>
      <c r="H449" s="11"/>
      <c r="I449" s="11"/>
      <c r="J449" s="11"/>
      <c r="K449" s="57"/>
      <c r="L449" s="52">
        <f t="shared" si="115"/>
        <v>0</v>
      </c>
      <c r="M449" s="52">
        <f t="shared" si="116"/>
        <v>0</v>
      </c>
      <c r="N449" s="52">
        <f t="shared" si="117"/>
        <v>0</v>
      </c>
      <c r="O449" s="52">
        <f t="shared" si="118"/>
        <v>0</v>
      </c>
    </row>
    <row r="450" spans="1:15" ht="15.9" customHeight="1">
      <c r="A450" s="48"/>
      <c r="B450" s="49"/>
      <c r="C450" s="52"/>
      <c r="D450" s="52"/>
      <c r="E450" s="52"/>
      <c r="F450" s="11"/>
      <c r="G450" s="52">
        <f t="shared" si="110"/>
        <v>0</v>
      </c>
      <c r="H450" s="11"/>
      <c r="I450" s="11"/>
      <c r="J450" s="11"/>
      <c r="K450" s="57"/>
      <c r="L450" s="52">
        <f t="shared" si="115"/>
        <v>0</v>
      </c>
      <c r="M450" s="52">
        <f t="shared" si="116"/>
        <v>0</v>
      </c>
      <c r="N450" s="52">
        <f t="shared" si="117"/>
        <v>0</v>
      </c>
      <c r="O450" s="52">
        <f t="shared" si="118"/>
        <v>0</v>
      </c>
    </row>
    <row r="451" spans="1:15" ht="15.9" customHeight="1">
      <c r="A451" s="48"/>
      <c r="B451" s="49"/>
      <c r="C451" s="52"/>
      <c r="D451" s="52"/>
      <c r="E451" s="52"/>
      <c r="F451" s="11"/>
      <c r="G451" s="52">
        <f t="shared" si="110"/>
        <v>0</v>
      </c>
      <c r="H451" s="11"/>
      <c r="I451" s="11"/>
      <c r="J451" s="11"/>
      <c r="K451" s="57"/>
      <c r="L451" s="52">
        <f t="shared" si="115"/>
        <v>0</v>
      </c>
      <c r="M451" s="52">
        <f t="shared" si="116"/>
        <v>0</v>
      </c>
      <c r="N451" s="52">
        <f t="shared" si="117"/>
        <v>0</v>
      </c>
      <c r="O451" s="52">
        <f t="shared" si="118"/>
        <v>0</v>
      </c>
    </row>
    <row r="452" spans="1:15" ht="15.9" customHeight="1">
      <c r="A452" s="48"/>
      <c r="B452" s="49"/>
      <c r="C452" s="52"/>
      <c r="D452" s="52"/>
      <c r="E452" s="52"/>
      <c r="F452" s="11"/>
      <c r="G452" s="52">
        <f t="shared" si="110"/>
        <v>0</v>
      </c>
      <c r="H452" s="11"/>
      <c r="I452" s="11"/>
      <c r="J452" s="11"/>
      <c r="K452" s="57"/>
      <c r="L452" s="52">
        <f t="shared" si="115"/>
        <v>0</v>
      </c>
      <c r="M452" s="52">
        <f t="shared" si="116"/>
        <v>0</v>
      </c>
      <c r="N452" s="52">
        <f t="shared" si="117"/>
        <v>0</v>
      </c>
      <c r="O452" s="52">
        <f t="shared" si="118"/>
        <v>0</v>
      </c>
    </row>
    <row r="453" spans="1:15" ht="15.9" customHeight="1">
      <c r="A453" s="48"/>
      <c r="B453" s="49"/>
      <c r="C453" s="52"/>
      <c r="D453" s="52"/>
      <c r="E453" s="52"/>
      <c r="F453" s="11"/>
      <c r="G453" s="52">
        <f t="shared" si="110"/>
        <v>0</v>
      </c>
      <c r="H453" s="11"/>
      <c r="I453" s="11"/>
      <c r="J453" s="11"/>
      <c r="K453" s="57"/>
      <c r="L453" s="52">
        <f t="shared" si="115"/>
        <v>0</v>
      </c>
      <c r="M453" s="52">
        <f t="shared" si="116"/>
        <v>0</v>
      </c>
      <c r="N453" s="52">
        <f t="shared" si="117"/>
        <v>0</v>
      </c>
      <c r="O453" s="52">
        <f t="shared" si="118"/>
        <v>0</v>
      </c>
    </row>
    <row r="454" spans="1:15" ht="15.9" customHeight="1">
      <c r="A454" s="48"/>
      <c r="B454" s="49"/>
      <c r="C454" s="52"/>
      <c r="D454" s="52"/>
      <c r="E454" s="52"/>
      <c r="F454" s="11"/>
      <c r="G454" s="52">
        <f t="shared" si="110"/>
        <v>0</v>
      </c>
      <c r="H454" s="11"/>
      <c r="I454" s="11"/>
      <c r="J454" s="11"/>
      <c r="K454" s="57"/>
      <c r="L454" s="52">
        <f t="shared" ref="L454:L464" si="119">G454*H454/100</f>
        <v>0</v>
      </c>
      <c r="M454" s="52">
        <f t="shared" ref="M454:M464" si="120">G454*I454/100</f>
        <v>0</v>
      </c>
      <c r="N454" s="52">
        <f t="shared" ref="N454:N464" si="121">G454*J454/100</f>
        <v>0</v>
      </c>
      <c r="O454" s="52">
        <f t="shared" ref="O454:O464" si="122">G454*K454/1000</f>
        <v>0</v>
      </c>
    </row>
    <row r="455" spans="1:15" ht="15.9" customHeight="1">
      <c r="A455" s="48"/>
      <c r="B455" s="49"/>
      <c r="C455" s="52"/>
      <c r="D455" s="52"/>
      <c r="E455" s="52"/>
      <c r="F455" s="11"/>
      <c r="G455" s="52">
        <f t="shared" si="110"/>
        <v>0</v>
      </c>
      <c r="H455" s="11"/>
      <c r="I455" s="11"/>
      <c r="J455" s="11"/>
      <c r="K455" s="57"/>
      <c r="L455" s="52">
        <f t="shared" si="119"/>
        <v>0</v>
      </c>
      <c r="M455" s="52">
        <f t="shared" si="120"/>
        <v>0</v>
      </c>
      <c r="N455" s="52">
        <f t="shared" si="121"/>
        <v>0</v>
      </c>
      <c r="O455" s="52">
        <f t="shared" si="122"/>
        <v>0</v>
      </c>
    </row>
    <row r="456" spans="1:15" ht="15.9" customHeight="1">
      <c r="A456" s="48"/>
      <c r="B456" s="49"/>
      <c r="C456" s="52"/>
      <c r="D456" s="52"/>
      <c r="E456" s="52"/>
      <c r="F456" s="11"/>
      <c r="G456" s="52">
        <f t="shared" si="110"/>
        <v>0</v>
      </c>
      <c r="H456" s="11"/>
      <c r="I456" s="11"/>
      <c r="J456" s="11"/>
      <c r="K456" s="57"/>
      <c r="L456" s="52">
        <f t="shared" si="119"/>
        <v>0</v>
      </c>
      <c r="M456" s="52">
        <f t="shared" si="120"/>
        <v>0</v>
      </c>
      <c r="N456" s="52">
        <f t="shared" si="121"/>
        <v>0</v>
      </c>
      <c r="O456" s="52">
        <f t="shared" si="122"/>
        <v>0</v>
      </c>
    </row>
    <row r="457" spans="1:15" ht="15.9" customHeight="1">
      <c r="A457" s="48"/>
      <c r="B457" s="49"/>
      <c r="C457" s="52"/>
      <c r="D457" s="52"/>
      <c r="E457" s="52"/>
      <c r="F457" s="11"/>
      <c r="G457" s="52">
        <f t="shared" si="110"/>
        <v>0</v>
      </c>
      <c r="H457" s="11"/>
      <c r="I457" s="11"/>
      <c r="J457" s="11"/>
      <c r="K457" s="57"/>
      <c r="L457" s="52">
        <f t="shared" si="119"/>
        <v>0</v>
      </c>
      <c r="M457" s="52">
        <f t="shared" si="120"/>
        <v>0</v>
      </c>
      <c r="N457" s="52">
        <f t="shared" si="121"/>
        <v>0</v>
      </c>
      <c r="O457" s="52">
        <f t="shared" si="122"/>
        <v>0</v>
      </c>
    </row>
    <row r="458" spans="1:15" ht="15.9" customHeight="1">
      <c r="A458" s="48"/>
      <c r="B458" s="49"/>
      <c r="C458" s="52"/>
      <c r="D458" s="52"/>
      <c r="E458" s="52"/>
      <c r="F458" s="11"/>
      <c r="G458" s="52">
        <f t="shared" si="110"/>
        <v>0</v>
      </c>
      <c r="H458" s="11"/>
      <c r="I458" s="11"/>
      <c r="J458" s="11"/>
      <c r="K458" s="57"/>
      <c r="L458" s="52">
        <f t="shared" si="119"/>
        <v>0</v>
      </c>
      <c r="M458" s="52">
        <f t="shared" si="120"/>
        <v>0</v>
      </c>
      <c r="N458" s="52">
        <f t="shared" si="121"/>
        <v>0</v>
      </c>
      <c r="O458" s="52">
        <f t="shared" si="122"/>
        <v>0</v>
      </c>
    </row>
    <row r="459" spans="1:15" ht="15.9" customHeight="1">
      <c r="A459" s="48"/>
      <c r="B459" s="49"/>
      <c r="C459" s="52"/>
      <c r="D459" s="52"/>
      <c r="E459" s="52"/>
      <c r="F459" s="11"/>
      <c r="G459" s="52">
        <f t="shared" si="110"/>
        <v>0</v>
      </c>
      <c r="H459" s="11"/>
      <c r="I459" s="11"/>
      <c r="J459" s="11"/>
      <c r="K459" s="57"/>
      <c r="L459" s="52">
        <f t="shared" si="119"/>
        <v>0</v>
      </c>
      <c r="M459" s="52">
        <f t="shared" si="120"/>
        <v>0</v>
      </c>
      <c r="N459" s="52">
        <f t="shared" si="121"/>
        <v>0</v>
      </c>
      <c r="O459" s="52">
        <f t="shared" si="122"/>
        <v>0</v>
      </c>
    </row>
    <row r="460" spans="1:15" ht="15.9" customHeight="1">
      <c r="A460" s="48"/>
      <c r="B460" s="49"/>
      <c r="C460" s="52"/>
      <c r="D460" s="52"/>
      <c r="E460" s="52"/>
      <c r="F460" s="11"/>
      <c r="G460" s="52">
        <f t="shared" si="110"/>
        <v>0</v>
      </c>
      <c r="H460" s="11"/>
      <c r="I460" s="11"/>
      <c r="J460" s="11"/>
      <c r="K460" s="57"/>
      <c r="L460" s="52">
        <f t="shared" si="119"/>
        <v>0</v>
      </c>
      <c r="M460" s="52">
        <f t="shared" si="120"/>
        <v>0</v>
      </c>
      <c r="N460" s="52">
        <f t="shared" si="121"/>
        <v>0</v>
      </c>
      <c r="O460" s="52">
        <f t="shared" si="122"/>
        <v>0</v>
      </c>
    </row>
    <row r="461" spans="1:15" ht="15.9" customHeight="1">
      <c r="A461" s="48"/>
      <c r="B461" s="49"/>
      <c r="C461" s="52"/>
      <c r="D461" s="52"/>
      <c r="E461" s="52"/>
      <c r="F461" s="11"/>
      <c r="G461" s="52">
        <f t="shared" si="110"/>
        <v>0</v>
      </c>
      <c r="H461" s="11"/>
      <c r="I461" s="11"/>
      <c r="J461" s="11"/>
      <c r="K461" s="57"/>
      <c r="L461" s="52">
        <f t="shared" si="119"/>
        <v>0</v>
      </c>
      <c r="M461" s="52">
        <f t="shared" si="120"/>
        <v>0</v>
      </c>
      <c r="N461" s="52">
        <f t="shared" si="121"/>
        <v>0</v>
      </c>
      <c r="O461" s="52">
        <f t="shared" si="122"/>
        <v>0</v>
      </c>
    </row>
    <row r="462" spans="1:15" ht="15.9" customHeight="1">
      <c r="A462" s="48"/>
      <c r="B462" s="49"/>
      <c r="C462" s="52"/>
      <c r="D462" s="52"/>
      <c r="E462" s="52"/>
      <c r="F462" s="11"/>
      <c r="G462" s="52">
        <f t="shared" si="110"/>
        <v>0</v>
      </c>
      <c r="H462" s="11"/>
      <c r="I462" s="11"/>
      <c r="J462" s="11"/>
      <c r="K462" s="57"/>
      <c r="L462" s="52">
        <f t="shared" si="119"/>
        <v>0</v>
      </c>
      <c r="M462" s="52">
        <f t="shared" si="120"/>
        <v>0</v>
      </c>
      <c r="N462" s="52">
        <f t="shared" si="121"/>
        <v>0</v>
      </c>
      <c r="O462" s="52">
        <f t="shared" si="122"/>
        <v>0</v>
      </c>
    </row>
    <row r="463" spans="1:15" ht="15.9" customHeight="1">
      <c r="A463" s="48"/>
      <c r="B463" s="49"/>
      <c r="C463" s="52"/>
      <c r="D463" s="52"/>
      <c r="E463" s="52"/>
      <c r="F463" s="11"/>
      <c r="G463" s="52">
        <f t="shared" si="110"/>
        <v>0</v>
      </c>
      <c r="H463" s="11"/>
      <c r="I463" s="11"/>
      <c r="J463" s="11"/>
      <c r="K463" s="57"/>
      <c r="L463" s="52">
        <f t="shared" si="119"/>
        <v>0</v>
      </c>
      <c r="M463" s="52">
        <f t="shared" si="120"/>
        <v>0</v>
      </c>
      <c r="N463" s="52">
        <f t="shared" si="121"/>
        <v>0</v>
      </c>
      <c r="O463" s="52">
        <f t="shared" si="122"/>
        <v>0</v>
      </c>
    </row>
    <row r="464" spans="1:15" ht="15.9" customHeight="1">
      <c r="A464" s="48"/>
      <c r="B464" s="49"/>
      <c r="C464" s="52"/>
      <c r="D464" s="52"/>
      <c r="E464" s="52"/>
      <c r="F464" s="11"/>
      <c r="G464" s="52">
        <f t="shared" si="110"/>
        <v>0</v>
      </c>
      <c r="H464" s="11"/>
      <c r="I464" s="11"/>
      <c r="J464" s="11"/>
      <c r="K464" s="57"/>
      <c r="L464" s="52">
        <f t="shared" si="119"/>
        <v>0</v>
      </c>
      <c r="M464" s="52">
        <f t="shared" si="120"/>
        <v>0</v>
      </c>
      <c r="N464" s="52">
        <f t="shared" si="121"/>
        <v>0</v>
      </c>
      <c r="O464" s="52">
        <f t="shared" si="122"/>
        <v>0</v>
      </c>
    </row>
    <row r="465" spans="1:15" ht="15.9" customHeight="1">
      <c r="A465" s="48"/>
      <c r="B465" s="49"/>
      <c r="C465" s="52"/>
      <c r="D465" s="52"/>
      <c r="E465" s="52"/>
      <c r="F465" s="11"/>
      <c r="G465" s="52">
        <f t="shared" si="110"/>
        <v>0</v>
      </c>
      <c r="H465" s="11"/>
      <c r="I465" s="11"/>
      <c r="J465" s="11"/>
      <c r="K465" s="57"/>
      <c r="L465" s="52">
        <f t="shared" si="115"/>
        <v>0</v>
      </c>
      <c r="M465" s="52">
        <f t="shared" si="116"/>
        <v>0</v>
      </c>
      <c r="N465" s="52">
        <f t="shared" si="117"/>
        <v>0</v>
      </c>
      <c r="O465" s="52">
        <f t="shared" si="118"/>
        <v>0</v>
      </c>
    </row>
    <row r="466" spans="1:15" ht="15.9" customHeight="1">
      <c r="A466" s="48"/>
      <c r="B466" s="49"/>
      <c r="C466" s="52"/>
      <c r="D466" s="52"/>
      <c r="E466" s="52"/>
      <c r="F466" s="11"/>
      <c r="G466" s="52">
        <f t="shared" si="110"/>
        <v>0</v>
      </c>
      <c r="H466" s="11"/>
      <c r="I466" s="11"/>
      <c r="J466" s="11"/>
      <c r="K466" s="57"/>
      <c r="L466" s="52">
        <f t="shared" ref="L466:L481" si="123">G466*H466/100</f>
        <v>0</v>
      </c>
      <c r="M466" s="52">
        <f t="shared" ref="M466:M481" si="124">G466*I466/100</f>
        <v>0</v>
      </c>
      <c r="N466" s="52">
        <f t="shared" ref="N466:N481" si="125">G466*J466/100</f>
        <v>0</v>
      </c>
      <c r="O466" s="52">
        <f t="shared" ref="O466:O481" si="126">G466*K466/1000</f>
        <v>0</v>
      </c>
    </row>
    <row r="467" spans="1:15" ht="15.9" customHeight="1">
      <c r="A467" s="48"/>
      <c r="B467" s="49"/>
      <c r="C467" s="52"/>
      <c r="D467" s="52"/>
      <c r="E467" s="52"/>
      <c r="F467" s="11"/>
      <c r="G467" s="52">
        <f t="shared" si="110"/>
        <v>0</v>
      </c>
      <c r="H467" s="11"/>
      <c r="I467" s="11"/>
      <c r="J467" s="11"/>
      <c r="K467" s="57"/>
      <c r="L467" s="52">
        <f t="shared" si="123"/>
        <v>0</v>
      </c>
      <c r="M467" s="52">
        <f t="shared" si="124"/>
        <v>0</v>
      </c>
      <c r="N467" s="52">
        <f t="shared" si="125"/>
        <v>0</v>
      </c>
      <c r="O467" s="52">
        <f t="shared" si="126"/>
        <v>0</v>
      </c>
    </row>
    <row r="468" spans="1:15" ht="15.9" customHeight="1">
      <c r="A468" s="48"/>
      <c r="B468" s="49"/>
      <c r="C468" s="52"/>
      <c r="D468" s="52"/>
      <c r="E468" s="52"/>
      <c r="F468" s="11"/>
      <c r="G468" s="52">
        <f t="shared" si="110"/>
        <v>0</v>
      </c>
      <c r="H468" s="11"/>
      <c r="I468" s="11"/>
      <c r="J468" s="11"/>
      <c r="K468" s="57"/>
      <c r="L468" s="52">
        <f t="shared" si="123"/>
        <v>0</v>
      </c>
      <c r="M468" s="52">
        <f t="shared" si="124"/>
        <v>0</v>
      </c>
      <c r="N468" s="52">
        <f t="shared" si="125"/>
        <v>0</v>
      </c>
      <c r="O468" s="52">
        <f t="shared" si="126"/>
        <v>0</v>
      </c>
    </row>
    <row r="469" spans="1:15" ht="15.9" customHeight="1">
      <c r="A469" s="48"/>
      <c r="B469" s="49"/>
      <c r="C469" s="52"/>
      <c r="D469" s="52"/>
      <c r="E469" s="52"/>
      <c r="F469" s="11"/>
      <c r="G469" s="52">
        <f t="shared" si="110"/>
        <v>0</v>
      </c>
      <c r="H469" s="11"/>
      <c r="I469" s="11"/>
      <c r="J469" s="11"/>
      <c r="K469" s="57"/>
      <c r="L469" s="52">
        <f t="shared" si="123"/>
        <v>0</v>
      </c>
      <c r="M469" s="52">
        <f t="shared" si="124"/>
        <v>0</v>
      </c>
      <c r="N469" s="52">
        <f t="shared" si="125"/>
        <v>0</v>
      </c>
      <c r="O469" s="52">
        <f t="shared" si="126"/>
        <v>0</v>
      </c>
    </row>
    <row r="470" spans="1:15" ht="15.9" customHeight="1">
      <c r="A470" s="48"/>
      <c r="B470" s="49"/>
      <c r="C470" s="52"/>
      <c r="D470" s="52"/>
      <c r="E470" s="52"/>
      <c r="F470" s="11"/>
      <c r="G470" s="52">
        <f t="shared" si="110"/>
        <v>0</v>
      </c>
      <c r="H470" s="11"/>
      <c r="I470" s="11"/>
      <c r="J470" s="11"/>
      <c r="K470" s="57"/>
      <c r="L470" s="52">
        <f t="shared" si="123"/>
        <v>0</v>
      </c>
      <c r="M470" s="52">
        <f t="shared" si="124"/>
        <v>0</v>
      </c>
      <c r="N470" s="52">
        <f t="shared" si="125"/>
        <v>0</v>
      </c>
      <c r="O470" s="52">
        <f t="shared" si="126"/>
        <v>0</v>
      </c>
    </row>
    <row r="471" spans="1:15" ht="15.9" customHeight="1">
      <c r="A471" s="48"/>
      <c r="B471" s="49"/>
      <c r="C471" s="52"/>
      <c r="D471" s="52"/>
      <c r="E471" s="52"/>
      <c r="F471" s="11"/>
      <c r="G471" s="52">
        <f t="shared" si="110"/>
        <v>0</v>
      </c>
      <c r="H471" s="11"/>
      <c r="I471" s="11"/>
      <c r="J471" s="11"/>
      <c r="K471" s="57"/>
      <c r="L471" s="52">
        <f t="shared" si="123"/>
        <v>0</v>
      </c>
      <c r="M471" s="52">
        <f t="shared" si="124"/>
        <v>0</v>
      </c>
      <c r="N471" s="52">
        <f t="shared" si="125"/>
        <v>0</v>
      </c>
      <c r="O471" s="52">
        <f t="shared" si="126"/>
        <v>0</v>
      </c>
    </row>
    <row r="472" spans="1:15" ht="15.9" customHeight="1">
      <c r="A472" s="48"/>
      <c r="B472" s="49"/>
      <c r="C472" s="52"/>
      <c r="D472" s="52"/>
      <c r="E472" s="52"/>
      <c r="F472" s="11"/>
      <c r="G472" s="52">
        <f t="shared" si="110"/>
        <v>0</v>
      </c>
      <c r="H472" s="11"/>
      <c r="I472" s="11"/>
      <c r="J472" s="11"/>
      <c r="K472" s="57"/>
      <c r="L472" s="52">
        <f t="shared" si="123"/>
        <v>0</v>
      </c>
      <c r="M472" s="52">
        <f t="shared" si="124"/>
        <v>0</v>
      </c>
      <c r="N472" s="52">
        <f t="shared" si="125"/>
        <v>0</v>
      </c>
      <c r="O472" s="52">
        <f t="shared" si="126"/>
        <v>0</v>
      </c>
    </row>
    <row r="473" spans="1:15" ht="15.9" customHeight="1">
      <c r="A473" s="48"/>
      <c r="B473" s="49"/>
      <c r="C473" s="52"/>
      <c r="D473" s="52"/>
      <c r="E473" s="52"/>
      <c r="F473" s="11"/>
      <c r="G473" s="52">
        <f t="shared" si="110"/>
        <v>0</v>
      </c>
      <c r="H473" s="11"/>
      <c r="I473" s="11"/>
      <c r="J473" s="11"/>
      <c r="K473" s="57"/>
      <c r="L473" s="52">
        <f t="shared" si="123"/>
        <v>0</v>
      </c>
      <c r="M473" s="52">
        <f t="shared" si="124"/>
        <v>0</v>
      </c>
      <c r="N473" s="52">
        <f t="shared" si="125"/>
        <v>0</v>
      </c>
      <c r="O473" s="52">
        <f t="shared" si="126"/>
        <v>0</v>
      </c>
    </row>
    <row r="474" spans="1:15" ht="15.9" customHeight="1">
      <c r="A474" s="48"/>
      <c r="B474" s="49"/>
      <c r="C474" s="52"/>
      <c r="D474" s="52"/>
      <c r="E474" s="52"/>
      <c r="F474" s="11"/>
      <c r="G474" s="52">
        <f t="shared" si="110"/>
        <v>0</v>
      </c>
      <c r="H474" s="11"/>
      <c r="I474" s="11"/>
      <c r="J474" s="11"/>
      <c r="K474" s="57"/>
      <c r="L474" s="52">
        <f t="shared" si="123"/>
        <v>0</v>
      </c>
      <c r="M474" s="52">
        <f t="shared" si="124"/>
        <v>0</v>
      </c>
      <c r="N474" s="52">
        <f t="shared" si="125"/>
        <v>0</v>
      </c>
      <c r="O474" s="52">
        <f t="shared" si="126"/>
        <v>0</v>
      </c>
    </row>
    <row r="475" spans="1:15" ht="15.9" customHeight="1">
      <c r="A475" s="48"/>
      <c r="B475" s="49"/>
      <c r="C475" s="52"/>
      <c r="D475" s="52"/>
      <c r="E475" s="52"/>
      <c r="F475" s="11"/>
      <c r="G475" s="52">
        <f t="shared" si="110"/>
        <v>0</v>
      </c>
      <c r="H475" s="11"/>
      <c r="I475" s="11"/>
      <c r="J475" s="11"/>
      <c r="K475" s="57"/>
      <c r="L475" s="52">
        <f t="shared" si="123"/>
        <v>0</v>
      </c>
      <c r="M475" s="52">
        <f t="shared" si="124"/>
        <v>0</v>
      </c>
      <c r="N475" s="52">
        <f t="shared" si="125"/>
        <v>0</v>
      </c>
      <c r="O475" s="52">
        <f t="shared" si="126"/>
        <v>0</v>
      </c>
    </row>
    <row r="476" spans="1:15" ht="15.9" customHeight="1">
      <c r="A476" s="48"/>
      <c r="B476" s="49"/>
      <c r="C476" s="52"/>
      <c r="D476" s="52"/>
      <c r="E476" s="52"/>
      <c r="F476" s="11"/>
      <c r="G476" s="52">
        <f t="shared" si="110"/>
        <v>0</v>
      </c>
      <c r="H476" s="11"/>
      <c r="I476" s="11"/>
      <c r="J476" s="11"/>
      <c r="K476" s="57"/>
      <c r="L476" s="52">
        <f t="shared" si="123"/>
        <v>0</v>
      </c>
      <c r="M476" s="52">
        <f t="shared" si="124"/>
        <v>0</v>
      </c>
      <c r="N476" s="52">
        <f t="shared" si="125"/>
        <v>0</v>
      </c>
      <c r="O476" s="52">
        <f t="shared" si="126"/>
        <v>0</v>
      </c>
    </row>
    <row r="477" spans="1:15" ht="15.9" customHeight="1">
      <c r="A477" s="48"/>
      <c r="B477" s="49"/>
      <c r="C477" s="52"/>
      <c r="D477" s="52"/>
      <c r="E477" s="52"/>
      <c r="F477" s="11"/>
      <c r="G477" s="52">
        <f t="shared" si="110"/>
        <v>0</v>
      </c>
      <c r="H477" s="11"/>
      <c r="I477" s="11"/>
      <c r="J477" s="11"/>
      <c r="K477" s="57"/>
      <c r="L477" s="52">
        <f t="shared" si="123"/>
        <v>0</v>
      </c>
      <c r="M477" s="52">
        <f t="shared" si="124"/>
        <v>0</v>
      </c>
      <c r="N477" s="52">
        <f t="shared" si="125"/>
        <v>0</v>
      </c>
      <c r="O477" s="52">
        <f t="shared" si="126"/>
        <v>0</v>
      </c>
    </row>
    <row r="478" spans="1:15" ht="15.9" customHeight="1">
      <c r="A478" s="48"/>
      <c r="B478" s="49"/>
      <c r="C478" s="52"/>
      <c r="D478" s="52"/>
      <c r="E478" s="52"/>
      <c r="F478" s="11"/>
      <c r="G478" s="52">
        <f t="shared" si="110"/>
        <v>0</v>
      </c>
      <c r="H478" s="11"/>
      <c r="I478" s="11"/>
      <c r="J478" s="11"/>
      <c r="K478" s="57"/>
      <c r="L478" s="52">
        <f t="shared" si="123"/>
        <v>0</v>
      </c>
      <c r="M478" s="52">
        <f t="shared" si="124"/>
        <v>0</v>
      </c>
      <c r="N478" s="52">
        <f t="shared" si="125"/>
        <v>0</v>
      </c>
      <c r="O478" s="52">
        <f t="shared" si="126"/>
        <v>0</v>
      </c>
    </row>
    <row r="479" spans="1:15" ht="15.9" customHeight="1">
      <c r="A479" s="48"/>
      <c r="B479" s="49"/>
      <c r="C479" s="52"/>
      <c r="D479" s="52"/>
      <c r="E479" s="52"/>
      <c r="F479" s="11"/>
      <c r="G479" s="52">
        <f t="shared" si="110"/>
        <v>0</v>
      </c>
      <c r="H479" s="11"/>
      <c r="I479" s="11"/>
      <c r="J479" s="11"/>
      <c r="K479" s="57"/>
      <c r="L479" s="52">
        <f t="shared" si="123"/>
        <v>0</v>
      </c>
      <c r="M479" s="52">
        <f t="shared" si="124"/>
        <v>0</v>
      </c>
      <c r="N479" s="52">
        <f t="shared" si="125"/>
        <v>0</v>
      </c>
      <c r="O479" s="52">
        <f t="shared" si="126"/>
        <v>0</v>
      </c>
    </row>
    <row r="480" spans="1:15" ht="15.9" customHeight="1">
      <c r="A480" s="48"/>
      <c r="B480" s="49"/>
      <c r="C480" s="52"/>
      <c r="D480" s="52"/>
      <c r="E480" s="52"/>
      <c r="F480" s="11"/>
      <c r="G480" s="52">
        <f t="shared" si="110"/>
        <v>0</v>
      </c>
      <c r="H480" s="11"/>
      <c r="I480" s="11"/>
      <c r="J480" s="11"/>
      <c r="K480" s="57"/>
      <c r="L480" s="52">
        <f t="shared" si="123"/>
        <v>0</v>
      </c>
      <c r="M480" s="52">
        <f t="shared" si="124"/>
        <v>0</v>
      </c>
      <c r="N480" s="52">
        <f t="shared" si="125"/>
        <v>0</v>
      </c>
      <c r="O480" s="52">
        <f t="shared" si="126"/>
        <v>0</v>
      </c>
    </row>
    <row r="481" spans="1:15" ht="15.9" customHeight="1">
      <c r="A481" s="48"/>
      <c r="B481" s="49"/>
      <c r="C481" s="52"/>
      <c r="D481" s="52"/>
      <c r="E481" s="52"/>
      <c r="F481" s="11"/>
      <c r="G481" s="52">
        <f t="shared" si="110"/>
        <v>0</v>
      </c>
      <c r="H481" s="11"/>
      <c r="I481" s="11"/>
      <c r="J481" s="11"/>
      <c r="K481" s="57"/>
      <c r="L481" s="52">
        <f t="shared" si="123"/>
        <v>0</v>
      </c>
      <c r="M481" s="52">
        <f t="shared" si="124"/>
        <v>0</v>
      </c>
      <c r="N481" s="52">
        <f t="shared" si="125"/>
        <v>0</v>
      </c>
      <c r="O481" s="52">
        <f t="shared" si="126"/>
        <v>0</v>
      </c>
    </row>
    <row r="482" spans="1:15" ht="15.9" customHeight="1">
      <c r="A482" s="48"/>
      <c r="B482" s="49"/>
      <c r="C482" s="52"/>
      <c r="D482" s="52"/>
      <c r="E482" s="52"/>
      <c r="F482" s="11"/>
      <c r="G482" s="52">
        <f t="shared" si="110"/>
        <v>0</v>
      </c>
      <c r="H482" s="11"/>
      <c r="I482" s="11"/>
      <c r="J482" s="11"/>
      <c r="K482" s="57"/>
      <c r="L482" s="52">
        <f t="shared" si="115"/>
        <v>0</v>
      </c>
      <c r="M482" s="52">
        <f t="shared" si="116"/>
        <v>0</v>
      </c>
      <c r="N482" s="52">
        <f t="shared" si="117"/>
        <v>0</v>
      </c>
      <c r="O482" s="52">
        <f t="shared" si="118"/>
        <v>0</v>
      </c>
    </row>
    <row r="483" spans="1:15" ht="15.9" customHeight="1">
      <c r="A483" s="48"/>
      <c r="B483" s="49"/>
      <c r="C483" s="52"/>
      <c r="D483" s="52"/>
      <c r="E483" s="52"/>
      <c r="F483" s="11"/>
      <c r="G483" s="52">
        <f t="shared" si="110"/>
        <v>0</v>
      </c>
      <c r="H483" s="11"/>
      <c r="I483" s="11"/>
      <c r="J483" s="11"/>
      <c r="K483" s="57"/>
      <c r="L483" s="52">
        <f t="shared" si="115"/>
        <v>0</v>
      </c>
      <c r="M483" s="52">
        <f t="shared" si="116"/>
        <v>0</v>
      </c>
      <c r="N483" s="52">
        <f t="shared" si="117"/>
        <v>0</v>
      </c>
      <c r="O483" s="52">
        <f t="shared" si="118"/>
        <v>0</v>
      </c>
    </row>
    <row r="484" spans="1:15" ht="15.9" customHeight="1">
      <c r="A484" s="48"/>
      <c r="B484" s="49"/>
      <c r="C484" s="52"/>
      <c r="D484" s="52"/>
      <c r="E484" s="52"/>
      <c r="F484" s="11"/>
      <c r="G484" s="52">
        <f t="shared" si="110"/>
        <v>0</v>
      </c>
      <c r="H484" s="11"/>
      <c r="I484" s="11"/>
      <c r="J484" s="11"/>
      <c r="K484" s="57"/>
      <c r="L484" s="52">
        <f t="shared" si="115"/>
        <v>0</v>
      </c>
      <c r="M484" s="52">
        <f t="shared" si="116"/>
        <v>0</v>
      </c>
      <c r="N484" s="52">
        <f t="shared" si="117"/>
        <v>0</v>
      </c>
      <c r="O484" s="52">
        <f t="shared" si="118"/>
        <v>0</v>
      </c>
    </row>
    <row r="485" spans="1:15" ht="15.9" customHeight="1">
      <c r="A485" s="48"/>
      <c r="B485" s="49"/>
      <c r="C485" s="52"/>
      <c r="D485" s="52"/>
      <c r="E485" s="52"/>
      <c r="F485" s="11"/>
      <c r="G485" s="52">
        <f t="shared" si="110"/>
        <v>0</v>
      </c>
      <c r="H485" s="11"/>
      <c r="I485" s="11"/>
      <c r="J485" s="11"/>
      <c r="K485" s="57"/>
      <c r="L485" s="52">
        <f t="shared" si="115"/>
        <v>0</v>
      </c>
      <c r="M485" s="52">
        <f t="shared" si="116"/>
        <v>0</v>
      </c>
      <c r="N485" s="52">
        <f t="shared" si="117"/>
        <v>0</v>
      </c>
      <c r="O485" s="52">
        <f t="shared" si="118"/>
        <v>0</v>
      </c>
    </row>
    <row r="486" spans="1:15" ht="15.9" customHeight="1">
      <c r="A486" s="48"/>
      <c r="B486" s="49"/>
      <c r="C486" s="52"/>
      <c r="D486" s="52"/>
      <c r="E486" s="52"/>
      <c r="F486" s="11"/>
      <c r="G486" s="52">
        <f t="shared" si="110"/>
        <v>0</v>
      </c>
      <c r="H486" s="11"/>
      <c r="I486" s="11"/>
      <c r="J486" s="11"/>
      <c r="K486" s="57"/>
      <c r="L486" s="52">
        <f t="shared" ref="L486:L706" si="127">G486*H486/100</f>
        <v>0</v>
      </c>
      <c r="M486" s="52">
        <f t="shared" ref="M486:M707" si="128">G486*I486/100</f>
        <v>0</v>
      </c>
      <c r="N486" s="52">
        <f t="shared" ref="N486:N707" si="129">G486*J486/100</f>
        <v>0</v>
      </c>
      <c r="O486" s="52">
        <f t="shared" ref="O486:O707" si="130">G486*K486/1000</f>
        <v>0</v>
      </c>
    </row>
    <row r="487" spans="1:15" ht="15.9" customHeight="1">
      <c r="A487" s="48"/>
      <c r="B487" s="49"/>
      <c r="C487" s="52"/>
      <c r="D487" s="52"/>
      <c r="E487" s="52"/>
      <c r="F487" s="11"/>
      <c r="G487" s="52">
        <f t="shared" si="110"/>
        <v>0</v>
      </c>
      <c r="H487" s="11"/>
      <c r="I487" s="11"/>
      <c r="J487" s="11"/>
      <c r="K487" s="57"/>
      <c r="L487" s="52">
        <f t="shared" si="127"/>
        <v>0</v>
      </c>
      <c r="M487" s="52">
        <f t="shared" si="128"/>
        <v>0</v>
      </c>
      <c r="N487" s="52">
        <f t="shared" si="129"/>
        <v>0</v>
      </c>
      <c r="O487" s="52">
        <f t="shared" si="130"/>
        <v>0</v>
      </c>
    </row>
    <row r="488" spans="1:15" ht="15.9" customHeight="1">
      <c r="A488" s="48"/>
      <c r="B488" s="49"/>
      <c r="C488" s="52"/>
      <c r="D488" s="52"/>
      <c r="E488" s="52"/>
      <c r="F488" s="11"/>
      <c r="G488" s="52">
        <f t="shared" si="110"/>
        <v>0</v>
      </c>
      <c r="H488" s="11"/>
      <c r="I488" s="11"/>
      <c r="J488" s="11"/>
      <c r="K488" s="57"/>
      <c r="L488" s="52">
        <f t="shared" si="127"/>
        <v>0</v>
      </c>
      <c r="M488" s="52">
        <f t="shared" si="128"/>
        <v>0</v>
      </c>
      <c r="N488" s="52">
        <f t="shared" si="129"/>
        <v>0</v>
      </c>
      <c r="O488" s="52">
        <f t="shared" si="130"/>
        <v>0</v>
      </c>
    </row>
    <row r="489" spans="1:15" ht="15.9" customHeight="1">
      <c r="A489" s="48"/>
      <c r="B489" s="49"/>
      <c r="C489" s="52"/>
      <c r="D489" s="52"/>
      <c r="E489" s="52"/>
      <c r="F489" s="11"/>
      <c r="G489" s="52">
        <f t="shared" si="110"/>
        <v>0</v>
      </c>
      <c r="H489" s="11"/>
      <c r="I489" s="11"/>
      <c r="J489" s="11"/>
      <c r="K489" s="57"/>
      <c r="L489" s="52">
        <f t="shared" ref="L489:L516" si="131">G489*H489/100</f>
        <v>0</v>
      </c>
      <c r="M489" s="52">
        <f t="shared" ref="M489:M516" si="132">G489*I489/100</f>
        <v>0</v>
      </c>
      <c r="N489" s="52">
        <f t="shared" ref="N489:N516" si="133">G489*J489/100</f>
        <v>0</v>
      </c>
      <c r="O489" s="52">
        <f t="shared" ref="O489:O516" si="134">G489*K489/1000</f>
        <v>0</v>
      </c>
    </row>
    <row r="490" spans="1:15" ht="15.9" customHeight="1">
      <c r="A490" s="48"/>
      <c r="B490" s="49"/>
      <c r="C490" s="52"/>
      <c r="D490" s="52"/>
      <c r="E490" s="52"/>
      <c r="F490" s="11"/>
      <c r="G490" s="52">
        <f t="shared" si="110"/>
        <v>0</v>
      </c>
      <c r="H490" s="11"/>
      <c r="I490" s="11"/>
      <c r="J490" s="11"/>
      <c r="K490" s="57"/>
      <c r="L490" s="52">
        <f t="shared" si="131"/>
        <v>0</v>
      </c>
      <c r="M490" s="52">
        <f t="shared" si="132"/>
        <v>0</v>
      </c>
      <c r="N490" s="52">
        <f t="shared" si="133"/>
        <v>0</v>
      </c>
      <c r="O490" s="52">
        <f t="shared" si="134"/>
        <v>0</v>
      </c>
    </row>
    <row r="491" spans="1:15" ht="15.9" customHeight="1">
      <c r="A491" s="48"/>
      <c r="B491" s="49"/>
      <c r="C491" s="52"/>
      <c r="D491" s="52"/>
      <c r="E491" s="52"/>
      <c r="F491" s="11"/>
      <c r="G491" s="52">
        <f t="shared" si="110"/>
        <v>0</v>
      </c>
      <c r="H491" s="11"/>
      <c r="I491" s="11"/>
      <c r="J491" s="11"/>
      <c r="K491" s="57"/>
      <c r="L491" s="52">
        <f t="shared" si="131"/>
        <v>0</v>
      </c>
      <c r="M491" s="52">
        <f t="shared" si="132"/>
        <v>0</v>
      </c>
      <c r="N491" s="52">
        <f t="shared" si="133"/>
        <v>0</v>
      </c>
      <c r="O491" s="52">
        <f t="shared" si="134"/>
        <v>0</v>
      </c>
    </row>
    <row r="492" spans="1:15" ht="15.9" customHeight="1">
      <c r="A492" s="48"/>
      <c r="B492" s="49"/>
      <c r="C492" s="52"/>
      <c r="D492" s="52"/>
      <c r="E492" s="52"/>
      <c r="F492" s="11"/>
      <c r="G492" s="52">
        <f t="shared" si="110"/>
        <v>0</v>
      </c>
      <c r="H492" s="11"/>
      <c r="I492" s="11"/>
      <c r="J492" s="11"/>
      <c r="K492" s="57"/>
      <c r="L492" s="52">
        <f t="shared" si="131"/>
        <v>0</v>
      </c>
      <c r="M492" s="52">
        <f t="shared" si="132"/>
        <v>0</v>
      </c>
      <c r="N492" s="52">
        <f t="shared" si="133"/>
        <v>0</v>
      </c>
      <c r="O492" s="52">
        <f t="shared" si="134"/>
        <v>0</v>
      </c>
    </row>
    <row r="493" spans="1:15" ht="15.9" customHeight="1">
      <c r="A493" s="48"/>
      <c r="B493" s="49"/>
      <c r="C493" s="52"/>
      <c r="D493" s="52"/>
      <c r="E493" s="52"/>
      <c r="F493" s="11"/>
      <c r="G493" s="52">
        <f t="shared" si="110"/>
        <v>0</v>
      </c>
      <c r="H493" s="11"/>
      <c r="I493" s="11"/>
      <c r="J493" s="11"/>
      <c r="K493" s="57"/>
      <c r="L493" s="52">
        <f t="shared" si="131"/>
        <v>0</v>
      </c>
      <c r="M493" s="52">
        <f t="shared" si="132"/>
        <v>0</v>
      </c>
      <c r="N493" s="52">
        <f t="shared" si="133"/>
        <v>0</v>
      </c>
      <c r="O493" s="52">
        <f t="shared" si="134"/>
        <v>0</v>
      </c>
    </row>
    <row r="494" spans="1:15" ht="15.9" customHeight="1">
      <c r="A494" s="48"/>
      <c r="B494" s="49"/>
      <c r="C494" s="52"/>
      <c r="D494" s="52"/>
      <c r="E494" s="52"/>
      <c r="F494" s="11"/>
      <c r="G494" s="52">
        <f t="shared" si="110"/>
        <v>0</v>
      </c>
      <c r="H494" s="11"/>
      <c r="I494" s="11"/>
      <c r="J494" s="11"/>
      <c r="K494" s="57"/>
      <c r="L494" s="52">
        <f t="shared" si="131"/>
        <v>0</v>
      </c>
      <c r="M494" s="52">
        <f t="shared" si="132"/>
        <v>0</v>
      </c>
      <c r="N494" s="52">
        <f t="shared" si="133"/>
        <v>0</v>
      </c>
      <c r="O494" s="52">
        <f t="shared" si="134"/>
        <v>0</v>
      </c>
    </row>
    <row r="495" spans="1:15" ht="15.9" customHeight="1">
      <c r="A495" s="48"/>
      <c r="B495" s="49"/>
      <c r="C495" s="52"/>
      <c r="D495" s="52"/>
      <c r="E495" s="52"/>
      <c r="F495" s="11"/>
      <c r="G495" s="52">
        <f t="shared" si="110"/>
        <v>0</v>
      </c>
      <c r="H495" s="11"/>
      <c r="I495" s="11"/>
      <c r="J495" s="11"/>
      <c r="K495" s="57"/>
      <c r="L495" s="52">
        <f t="shared" si="131"/>
        <v>0</v>
      </c>
      <c r="M495" s="52">
        <f t="shared" si="132"/>
        <v>0</v>
      </c>
      <c r="N495" s="52">
        <f t="shared" si="133"/>
        <v>0</v>
      </c>
      <c r="O495" s="52">
        <f t="shared" si="134"/>
        <v>0</v>
      </c>
    </row>
    <row r="496" spans="1:15" ht="15.9" customHeight="1">
      <c r="A496" s="48"/>
      <c r="B496" s="49"/>
      <c r="C496" s="52"/>
      <c r="D496" s="52"/>
      <c r="E496" s="52"/>
      <c r="F496" s="11"/>
      <c r="G496" s="52">
        <f t="shared" si="110"/>
        <v>0</v>
      </c>
      <c r="H496" s="11"/>
      <c r="I496" s="11"/>
      <c r="J496" s="11"/>
      <c r="K496" s="57"/>
      <c r="L496" s="52">
        <f t="shared" si="131"/>
        <v>0</v>
      </c>
      <c r="M496" s="52">
        <f t="shared" si="132"/>
        <v>0</v>
      </c>
      <c r="N496" s="52">
        <f t="shared" si="133"/>
        <v>0</v>
      </c>
      <c r="O496" s="52">
        <f t="shared" si="134"/>
        <v>0</v>
      </c>
    </row>
    <row r="497" spans="1:15" ht="15.9" customHeight="1">
      <c r="A497" s="48"/>
      <c r="B497" s="49"/>
      <c r="C497" s="52"/>
      <c r="D497" s="52"/>
      <c r="E497" s="52"/>
      <c r="F497" s="11"/>
      <c r="G497" s="52">
        <f t="shared" si="110"/>
        <v>0</v>
      </c>
      <c r="H497" s="11"/>
      <c r="I497" s="11"/>
      <c r="J497" s="11"/>
      <c r="K497" s="57"/>
      <c r="L497" s="52">
        <f t="shared" si="131"/>
        <v>0</v>
      </c>
      <c r="M497" s="52">
        <f t="shared" si="132"/>
        <v>0</v>
      </c>
      <c r="N497" s="52">
        <f t="shared" si="133"/>
        <v>0</v>
      </c>
      <c r="O497" s="52">
        <f t="shared" si="134"/>
        <v>0</v>
      </c>
    </row>
    <row r="498" spans="1:15" ht="15.9" customHeight="1">
      <c r="A498" s="48"/>
      <c r="B498" s="49"/>
      <c r="C498" s="52"/>
      <c r="D498" s="52"/>
      <c r="E498" s="52"/>
      <c r="F498" s="11"/>
      <c r="G498" s="52">
        <f t="shared" si="110"/>
        <v>0</v>
      </c>
      <c r="H498" s="11"/>
      <c r="I498" s="11"/>
      <c r="J498" s="11"/>
      <c r="K498" s="57"/>
      <c r="L498" s="52">
        <f t="shared" si="131"/>
        <v>0</v>
      </c>
      <c r="M498" s="52">
        <f t="shared" si="132"/>
        <v>0</v>
      </c>
      <c r="N498" s="52">
        <f t="shared" si="133"/>
        <v>0</v>
      </c>
      <c r="O498" s="52">
        <f t="shared" si="134"/>
        <v>0</v>
      </c>
    </row>
    <row r="499" spans="1:15" ht="15.9" customHeight="1">
      <c r="A499" s="48"/>
      <c r="B499" s="49"/>
      <c r="C499" s="52"/>
      <c r="D499" s="52"/>
      <c r="E499" s="52"/>
      <c r="F499" s="11"/>
      <c r="G499" s="52">
        <f t="shared" si="110"/>
        <v>0</v>
      </c>
      <c r="H499" s="11"/>
      <c r="I499" s="11"/>
      <c r="J499" s="11"/>
      <c r="K499" s="57"/>
      <c r="L499" s="52">
        <f t="shared" si="131"/>
        <v>0</v>
      </c>
      <c r="M499" s="52">
        <f t="shared" si="132"/>
        <v>0</v>
      </c>
      <c r="N499" s="52">
        <f t="shared" si="133"/>
        <v>0</v>
      </c>
      <c r="O499" s="52">
        <f t="shared" si="134"/>
        <v>0</v>
      </c>
    </row>
    <row r="500" spans="1:15" ht="15.9" customHeight="1">
      <c r="A500" s="48"/>
      <c r="B500" s="49"/>
      <c r="C500" s="52"/>
      <c r="D500" s="52"/>
      <c r="E500" s="52"/>
      <c r="F500" s="11"/>
      <c r="G500" s="52">
        <f t="shared" si="110"/>
        <v>0</v>
      </c>
      <c r="H500" s="11"/>
      <c r="I500" s="11"/>
      <c r="J500" s="11"/>
      <c r="K500" s="57"/>
      <c r="L500" s="52">
        <f t="shared" si="131"/>
        <v>0</v>
      </c>
      <c r="M500" s="52">
        <f t="shared" si="132"/>
        <v>0</v>
      </c>
      <c r="N500" s="52">
        <f t="shared" si="133"/>
        <v>0</v>
      </c>
      <c r="O500" s="52">
        <f t="shared" si="134"/>
        <v>0</v>
      </c>
    </row>
    <row r="501" spans="1:15" ht="15.9" customHeight="1">
      <c r="A501" s="48"/>
      <c r="B501" s="49"/>
      <c r="C501" s="52"/>
      <c r="D501" s="52"/>
      <c r="E501" s="52"/>
      <c r="F501" s="11"/>
      <c r="G501" s="52">
        <f t="shared" si="110"/>
        <v>0</v>
      </c>
      <c r="H501" s="11"/>
      <c r="I501" s="11"/>
      <c r="J501" s="11"/>
      <c r="K501" s="57"/>
      <c r="L501" s="52">
        <f t="shared" ref="L501:L515" si="135">G501*H501/100</f>
        <v>0</v>
      </c>
      <c r="M501" s="52">
        <f t="shared" ref="M501:M515" si="136">G501*I501/100</f>
        <v>0</v>
      </c>
      <c r="N501" s="52">
        <f t="shared" ref="N501:N515" si="137">G501*J501/100</f>
        <v>0</v>
      </c>
      <c r="O501" s="52">
        <f t="shared" ref="O501:O515" si="138">G501*K501/1000</f>
        <v>0</v>
      </c>
    </row>
    <row r="502" spans="1:15" ht="15.9" customHeight="1">
      <c r="A502" s="48"/>
      <c r="B502" s="49"/>
      <c r="C502" s="52"/>
      <c r="D502" s="52"/>
      <c r="E502" s="52"/>
      <c r="F502" s="11"/>
      <c r="G502" s="52">
        <f t="shared" si="110"/>
        <v>0</v>
      </c>
      <c r="H502" s="11"/>
      <c r="I502" s="11"/>
      <c r="J502" s="11"/>
      <c r="K502" s="57"/>
      <c r="L502" s="52">
        <f t="shared" si="135"/>
        <v>0</v>
      </c>
      <c r="M502" s="52">
        <f t="shared" si="136"/>
        <v>0</v>
      </c>
      <c r="N502" s="52">
        <f t="shared" si="137"/>
        <v>0</v>
      </c>
      <c r="O502" s="52">
        <f t="shared" si="138"/>
        <v>0</v>
      </c>
    </row>
    <row r="503" spans="1:15" ht="15.9" customHeight="1">
      <c r="A503" s="48"/>
      <c r="B503" s="49"/>
      <c r="C503" s="52"/>
      <c r="D503" s="52"/>
      <c r="E503" s="52"/>
      <c r="F503" s="11"/>
      <c r="G503" s="52">
        <f t="shared" si="110"/>
        <v>0</v>
      </c>
      <c r="H503" s="11"/>
      <c r="I503" s="11"/>
      <c r="J503" s="11"/>
      <c r="K503" s="57"/>
      <c r="L503" s="52">
        <f t="shared" si="135"/>
        <v>0</v>
      </c>
      <c r="M503" s="52">
        <f t="shared" si="136"/>
        <v>0</v>
      </c>
      <c r="N503" s="52">
        <f t="shared" si="137"/>
        <v>0</v>
      </c>
      <c r="O503" s="52">
        <f t="shared" si="138"/>
        <v>0</v>
      </c>
    </row>
    <row r="504" spans="1:15" ht="15.9" customHeight="1">
      <c r="A504" s="48"/>
      <c r="B504" s="49"/>
      <c r="C504" s="52"/>
      <c r="D504" s="52"/>
      <c r="E504" s="52"/>
      <c r="F504" s="11"/>
      <c r="G504" s="52">
        <f t="shared" si="110"/>
        <v>0</v>
      </c>
      <c r="H504" s="11"/>
      <c r="I504" s="11"/>
      <c r="J504" s="11"/>
      <c r="K504" s="57"/>
      <c r="L504" s="52">
        <f t="shared" si="135"/>
        <v>0</v>
      </c>
      <c r="M504" s="52">
        <f t="shared" si="136"/>
        <v>0</v>
      </c>
      <c r="N504" s="52">
        <f t="shared" si="137"/>
        <v>0</v>
      </c>
      <c r="O504" s="52">
        <f t="shared" si="138"/>
        <v>0</v>
      </c>
    </row>
    <row r="505" spans="1:15" ht="15.9" customHeight="1">
      <c r="A505" s="48"/>
      <c r="B505" s="49"/>
      <c r="C505" s="52"/>
      <c r="D505" s="52"/>
      <c r="E505" s="52"/>
      <c r="F505" s="11"/>
      <c r="G505" s="52">
        <f t="shared" si="110"/>
        <v>0</v>
      </c>
      <c r="H505" s="11"/>
      <c r="I505" s="11"/>
      <c r="J505" s="11"/>
      <c r="K505" s="57"/>
      <c r="L505" s="52">
        <f t="shared" si="135"/>
        <v>0</v>
      </c>
      <c r="M505" s="52">
        <f t="shared" si="136"/>
        <v>0</v>
      </c>
      <c r="N505" s="52">
        <f t="shared" si="137"/>
        <v>0</v>
      </c>
      <c r="O505" s="52">
        <f t="shared" si="138"/>
        <v>0</v>
      </c>
    </row>
    <row r="506" spans="1:15" ht="15.9" customHeight="1">
      <c r="A506" s="48"/>
      <c r="B506" s="49"/>
      <c r="C506" s="52"/>
      <c r="D506" s="52"/>
      <c r="E506" s="52"/>
      <c r="F506" s="11"/>
      <c r="G506" s="52">
        <f t="shared" si="110"/>
        <v>0</v>
      </c>
      <c r="H506" s="11"/>
      <c r="I506" s="11"/>
      <c r="J506" s="11"/>
      <c r="K506" s="57"/>
      <c r="L506" s="52">
        <f t="shared" si="135"/>
        <v>0</v>
      </c>
      <c r="M506" s="52">
        <f t="shared" si="136"/>
        <v>0</v>
      </c>
      <c r="N506" s="52">
        <f t="shared" si="137"/>
        <v>0</v>
      </c>
      <c r="O506" s="52">
        <f t="shared" si="138"/>
        <v>0</v>
      </c>
    </row>
    <row r="507" spans="1:15" ht="15.9" customHeight="1">
      <c r="A507" s="48"/>
      <c r="B507" s="49"/>
      <c r="C507" s="52"/>
      <c r="D507" s="52"/>
      <c r="E507" s="52"/>
      <c r="F507" s="11"/>
      <c r="G507" s="52">
        <f t="shared" si="110"/>
        <v>0</v>
      </c>
      <c r="H507" s="11"/>
      <c r="I507" s="11"/>
      <c r="J507" s="11"/>
      <c r="K507" s="57"/>
      <c r="L507" s="52">
        <f t="shared" si="135"/>
        <v>0</v>
      </c>
      <c r="M507" s="52">
        <f t="shared" si="136"/>
        <v>0</v>
      </c>
      <c r="N507" s="52">
        <f t="shared" si="137"/>
        <v>0</v>
      </c>
      <c r="O507" s="52">
        <f t="shared" si="138"/>
        <v>0</v>
      </c>
    </row>
    <row r="508" spans="1:15" ht="15.9" customHeight="1">
      <c r="A508" s="48"/>
      <c r="B508" s="49"/>
      <c r="C508" s="52"/>
      <c r="D508" s="52"/>
      <c r="E508" s="52"/>
      <c r="F508" s="11"/>
      <c r="G508" s="52">
        <f t="shared" si="110"/>
        <v>0</v>
      </c>
      <c r="H508" s="11"/>
      <c r="I508" s="11"/>
      <c r="J508" s="11"/>
      <c r="K508" s="57"/>
      <c r="L508" s="52">
        <f t="shared" si="135"/>
        <v>0</v>
      </c>
      <c r="M508" s="52">
        <f t="shared" si="136"/>
        <v>0</v>
      </c>
      <c r="N508" s="52">
        <f t="shared" si="137"/>
        <v>0</v>
      </c>
      <c r="O508" s="52">
        <f t="shared" si="138"/>
        <v>0</v>
      </c>
    </row>
    <row r="509" spans="1:15" ht="15.9" customHeight="1">
      <c r="A509" s="48"/>
      <c r="B509" s="49"/>
      <c r="C509" s="52"/>
      <c r="D509" s="52"/>
      <c r="E509" s="52"/>
      <c r="F509" s="11"/>
      <c r="G509" s="52">
        <f t="shared" si="110"/>
        <v>0</v>
      </c>
      <c r="H509" s="11"/>
      <c r="I509" s="11"/>
      <c r="J509" s="11"/>
      <c r="K509" s="57"/>
      <c r="L509" s="52">
        <f t="shared" si="135"/>
        <v>0</v>
      </c>
      <c r="M509" s="52">
        <f t="shared" si="136"/>
        <v>0</v>
      </c>
      <c r="N509" s="52">
        <f t="shared" si="137"/>
        <v>0</v>
      </c>
      <c r="O509" s="52">
        <f t="shared" si="138"/>
        <v>0</v>
      </c>
    </row>
    <row r="510" spans="1:15" ht="15.9" customHeight="1">
      <c r="A510" s="48"/>
      <c r="B510" s="49"/>
      <c r="C510" s="52"/>
      <c r="D510" s="52"/>
      <c r="E510" s="52"/>
      <c r="F510" s="11"/>
      <c r="G510" s="52">
        <f t="shared" si="110"/>
        <v>0</v>
      </c>
      <c r="H510" s="11"/>
      <c r="I510" s="11"/>
      <c r="J510" s="11"/>
      <c r="K510" s="57"/>
      <c r="L510" s="52">
        <f t="shared" si="135"/>
        <v>0</v>
      </c>
      <c r="M510" s="52">
        <f t="shared" si="136"/>
        <v>0</v>
      </c>
      <c r="N510" s="52">
        <f t="shared" si="137"/>
        <v>0</v>
      </c>
      <c r="O510" s="52">
        <f t="shared" si="138"/>
        <v>0</v>
      </c>
    </row>
    <row r="511" spans="1:15" ht="15.9" customHeight="1">
      <c r="A511" s="48"/>
      <c r="B511" s="49"/>
      <c r="C511" s="52"/>
      <c r="D511" s="52"/>
      <c r="E511" s="52"/>
      <c r="F511" s="11"/>
      <c r="G511" s="52">
        <f t="shared" si="110"/>
        <v>0</v>
      </c>
      <c r="H511" s="11"/>
      <c r="I511" s="11"/>
      <c r="J511" s="11"/>
      <c r="K511" s="57"/>
      <c r="L511" s="52">
        <f t="shared" si="135"/>
        <v>0</v>
      </c>
      <c r="M511" s="52">
        <f t="shared" si="136"/>
        <v>0</v>
      </c>
      <c r="N511" s="52">
        <f t="shared" si="137"/>
        <v>0</v>
      </c>
      <c r="O511" s="52">
        <f t="shared" si="138"/>
        <v>0</v>
      </c>
    </row>
    <row r="512" spans="1:15" ht="15.9" customHeight="1">
      <c r="A512" s="48"/>
      <c r="B512" s="49"/>
      <c r="C512" s="52"/>
      <c r="D512" s="52"/>
      <c r="E512" s="52"/>
      <c r="F512" s="11"/>
      <c r="G512" s="52">
        <f t="shared" si="110"/>
        <v>0</v>
      </c>
      <c r="H512" s="11"/>
      <c r="I512" s="11"/>
      <c r="J512" s="11"/>
      <c r="K512" s="57"/>
      <c r="L512" s="52">
        <f t="shared" si="135"/>
        <v>0</v>
      </c>
      <c r="M512" s="52">
        <f t="shared" si="136"/>
        <v>0</v>
      </c>
      <c r="N512" s="52">
        <f t="shared" si="137"/>
        <v>0</v>
      </c>
      <c r="O512" s="52">
        <f t="shared" si="138"/>
        <v>0</v>
      </c>
    </row>
    <row r="513" spans="1:15" ht="15.9" customHeight="1">
      <c r="A513" s="48"/>
      <c r="B513" s="49"/>
      <c r="C513" s="52"/>
      <c r="D513" s="52"/>
      <c r="E513" s="52"/>
      <c r="F513" s="11"/>
      <c r="G513" s="52">
        <f t="shared" si="110"/>
        <v>0</v>
      </c>
      <c r="H513" s="11"/>
      <c r="I513" s="11"/>
      <c r="J513" s="11"/>
      <c r="K513" s="57"/>
      <c r="L513" s="52">
        <f t="shared" si="135"/>
        <v>0</v>
      </c>
      <c r="M513" s="52">
        <f t="shared" si="136"/>
        <v>0</v>
      </c>
      <c r="N513" s="52">
        <f t="shared" si="137"/>
        <v>0</v>
      </c>
      <c r="O513" s="52">
        <f t="shared" si="138"/>
        <v>0</v>
      </c>
    </row>
    <row r="514" spans="1:15" ht="15.9" customHeight="1">
      <c r="A514" s="48"/>
      <c r="B514" s="49"/>
      <c r="C514" s="52"/>
      <c r="D514" s="52"/>
      <c r="E514" s="52"/>
      <c r="F514" s="11"/>
      <c r="G514" s="52">
        <f t="shared" si="110"/>
        <v>0</v>
      </c>
      <c r="H514" s="11"/>
      <c r="I514" s="11"/>
      <c r="J514" s="11"/>
      <c r="K514" s="57"/>
      <c r="L514" s="52">
        <f t="shared" si="135"/>
        <v>0</v>
      </c>
      <c r="M514" s="52">
        <f t="shared" si="136"/>
        <v>0</v>
      </c>
      <c r="N514" s="52">
        <f t="shared" si="137"/>
        <v>0</v>
      </c>
      <c r="O514" s="52">
        <f t="shared" si="138"/>
        <v>0</v>
      </c>
    </row>
    <row r="515" spans="1:15" ht="15.9" customHeight="1">
      <c r="A515" s="48"/>
      <c r="B515" s="49"/>
      <c r="C515" s="52"/>
      <c r="D515" s="52"/>
      <c r="E515" s="52"/>
      <c r="F515" s="11"/>
      <c r="G515" s="52">
        <f t="shared" si="110"/>
        <v>0</v>
      </c>
      <c r="H515" s="11"/>
      <c r="I515" s="11"/>
      <c r="J515" s="11"/>
      <c r="K515" s="57"/>
      <c r="L515" s="52">
        <f t="shared" si="135"/>
        <v>0</v>
      </c>
      <c r="M515" s="52">
        <f t="shared" si="136"/>
        <v>0</v>
      </c>
      <c r="N515" s="52">
        <f t="shared" si="137"/>
        <v>0</v>
      </c>
      <c r="O515" s="52">
        <f t="shared" si="138"/>
        <v>0</v>
      </c>
    </row>
    <row r="516" spans="1:15" ht="15.9" customHeight="1">
      <c r="A516" s="48"/>
      <c r="B516" s="49"/>
      <c r="C516" s="52"/>
      <c r="D516" s="52"/>
      <c r="E516" s="52"/>
      <c r="F516" s="11"/>
      <c r="G516" s="52">
        <f t="shared" si="110"/>
        <v>0</v>
      </c>
      <c r="H516" s="11"/>
      <c r="I516" s="11"/>
      <c r="J516" s="11"/>
      <c r="K516" s="57"/>
      <c r="L516" s="52">
        <f t="shared" si="131"/>
        <v>0</v>
      </c>
      <c r="M516" s="52">
        <f t="shared" si="132"/>
        <v>0</v>
      </c>
      <c r="N516" s="52">
        <f t="shared" si="133"/>
        <v>0</v>
      </c>
      <c r="O516" s="52">
        <f t="shared" si="134"/>
        <v>0</v>
      </c>
    </row>
    <row r="517" spans="1:15" ht="15.9" customHeight="1">
      <c r="A517" s="48"/>
      <c r="B517" s="49"/>
      <c r="C517" s="52"/>
      <c r="D517" s="52"/>
      <c r="E517" s="52"/>
      <c r="F517" s="52"/>
      <c r="G517" s="52">
        <f t="shared" si="110"/>
        <v>0</v>
      </c>
      <c r="H517" s="11"/>
      <c r="I517" s="11"/>
      <c r="J517" s="11"/>
      <c r="K517" s="57"/>
      <c r="L517" s="52">
        <f t="shared" si="127"/>
        <v>0</v>
      </c>
      <c r="M517" s="52">
        <f t="shared" si="128"/>
        <v>0</v>
      </c>
      <c r="N517" s="52">
        <f t="shared" si="129"/>
        <v>0</v>
      </c>
      <c r="O517" s="52">
        <f t="shared" si="130"/>
        <v>0</v>
      </c>
    </row>
    <row r="518" spans="1:15" ht="15.9" customHeight="1">
      <c r="A518" s="48"/>
      <c r="B518" s="49"/>
      <c r="C518" s="52"/>
      <c r="D518" s="52"/>
      <c r="E518" s="52"/>
      <c r="F518" s="52"/>
      <c r="G518" s="52">
        <f t="shared" si="110"/>
        <v>0</v>
      </c>
      <c r="H518" s="11"/>
      <c r="I518" s="11"/>
      <c r="J518" s="11"/>
      <c r="K518" s="57"/>
      <c r="L518" s="52">
        <f t="shared" si="127"/>
        <v>0</v>
      </c>
      <c r="M518" s="52">
        <f t="shared" si="128"/>
        <v>0</v>
      </c>
      <c r="N518" s="52">
        <f t="shared" si="129"/>
        <v>0</v>
      </c>
      <c r="O518" s="52">
        <f t="shared" si="130"/>
        <v>0</v>
      </c>
    </row>
    <row r="519" spans="1:15" ht="15.9" customHeight="1">
      <c r="A519" s="48"/>
      <c r="B519" s="49"/>
      <c r="C519" s="52"/>
      <c r="D519" s="52"/>
      <c r="E519" s="52"/>
      <c r="F519" s="52"/>
      <c r="G519" s="52">
        <f t="shared" si="110"/>
        <v>0</v>
      </c>
      <c r="H519" s="11"/>
      <c r="I519" s="11"/>
      <c r="J519" s="11"/>
      <c r="K519" s="57"/>
      <c r="L519" s="52">
        <f t="shared" si="127"/>
        <v>0</v>
      </c>
      <c r="M519" s="52">
        <f t="shared" si="128"/>
        <v>0</v>
      </c>
      <c r="N519" s="52">
        <f t="shared" si="129"/>
        <v>0</v>
      </c>
      <c r="O519" s="52">
        <f t="shared" si="130"/>
        <v>0</v>
      </c>
    </row>
    <row r="520" spans="1:15" ht="15.9" customHeight="1">
      <c r="A520" s="48"/>
      <c r="B520" s="49"/>
      <c r="C520" s="52"/>
      <c r="D520" s="52"/>
      <c r="E520" s="52"/>
      <c r="F520" s="52"/>
      <c r="G520" s="52">
        <f t="shared" si="110"/>
        <v>0</v>
      </c>
      <c r="H520" s="11"/>
      <c r="I520" s="11"/>
      <c r="J520" s="11"/>
      <c r="K520" s="57"/>
      <c r="L520" s="52">
        <f t="shared" si="127"/>
        <v>0</v>
      </c>
      <c r="M520" s="52">
        <f t="shared" si="128"/>
        <v>0</v>
      </c>
      <c r="N520" s="52">
        <f t="shared" si="129"/>
        <v>0</v>
      </c>
      <c r="O520" s="52">
        <f t="shared" si="130"/>
        <v>0</v>
      </c>
    </row>
    <row r="521" spans="1:15" ht="15.9" customHeight="1">
      <c r="A521" s="48"/>
      <c r="B521" s="49"/>
      <c r="C521" s="52"/>
      <c r="D521" s="52"/>
      <c r="E521" s="52"/>
      <c r="F521" s="52"/>
      <c r="G521" s="52">
        <f t="shared" si="110"/>
        <v>0</v>
      </c>
      <c r="H521" s="11"/>
      <c r="I521" s="11"/>
      <c r="J521" s="11"/>
      <c r="K521" s="57"/>
      <c r="L521" s="52">
        <f t="shared" si="127"/>
        <v>0</v>
      </c>
      <c r="M521" s="52">
        <f t="shared" si="128"/>
        <v>0</v>
      </c>
      <c r="N521" s="52">
        <f t="shared" si="129"/>
        <v>0</v>
      </c>
      <c r="O521" s="52">
        <f t="shared" si="130"/>
        <v>0</v>
      </c>
    </row>
    <row r="522" spans="1:15" ht="15.9" customHeight="1">
      <c r="A522" s="48"/>
      <c r="B522" s="49"/>
      <c r="C522" s="52"/>
      <c r="D522" s="52"/>
      <c r="E522" s="52"/>
      <c r="F522" s="52"/>
      <c r="G522" s="52">
        <f t="shared" si="110"/>
        <v>0</v>
      </c>
      <c r="H522" s="11"/>
      <c r="I522" s="11"/>
      <c r="J522" s="11"/>
      <c r="K522" s="57"/>
      <c r="L522" s="52">
        <f t="shared" si="127"/>
        <v>0</v>
      </c>
      <c r="M522" s="52">
        <f t="shared" si="128"/>
        <v>0</v>
      </c>
      <c r="N522" s="52">
        <f t="shared" si="129"/>
        <v>0</v>
      </c>
      <c r="O522" s="52">
        <f t="shared" si="130"/>
        <v>0</v>
      </c>
    </row>
    <row r="523" spans="1:15" ht="15.9" customHeight="1">
      <c r="A523" s="48"/>
      <c r="B523" s="49"/>
      <c r="C523" s="52"/>
      <c r="D523" s="52"/>
      <c r="E523" s="52"/>
      <c r="F523" s="52"/>
      <c r="G523" s="52">
        <f t="shared" si="110"/>
        <v>0</v>
      </c>
      <c r="H523" s="11"/>
      <c r="I523" s="11"/>
      <c r="J523" s="11"/>
      <c r="K523" s="57"/>
      <c r="L523" s="52">
        <f t="shared" si="127"/>
        <v>0</v>
      </c>
      <c r="M523" s="52">
        <f t="shared" si="128"/>
        <v>0</v>
      </c>
      <c r="N523" s="52">
        <f t="shared" si="129"/>
        <v>0</v>
      </c>
      <c r="O523" s="52">
        <f t="shared" si="130"/>
        <v>0</v>
      </c>
    </row>
    <row r="524" spans="1:15" ht="15.9" customHeight="1">
      <c r="A524" s="48"/>
      <c r="B524" s="49"/>
      <c r="C524" s="52"/>
      <c r="D524" s="52"/>
      <c r="E524" s="52"/>
      <c r="F524" s="52"/>
      <c r="G524" s="52">
        <f t="shared" si="110"/>
        <v>0</v>
      </c>
      <c r="H524" s="11"/>
      <c r="I524" s="11"/>
      <c r="J524" s="11"/>
      <c r="K524" s="57"/>
      <c r="L524" s="52">
        <f t="shared" si="127"/>
        <v>0</v>
      </c>
      <c r="M524" s="52">
        <f t="shared" si="128"/>
        <v>0</v>
      </c>
      <c r="N524" s="52">
        <f t="shared" si="129"/>
        <v>0</v>
      </c>
      <c r="O524" s="52">
        <f t="shared" si="130"/>
        <v>0</v>
      </c>
    </row>
    <row r="525" spans="1:15" ht="15.9" customHeight="1">
      <c r="A525" s="48"/>
      <c r="B525" s="49"/>
      <c r="C525" s="52"/>
      <c r="D525" s="52"/>
      <c r="E525" s="52"/>
      <c r="F525" s="52"/>
      <c r="G525" s="52">
        <f t="shared" si="110"/>
        <v>0</v>
      </c>
      <c r="H525" s="11"/>
      <c r="I525" s="11"/>
      <c r="J525" s="11"/>
      <c r="K525" s="57"/>
      <c r="L525" s="52">
        <f t="shared" si="127"/>
        <v>0</v>
      </c>
      <c r="M525" s="52">
        <f t="shared" si="128"/>
        <v>0</v>
      </c>
      <c r="N525" s="52">
        <f t="shared" si="129"/>
        <v>0</v>
      </c>
      <c r="O525" s="52">
        <f t="shared" si="130"/>
        <v>0</v>
      </c>
    </row>
    <row r="526" spans="1:15" ht="15.9" customHeight="1">
      <c r="A526" s="48"/>
      <c r="B526" s="49"/>
      <c r="C526" s="52"/>
      <c r="D526" s="52"/>
      <c r="E526" s="52"/>
      <c r="F526" s="11"/>
      <c r="G526" s="52">
        <f t="shared" si="110"/>
        <v>0</v>
      </c>
      <c r="H526" s="11"/>
      <c r="I526" s="11"/>
      <c r="J526" s="11"/>
      <c r="K526" s="57"/>
      <c r="L526" s="52">
        <f t="shared" ref="L526:L589" si="139">G526*H526/100</f>
        <v>0</v>
      </c>
      <c r="M526" s="52">
        <f t="shared" ref="M526:M589" si="140">G526*I526/100</f>
        <v>0</v>
      </c>
      <c r="N526" s="52">
        <f t="shared" ref="N526:N589" si="141">G526*J526/100</f>
        <v>0</v>
      </c>
      <c r="O526" s="52">
        <f t="shared" ref="O526:O589" si="142">G526*K526/1000</f>
        <v>0</v>
      </c>
    </row>
    <row r="527" spans="1:15" ht="15.9" customHeight="1">
      <c r="A527" s="48"/>
      <c r="B527" s="49"/>
      <c r="C527" s="52"/>
      <c r="D527" s="52"/>
      <c r="E527" s="52"/>
      <c r="F527" s="11"/>
      <c r="G527" s="52">
        <f t="shared" si="110"/>
        <v>0</v>
      </c>
      <c r="H527" s="11"/>
      <c r="I527" s="11"/>
      <c r="J527" s="11"/>
      <c r="K527" s="57"/>
      <c r="L527" s="52">
        <f t="shared" si="139"/>
        <v>0</v>
      </c>
      <c r="M527" s="52">
        <f t="shared" si="140"/>
        <v>0</v>
      </c>
      <c r="N527" s="52">
        <f t="shared" si="141"/>
        <v>0</v>
      </c>
      <c r="O527" s="52">
        <f t="shared" si="142"/>
        <v>0</v>
      </c>
    </row>
    <row r="528" spans="1:15" ht="15.9" customHeight="1">
      <c r="A528" s="48"/>
      <c r="B528" s="49"/>
      <c r="C528" s="52"/>
      <c r="D528" s="52"/>
      <c r="E528" s="52"/>
      <c r="F528" s="11"/>
      <c r="G528" s="52">
        <f t="shared" si="110"/>
        <v>0</v>
      </c>
      <c r="H528" s="11"/>
      <c r="I528" s="11"/>
      <c r="J528" s="11"/>
      <c r="K528" s="57"/>
      <c r="L528" s="52">
        <f t="shared" si="139"/>
        <v>0</v>
      </c>
      <c r="M528" s="52">
        <f t="shared" si="140"/>
        <v>0</v>
      </c>
      <c r="N528" s="52">
        <f t="shared" si="141"/>
        <v>0</v>
      </c>
      <c r="O528" s="52">
        <f t="shared" si="142"/>
        <v>0</v>
      </c>
    </row>
    <row r="529" spans="1:15" ht="15.9" customHeight="1">
      <c r="A529" s="48"/>
      <c r="B529" s="49"/>
      <c r="C529" s="52"/>
      <c r="D529" s="52"/>
      <c r="E529" s="52"/>
      <c r="F529" s="11"/>
      <c r="G529" s="52">
        <f t="shared" si="110"/>
        <v>0</v>
      </c>
      <c r="H529" s="11"/>
      <c r="I529" s="11"/>
      <c r="J529" s="11"/>
      <c r="K529" s="57"/>
      <c r="L529" s="52">
        <f t="shared" si="139"/>
        <v>0</v>
      </c>
      <c r="M529" s="52">
        <f t="shared" si="140"/>
        <v>0</v>
      </c>
      <c r="N529" s="52">
        <f t="shared" si="141"/>
        <v>0</v>
      </c>
      <c r="O529" s="52">
        <f t="shared" si="142"/>
        <v>0</v>
      </c>
    </row>
    <row r="530" spans="1:15" ht="15.9" customHeight="1">
      <c r="A530" s="48"/>
      <c r="B530" s="49"/>
      <c r="C530" s="52"/>
      <c r="D530" s="52"/>
      <c r="E530" s="52"/>
      <c r="F530" s="11"/>
      <c r="G530" s="52">
        <f t="shared" si="110"/>
        <v>0</v>
      </c>
      <c r="H530" s="11"/>
      <c r="I530" s="11"/>
      <c r="J530" s="11"/>
      <c r="K530" s="57"/>
      <c r="L530" s="52">
        <f t="shared" si="139"/>
        <v>0</v>
      </c>
      <c r="M530" s="52">
        <f t="shared" si="140"/>
        <v>0</v>
      </c>
      <c r="N530" s="52">
        <f t="shared" si="141"/>
        <v>0</v>
      </c>
      <c r="O530" s="52">
        <f t="shared" si="142"/>
        <v>0</v>
      </c>
    </row>
    <row r="531" spans="1:15" ht="15.9" customHeight="1">
      <c r="A531" s="48"/>
      <c r="B531" s="49"/>
      <c r="C531" s="52"/>
      <c r="D531" s="52"/>
      <c r="E531" s="52"/>
      <c r="F531" s="11"/>
      <c r="G531" s="52">
        <f t="shared" si="110"/>
        <v>0</v>
      </c>
      <c r="H531" s="11"/>
      <c r="I531" s="11"/>
      <c r="J531" s="11"/>
      <c r="K531" s="57"/>
      <c r="L531" s="52">
        <f t="shared" si="139"/>
        <v>0</v>
      </c>
      <c r="M531" s="52">
        <f t="shared" si="140"/>
        <v>0</v>
      </c>
      <c r="N531" s="52">
        <f t="shared" si="141"/>
        <v>0</v>
      </c>
      <c r="O531" s="52">
        <f t="shared" si="142"/>
        <v>0</v>
      </c>
    </row>
    <row r="532" spans="1:15" ht="15.9" customHeight="1">
      <c r="A532" s="48"/>
      <c r="B532" s="49"/>
      <c r="C532" s="52"/>
      <c r="D532" s="52"/>
      <c r="E532" s="52"/>
      <c r="F532" s="11"/>
      <c r="G532" s="52">
        <f t="shared" si="110"/>
        <v>0</v>
      </c>
      <c r="H532" s="11"/>
      <c r="I532" s="11"/>
      <c r="J532" s="11"/>
      <c r="K532" s="57"/>
      <c r="L532" s="52">
        <f t="shared" si="139"/>
        <v>0</v>
      </c>
      <c r="M532" s="52">
        <f t="shared" si="140"/>
        <v>0</v>
      </c>
      <c r="N532" s="52">
        <f t="shared" si="141"/>
        <v>0</v>
      </c>
      <c r="O532" s="52">
        <f t="shared" si="142"/>
        <v>0</v>
      </c>
    </row>
    <row r="533" spans="1:15" ht="15.9" customHeight="1">
      <c r="A533" s="48"/>
      <c r="B533" s="49"/>
      <c r="C533" s="52"/>
      <c r="D533" s="52"/>
      <c r="E533" s="52"/>
      <c r="F533" s="11"/>
      <c r="G533" s="52">
        <f t="shared" si="110"/>
        <v>0</v>
      </c>
      <c r="H533" s="11"/>
      <c r="I533" s="11"/>
      <c r="J533" s="11"/>
      <c r="K533" s="57"/>
      <c r="L533" s="52">
        <f t="shared" si="139"/>
        <v>0</v>
      </c>
      <c r="M533" s="52">
        <f t="shared" si="140"/>
        <v>0</v>
      </c>
      <c r="N533" s="52">
        <f t="shared" si="141"/>
        <v>0</v>
      </c>
      <c r="O533" s="52">
        <f t="shared" si="142"/>
        <v>0</v>
      </c>
    </row>
    <row r="534" spans="1:15" ht="15.9" customHeight="1">
      <c r="A534" s="48"/>
      <c r="B534" s="49"/>
      <c r="C534" s="52"/>
      <c r="D534" s="52"/>
      <c r="E534" s="52"/>
      <c r="F534" s="11"/>
      <c r="G534" s="52">
        <f t="shared" si="110"/>
        <v>0</v>
      </c>
      <c r="H534" s="11"/>
      <c r="I534" s="11"/>
      <c r="J534" s="11"/>
      <c r="K534" s="57"/>
      <c r="L534" s="52">
        <f t="shared" si="139"/>
        <v>0</v>
      </c>
      <c r="M534" s="52">
        <f t="shared" si="140"/>
        <v>0</v>
      </c>
      <c r="N534" s="52">
        <f t="shared" si="141"/>
        <v>0</v>
      </c>
      <c r="O534" s="52">
        <f t="shared" si="142"/>
        <v>0</v>
      </c>
    </row>
    <row r="535" spans="1:15" ht="15.9" customHeight="1">
      <c r="A535" s="48"/>
      <c r="B535" s="49"/>
      <c r="C535" s="52"/>
      <c r="D535" s="52"/>
      <c r="E535" s="52"/>
      <c r="F535" s="11"/>
      <c r="G535" s="52">
        <f t="shared" si="110"/>
        <v>0</v>
      </c>
      <c r="H535" s="11"/>
      <c r="I535" s="11"/>
      <c r="J535" s="11"/>
      <c r="K535" s="57"/>
      <c r="L535" s="52">
        <f t="shared" si="139"/>
        <v>0</v>
      </c>
      <c r="M535" s="52">
        <f t="shared" si="140"/>
        <v>0</v>
      </c>
      <c r="N535" s="52">
        <f t="shared" si="141"/>
        <v>0</v>
      </c>
      <c r="O535" s="52">
        <f t="shared" si="142"/>
        <v>0</v>
      </c>
    </row>
    <row r="536" spans="1:15" ht="15.9" customHeight="1">
      <c r="A536" s="48"/>
      <c r="B536" s="49"/>
      <c r="C536" s="52"/>
      <c r="D536" s="52"/>
      <c r="E536" s="52"/>
      <c r="F536" s="11"/>
      <c r="G536" s="52">
        <f t="shared" si="110"/>
        <v>0</v>
      </c>
      <c r="H536" s="11"/>
      <c r="I536" s="11"/>
      <c r="J536" s="11"/>
      <c r="K536" s="57"/>
      <c r="L536" s="52">
        <f t="shared" si="139"/>
        <v>0</v>
      </c>
      <c r="M536" s="52">
        <f t="shared" si="140"/>
        <v>0</v>
      </c>
      <c r="N536" s="52">
        <f t="shared" si="141"/>
        <v>0</v>
      </c>
      <c r="O536" s="52">
        <f t="shared" si="142"/>
        <v>0</v>
      </c>
    </row>
    <row r="537" spans="1:15" ht="15.9" customHeight="1">
      <c r="A537" s="48"/>
      <c r="B537" s="49"/>
      <c r="C537" s="52"/>
      <c r="D537" s="52"/>
      <c r="E537" s="52"/>
      <c r="F537" s="11"/>
      <c r="G537" s="52">
        <f t="shared" si="110"/>
        <v>0</v>
      </c>
      <c r="H537" s="11"/>
      <c r="I537" s="11"/>
      <c r="J537" s="11"/>
      <c r="K537" s="57"/>
      <c r="L537" s="52">
        <f t="shared" si="139"/>
        <v>0</v>
      </c>
      <c r="M537" s="52">
        <f t="shared" si="140"/>
        <v>0</v>
      </c>
      <c r="N537" s="52">
        <f t="shared" si="141"/>
        <v>0</v>
      </c>
      <c r="O537" s="52">
        <f t="shared" si="142"/>
        <v>0</v>
      </c>
    </row>
    <row r="538" spans="1:15" ht="15.9" customHeight="1">
      <c r="A538" s="48"/>
      <c r="B538" s="49"/>
      <c r="C538" s="52"/>
      <c r="D538" s="52"/>
      <c r="E538" s="52"/>
      <c r="F538" s="11"/>
      <c r="G538" s="52">
        <f t="shared" si="110"/>
        <v>0</v>
      </c>
      <c r="H538" s="11"/>
      <c r="I538" s="11"/>
      <c r="J538" s="11"/>
      <c r="K538" s="57"/>
      <c r="L538" s="52">
        <f t="shared" si="139"/>
        <v>0</v>
      </c>
      <c r="M538" s="52">
        <f t="shared" si="140"/>
        <v>0</v>
      </c>
      <c r="N538" s="52">
        <f t="shared" si="141"/>
        <v>0</v>
      </c>
      <c r="O538" s="52">
        <f t="shared" si="142"/>
        <v>0</v>
      </c>
    </row>
    <row r="539" spans="1:15" ht="15.9" customHeight="1">
      <c r="A539" s="48"/>
      <c r="B539" s="49"/>
      <c r="C539" s="52"/>
      <c r="D539" s="52"/>
      <c r="E539" s="52"/>
      <c r="F539" s="11"/>
      <c r="G539" s="52">
        <f t="shared" si="110"/>
        <v>0</v>
      </c>
      <c r="H539" s="11"/>
      <c r="I539" s="11"/>
      <c r="J539" s="11"/>
      <c r="K539" s="57"/>
      <c r="L539" s="52">
        <f t="shared" si="139"/>
        <v>0</v>
      </c>
      <c r="M539" s="52">
        <f t="shared" si="140"/>
        <v>0</v>
      </c>
      <c r="N539" s="52">
        <f t="shared" si="141"/>
        <v>0</v>
      </c>
      <c r="O539" s="52">
        <f t="shared" si="142"/>
        <v>0</v>
      </c>
    </row>
    <row r="540" spans="1:15" ht="15.9" customHeight="1">
      <c r="A540" s="48"/>
      <c r="B540" s="49"/>
      <c r="C540" s="52"/>
      <c r="D540" s="52"/>
      <c r="E540" s="52"/>
      <c r="F540" s="11"/>
      <c r="G540" s="52">
        <f t="shared" si="110"/>
        <v>0</v>
      </c>
      <c r="H540" s="11"/>
      <c r="I540" s="11"/>
      <c r="J540" s="11"/>
      <c r="K540" s="57"/>
      <c r="L540" s="52">
        <f t="shared" si="139"/>
        <v>0</v>
      </c>
      <c r="M540" s="52">
        <f t="shared" si="140"/>
        <v>0</v>
      </c>
      <c r="N540" s="52">
        <f t="shared" si="141"/>
        <v>0</v>
      </c>
      <c r="O540" s="52">
        <f t="shared" si="142"/>
        <v>0</v>
      </c>
    </row>
    <row r="541" spans="1:15" ht="15.9" customHeight="1">
      <c r="A541" s="48"/>
      <c r="B541" s="49"/>
      <c r="C541" s="52"/>
      <c r="D541" s="52"/>
      <c r="E541" s="52"/>
      <c r="F541" s="11"/>
      <c r="G541" s="52">
        <f t="shared" si="110"/>
        <v>0</v>
      </c>
      <c r="H541" s="11"/>
      <c r="I541" s="11"/>
      <c r="J541" s="11"/>
      <c r="K541" s="57"/>
      <c r="L541" s="52">
        <f t="shared" si="139"/>
        <v>0</v>
      </c>
      <c r="M541" s="52">
        <f t="shared" si="140"/>
        <v>0</v>
      </c>
      <c r="N541" s="52">
        <f t="shared" si="141"/>
        <v>0</v>
      </c>
      <c r="O541" s="52">
        <f t="shared" si="142"/>
        <v>0</v>
      </c>
    </row>
    <row r="542" spans="1:15" ht="15.9" customHeight="1">
      <c r="A542" s="48"/>
      <c r="B542" s="49"/>
      <c r="C542" s="52"/>
      <c r="D542" s="52"/>
      <c r="E542" s="52"/>
      <c r="F542" s="11"/>
      <c r="G542" s="52">
        <f t="shared" si="110"/>
        <v>0</v>
      </c>
      <c r="H542" s="11"/>
      <c r="I542" s="11"/>
      <c r="J542" s="11"/>
      <c r="K542" s="57"/>
      <c r="L542" s="52">
        <f t="shared" si="139"/>
        <v>0</v>
      </c>
      <c r="M542" s="52">
        <f t="shared" si="140"/>
        <v>0</v>
      </c>
      <c r="N542" s="52">
        <f t="shared" si="141"/>
        <v>0</v>
      </c>
      <c r="O542" s="52">
        <f t="shared" si="142"/>
        <v>0</v>
      </c>
    </row>
    <row r="543" spans="1:15" ht="15.9" customHeight="1">
      <c r="A543" s="48"/>
      <c r="B543" s="49"/>
      <c r="C543" s="52"/>
      <c r="D543" s="52"/>
      <c r="E543" s="52"/>
      <c r="F543" s="11"/>
      <c r="G543" s="52">
        <f t="shared" si="110"/>
        <v>0</v>
      </c>
      <c r="H543" s="11"/>
      <c r="I543" s="11"/>
      <c r="J543" s="11"/>
      <c r="K543" s="57"/>
      <c r="L543" s="52">
        <f t="shared" si="139"/>
        <v>0</v>
      </c>
      <c r="M543" s="52">
        <f t="shared" si="140"/>
        <v>0</v>
      </c>
      <c r="N543" s="52">
        <f t="shared" si="141"/>
        <v>0</v>
      </c>
      <c r="O543" s="52">
        <f t="shared" si="142"/>
        <v>0</v>
      </c>
    </row>
    <row r="544" spans="1:15" ht="15.9" customHeight="1">
      <c r="A544" s="48"/>
      <c r="B544" s="49"/>
      <c r="C544" s="52"/>
      <c r="D544" s="52"/>
      <c r="E544" s="52"/>
      <c r="F544" s="11"/>
      <c r="G544" s="52">
        <f t="shared" si="110"/>
        <v>0</v>
      </c>
      <c r="H544" s="11"/>
      <c r="I544" s="11"/>
      <c r="J544" s="11"/>
      <c r="K544" s="57"/>
      <c r="L544" s="52">
        <f t="shared" si="139"/>
        <v>0</v>
      </c>
      <c r="M544" s="52">
        <f t="shared" si="140"/>
        <v>0</v>
      </c>
      <c r="N544" s="52">
        <f t="shared" si="141"/>
        <v>0</v>
      </c>
      <c r="O544" s="52">
        <f t="shared" si="142"/>
        <v>0</v>
      </c>
    </row>
    <row r="545" spans="1:15" ht="15.9" customHeight="1">
      <c r="A545" s="48"/>
      <c r="B545" s="49"/>
      <c r="C545" s="52"/>
      <c r="D545" s="52"/>
      <c r="E545" s="52"/>
      <c r="F545" s="11"/>
      <c r="G545" s="52">
        <f t="shared" si="110"/>
        <v>0</v>
      </c>
      <c r="H545" s="11"/>
      <c r="I545" s="11"/>
      <c r="J545" s="11"/>
      <c r="K545" s="57"/>
      <c r="L545" s="52">
        <f t="shared" si="139"/>
        <v>0</v>
      </c>
      <c r="M545" s="52">
        <f t="shared" si="140"/>
        <v>0</v>
      </c>
      <c r="N545" s="52">
        <f t="shared" si="141"/>
        <v>0</v>
      </c>
      <c r="O545" s="52">
        <f t="shared" si="142"/>
        <v>0</v>
      </c>
    </row>
    <row r="546" spans="1:15" ht="15.9" customHeight="1">
      <c r="A546" s="48"/>
      <c r="B546" s="49"/>
      <c r="C546" s="52"/>
      <c r="D546" s="52"/>
      <c r="E546" s="52"/>
      <c r="F546" s="11"/>
      <c r="G546" s="52">
        <f t="shared" si="110"/>
        <v>0</v>
      </c>
      <c r="H546" s="11"/>
      <c r="I546" s="11"/>
      <c r="J546" s="11"/>
      <c r="K546" s="57"/>
      <c r="L546" s="52">
        <f t="shared" si="139"/>
        <v>0</v>
      </c>
      <c r="M546" s="52">
        <f t="shared" si="140"/>
        <v>0</v>
      </c>
      <c r="N546" s="52">
        <f t="shared" si="141"/>
        <v>0</v>
      </c>
      <c r="O546" s="52">
        <f t="shared" si="142"/>
        <v>0</v>
      </c>
    </row>
    <row r="547" spans="1:15" ht="15.9" customHeight="1">
      <c r="A547" s="48"/>
      <c r="B547" s="49"/>
      <c r="C547" s="52"/>
      <c r="D547" s="52"/>
      <c r="E547" s="52"/>
      <c r="F547" s="11"/>
      <c r="G547" s="52">
        <f t="shared" si="110"/>
        <v>0</v>
      </c>
      <c r="H547" s="11"/>
      <c r="I547" s="11"/>
      <c r="J547" s="11"/>
      <c r="K547" s="57"/>
      <c r="L547" s="52">
        <f t="shared" si="139"/>
        <v>0</v>
      </c>
      <c r="M547" s="52">
        <f t="shared" si="140"/>
        <v>0</v>
      </c>
      <c r="N547" s="52">
        <f t="shared" si="141"/>
        <v>0</v>
      </c>
      <c r="O547" s="52">
        <f t="shared" si="142"/>
        <v>0</v>
      </c>
    </row>
    <row r="548" spans="1:15" ht="15.9" customHeight="1">
      <c r="A548" s="48"/>
      <c r="B548" s="49"/>
      <c r="C548" s="52"/>
      <c r="D548" s="52"/>
      <c r="E548" s="52"/>
      <c r="F548" s="11"/>
      <c r="G548" s="52">
        <f t="shared" si="110"/>
        <v>0</v>
      </c>
      <c r="H548" s="11"/>
      <c r="I548" s="11"/>
      <c r="J548" s="11"/>
      <c r="K548" s="57"/>
      <c r="L548" s="52">
        <f t="shared" si="139"/>
        <v>0</v>
      </c>
      <c r="M548" s="52">
        <f t="shared" si="140"/>
        <v>0</v>
      </c>
      <c r="N548" s="52">
        <f t="shared" si="141"/>
        <v>0</v>
      </c>
      <c r="O548" s="52">
        <f t="shared" si="142"/>
        <v>0</v>
      </c>
    </row>
    <row r="549" spans="1:15" ht="15.9" customHeight="1">
      <c r="A549" s="48"/>
      <c r="B549" s="49"/>
      <c r="C549" s="52"/>
      <c r="D549" s="52"/>
      <c r="E549" s="52"/>
      <c r="F549" s="11"/>
      <c r="G549" s="52">
        <f t="shared" si="110"/>
        <v>0</v>
      </c>
      <c r="H549" s="11"/>
      <c r="I549" s="11"/>
      <c r="J549" s="11"/>
      <c r="K549" s="57"/>
      <c r="L549" s="52">
        <f t="shared" si="139"/>
        <v>0</v>
      </c>
      <c r="M549" s="52">
        <f t="shared" si="140"/>
        <v>0</v>
      </c>
      <c r="N549" s="52">
        <f t="shared" si="141"/>
        <v>0</v>
      </c>
      <c r="O549" s="52">
        <f t="shared" si="142"/>
        <v>0</v>
      </c>
    </row>
    <row r="550" spans="1:15" ht="15.9" customHeight="1">
      <c r="A550" s="48"/>
      <c r="B550" s="49"/>
      <c r="C550" s="52"/>
      <c r="D550" s="52"/>
      <c r="E550" s="52"/>
      <c r="F550" s="11"/>
      <c r="G550" s="52">
        <f t="shared" si="110"/>
        <v>0</v>
      </c>
      <c r="H550" s="11"/>
      <c r="I550" s="11"/>
      <c r="J550" s="11"/>
      <c r="K550" s="57"/>
      <c r="L550" s="52">
        <f t="shared" si="139"/>
        <v>0</v>
      </c>
      <c r="M550" s="52">
        <f t="shared" si="140"/>
        <v>0</v>
      </c>
      <c r="N550" s="52">
        <f t="shared" si="141"/>
        <v>0</v>
      </c>
      <c r="O550" s="52">
        <f t="shared" si="142"/>
        <v>0</v>
      </c>
    </row>
    <row r="551" spans="1:15" ht="15.9" customHeight="1">
      <c r="A551" s="48"/>
      <c r="B551" s="49"/>
      <c r="C551" s="52"/>
      <c r="D551" s="52"/>
      <c r="E551" s="52"/>
      <c r="F551" s="11"/>
      <c r="G551" s="52">
        <f t="shared" si="110"/>
        <v>0</v>
      </c>
      <c r="H551" s="11"/>
      <c r="I551" s="11"/>
      <c r="J551" s="11"/>
      <c r="K551" s="57"/>
      <c r="L551" s="52">
        <f t="shared" si="139"/>
        <v>0</v>
      </c>
      <c r="M551" s="52">
        <f t="shared" si="140"/>
        <v>0</v>
      </c>
      <c r="N551" s="52">
        <f t="shared" si="141"/>
        <v>0</v>
      </c>
      <c r="O551" s="52">
        <f t="shared" si="142"/>
        <v>0</v>
      </c>
    </row>
    <row r="552" spans="1:15" ht="15.9" customHeight="1">
      <c r="A552" s="48"/>
      <c r="B552" s="49"/>
      <c r="C552" s="52"/>
      <c r="D552" s="52"/>
      <c r="E552" s="52"/>
      <c r="F552" s="11"/>
      <c r="G552" s="52">
        <f t="shared" si="110"/>
        <v>0</v>
      </c>
      <c r="H552" s="11"/>
      <c r="I552" s="11"/>
      <c r="J552" s="11"/>
      <c r="K552" s="57"/>
      <c r="L552" s="52">
        <f t="shared" si="139"/>
        <v>0</v>
      </c>
      <c r="M552" s="52">
        <f t="shared" si="140"/>
        <v>0</v>
      </c>
      <c r="N552" s="52">
        <f t="shared" si="141"/>
        <v>0</v>
      </c>
      <c r="O552" s="52">
        <f t="shared" si="142"/>
        <v>0</v>
      </c>
    </row>
    <row r="553" spans="1:15" ht="15.9" customHeight="1">
      <c r="A553" s="48"/>
      <c r="B553" s="49"/>
      <c r="C553" s="52"/>
      <c r="D553" s="52"/>
      <c r="E553" s="52"/>
      <c r="F553" s="11"/>
      <c r="G553" s="52">
        <f t="shared" si="110"/>
        <v>0</v>
      </c>
      <c r="H553" s="11"/>
      <c r="I553" s="11"/>
      <c r="J553" s="11"/>
      <c r="K553" s="57"/>
      <c r="L553" s="52">
        <f t="shared" si="139"/>
        <v>0</v>
      </c>
      <c r="M553" s="52">
        <f t="shared" si="140"/>
        <v>0</v>
      </c>
      <c r="N553" s="52">
        <f t="shared" si="141"/>
        <v>0</v>
      </c>
      <c r="O553" s="52">
        <f t="shared" si="142"/>
        <v>0</v>
      </c>
    </row>
    <row r="554" spans="1:15" ht="15.9" customHeight="1">
      <c r="A554" s="48"/>
      <c r="B554" s="49"/>
      <c r="C554" s="52"/>
      <c r="D554" s="52"/>
      <c r="E554" s="52"/>
      <c r="F554" s="11"/>
      <c r="G554" s="52">
        <f t="shared" si="110"/>
        <v>0</v>
      </c>
      <c r="H554" s="11"/>
      <c r="I554" s="11"/>
      <c r="J554" s="11"/>
      <c r="K554" s="57"/>
      <c r="L554" s="52">
        <f t="shared" si="139"/>
        <v>0</v>
      </c>
      <c r="M554" s="52">
        <f t="shared" si="140"/>
        <v>0</v>
      </c>
      <c r="N554" s="52">
        <f t="shared" si="141"/>
        <v>0</v>
      </c>
      <c r="O554" s="52">
        <f t="shared" si="142"/>
        <v>0</v>
      </c>
    </row>
    <row r="555" spans="1:15" ht="15.9" customHeight="1">
      <c r="A555" s="48"/>
      <c r="B555" s="49"/>
      <c r="C555" s="52"/>
      <c r="D555" s="52"/>
      <c r="E555" s="52"/>
      <c r="F555" s="11"/>
      <c r="G555" s="52">
        <f t="shared" si="110"/>
        <v>0</v>
      </c>
      <c r="H555" s="11"/>
      <c r="I555" s="11"/>
      <c r="J555" s="11"/>
      <c r="K555" s="57"/>
      <c r="L555" s="52">
        <f t="shared" si="139"/>
        <v>0</v>
      </c>
      <c r="M555" s="52">
        <f t="shared" si="140"/>
        <v>0</v>
      </c>
      <c r="N555" s="52">
        <f t="shared" si="141"/>
        <v>0</v>
      </c>
      <c r="O555" s="52">
        <f t="shared" si="142"/>
        <v>0</v>
      </c>
    </row>
    <row r="556" spans="1:15" ht="15.9" customHeight="1">
      <c r="A556" s="48"/>
      <c r="B556" s="49"/>
      <c r="C556" s="52"/>
      <c r="D556" s="52"/>
      <c r="E556" s="52"/>
      <c r="F556" s="11"/>
      <c r="G556" s="52">
        <f t="shared" si="110"/>
        <v>0</v>
      </c>
      <c r="H556" s="11"/>
      <c r="I556" s="11"/>
      <c r="J556" s="11"/>
      <c r="K556" s="57"/>
      <c r="L556" s="52">
        <f t="shared" si="139"/>
        <v>0</v>
      </c>
      <c r="M556" s="52">
        <f t="shared" si="140"/>
        <v>0</v>
      </c>
      <c r="N556" s="52">
        <f t="shared" si="141"/>
        <v>0</v>
      </c>
      <c r="O556" s="52">
        <f t="shared" si="142"/>
        <v>0</v>
      </c>
    </row>
    <row r="557" spans="1:15" ht="15.9" customHeight="1">
      <c r="A557" s="48"/>
      <c r="B557" s="49"/>
      <c r="C557" s="52"/>
      <c r="D557" s="52"/>
      <c r="E557" s="52"/>
      <c r="F557" s="11"/>
      <c r="G557" s="52">
        <f t="shared" si="110"/>
        <v>0</v>
      </c>
      <c r="H557" s="11"/>
      <c r="I557" s="11"/>
      <c r="J557" s="11"/>
      <c r="K557" s="57"/>
      <c r="L557" s="52">
        <f t="shared" si="139"/>
        <v>0</v>
      </c>
      <c r="M557" s="52">
        <f t="shared" si="140"/>
        <v>0</v>
      </c>
      <c r="N557" s="52">
        <f t="shared" si="141"/>
        <v>0</v>
      </c>
      <c r="O557" s="52">
        <f t="shared" si="142"/>
        <v>0</v>
      </c>
    </row>
    <row r="558" spans="1:15" ht="15.9" customHeight="1">
      <c r="A558" s="48"/>
      <c r="B558" s="49"/>
      <c r="C558" s="52"/>
      <c r="D558" s="52"/>
      <c r="E558" s="52"/>
      <c r="F558" s="11"/>
      <c r="G558" s="52">
        <f t="shared" si="110"/>
        <v>0</v>
      </c>
      <c r="H558" s="11"/>
      <c r="I558" s="11"/>
      <c r="J558" s="11"/>
      <c r="K558" s="57"/>
      <c r="L558" s="52">
        <f t="shared" si="139"/>
        <v>0</v>
      </c>
      <c r="M558" s="52">
        <f t="shared" si="140"/>
        <v>0</v>
      </c>
      <c r="N558" s="52">
        <f t="shared" si="141"/>
        <v>0</v>
      </c>
      <c r="O558" s="52">
        <f t="shared" si="142"/>
        <v>0</v>
      </c>
    </row>
    <row r="559" spans="1:15" ht="15.9" customHeight="1">
      <c r="A559" s="48"/>
      <c r="B559" s="49"/>
      <c r="C559" s="52"/>
      <c r="D559" s="52"/>
      <c r="E559" s="52"/>
      <c r="F559" s="11"/>
      <c r="G559" s="52">
        <f t="shared" si="110"/>
        <v>0</v>
      </c>
      <c r="H559" s="11"/>
      <c r="I559" s="11"/>
      <c r="J559" s="11"/>
      <c r="K559" s="57"/>
      <c r="L559" s="52">
        <f t="shared" si="139"/>
        <v>0</v>
      </c>
      <c r="M559" s="52">
        <f t="shared" si="140"/>
        <v>0</v>
      </c>
      <c r="N559" s="52">
        <f t="shared" si="141"/>
        <v>0</v>
      </c>
      <c r="O559" s="52">
        <f t="shared" si="142"/>
        <v>0</v>
      </c>
    </row>
    <row r="560" spans="1:15" ht="15.9" customHeight="1">
      <c r="A560" s="48"/>
      <c r="B560" s="49"/>
      <c r="C560" s="52"/>
      <c r="D560" s="52"/>
      <c r="E560" s="52"/>
      <c r="F560" s="11"/>
      <c r="G560" s="52">
        <f t="shared" si="110"/>
        <v>0</v>
      </c>
      <c r="H560" s="11"/>
      <c r="I560" s="11"/>
      <c r="J560" s="11"/>
      <c r="K560" s="57"/>
      <c r="L560" s="52">
        <f t="shared" si="139"/>
        <v>0</v>
      </c>
      <c r="M560" s="52">
        <f t="shared" si="140"/>
        <v>0</v>
      </c>
      <c r="N560" s="52">
        <f t="shared" si="141"/>
        <v>0</v>
      </c>
      <c r="O560" s="52">
        <f t="shared" si="142"/>
        <v>0</v>
      </c>
    </row>
    <row r="561" spans="1:15" ht="15.9" customHeight="1">
      <c r="A561" s="48"/>
      <c r="B561" s="49"/>
      <c r="C561" s="52"/>
      <c r="D561" s="52"/>
      <c r="E561" s="52"/>
      <c r="F561" s="11"/>
      <c r="G561" s="52">
        <f t="shared" si="110"/>
        <v>0</v>
      </c>
      <c r="H561" s="11"/>
      <c r="I561" s="11"/>
      <c r="J561" s="11"/>
      <c r="K561" s="57"/>
      <c r="L561" s="52">
        <f t="shared" si="139"/>
        <v>0</v>
      </c>
      <c r="M561" s="52">
        <f t="shared" si="140"/>
        <v>0</v>
      </c>
      <c r="N561" s="52">
        <f t="shared" si="141"/>
        <v>0</v>
      </c>
      <c r="O561" s="52">
        <f t="shared" si="142"/>
        <v>0</v>
      </c>
    </row>
    <row r="562" spans="1:15" ht="15.9" customHeight="1">
      <c r="A562" s="48"/>
      <c r="B562" s="49"/>
      <c r="C562" s="52"/>
      <c r="D562" s="52"/>
      <c r="E562" s="52"/>
      <c r="F562" s="11"/>
      <c r="G562" s="52">
        <f t="shared" si="110"/>
        <v>0</v>
      </c>
      <c r="H562" s="11"/>
      <c r="I562" s="11"/>
      <c r="J562" s="11"/>
      <c r="K562" s="57"/>
      <c r="L562" s="52">
        <f t="shared" si="139"/>
        <v>0</v>
      </c>
      <c r="M562" s="52">
        <f t="shared" si="140"/>
        <v>0</v>
      </c>
      <c r="N562" s="52">
        <f t="shared" si="141"/>
        <v>0</v>
      </c>
      <c r="O562" s="52">
        <f t="shared" si="142"/>
        <v>0</v>
      </c>
    </row>
    <row r="563" spans="1:15" ht="15.9" customHeight="1">
      <c r="A563" s="48"/>
      <c r="B563" s="49"/>
      <c r="C563" s="52"/>
      <c r="D563" s="52"/>
      <c r="E563" s="52"/>
      <c r="F563" s="11"/>
      <c r="G563" s="52">
        <f t="shared" si="110"/>
        <v>0</v>
      </c>
      <c r="H563" s="11"/>
      <c r="I563" s="11"/>
      <c r="J563" s="11"/>
      <c r="K563" s="57"/>
      <c r="L563" s="52">
        <f t="shared" si="139"/>
        <v>0</v>
      </c>
      <c r="M563" s="52">
        <f t="shared" si="140"/>
        <v>0</v>
      </c>
      <c r="N563" s="52">
        <f t="shared" si="141"/>
        <v>0</v>
      </c>
      <c r="O563" s="52">
        <f t="shared" si="142"/>
        <v>0</v>
      </c>
    </row>
    <row r="564" spans="1:15" ht="15.9" customHeight="1">
      <c r="A564" s="48"/>
      <c r="B564" s="49"/>
      <c r="C564" s="52"/>
      <c r="D564" s="52"/>
      <c r="E564" s="52"/>
      <c r="F564" s="11"/>
      <c r="G564" s="52">
        <f t="shared" si="110"/>
        <v>0</v>
      </c>
      <c r="H564" s="11"/>
      <c r="I564" s="11"/>
      <c r="J564" s="11"/>
      <c r="K564" s="57"/>
      <c r="L564" s="52">
        <f t="shared" si="139"/>
        <v>0</v>
      </c>
      <c r="M564" s="52">
        <f t="shared" si="140"/>
        <v>0</v>
      </c>
      <c r="N564" s="52">
        <f t="shared" si="141"/>
        <v>0</v>
      </c>
      <c r="O564" s="52">
        <f t="shared" si="142"/>
        <v>0</v>
      </c>
    </row>
    <row r="565" spans="1:15" ht="15.9" customHeight="1">
      <c r="A565" s="48"/>
      <c r="B565" s="49"/>
      <c r="C565" s="52"/>
      <c r="D565" s="52"/>
      <c r="E565" s="52"/>
      <c r="F565" s="11"/>
      <c r="G565" s="52">
        <f t="shared" si="110"/>
        <v>0</v>
      </c>
      <c r="H565" s="11"/>
      <c r="I565" s="11"/>
      <c r="J565" s="11"/>
      <c r="K565" s="57"/>
      <c r="L565" s="52">
        <f t="shared" si="139"/>
        <v>0</v>
      </c>
      <c r="M565" s="52">
        <f t="shared" si="140"/>
        <v>0</v>
      </c>
      <c r="N565" s="52">
        <f t="shared" si="141"/>
        <v>0</v>
      </c>
      <c r="O565" s="52">
        <f t="shared" si="142"/>
        <v>0</v>
      </c>
    </row>
    <row r="566" spans="1:15" ht="15.9" customHeight="1">
      <c r="A566" s="48"/>
      <c r="B566" s="49"/>
      <c r="C566" s="52"/>
      <c r="D566" s="52"/>
      <c r="E566" s="52"/>
      <c r="F566" s="11"/>
      <c r="G566" s="52">
        <f t="shared" si="110"/>
        <v>0</v>
      </c>
      <c r="H566" s="11"/>
      <c r="I566" s="11"/>
      <c r="J566" s="11"/>
      <c r="K566" s="57"/>
      <c r="L566" s="52">
        <f t="shared" si="139"/>
        <v>0</v>
      </c>
      <c r="M566" s="52">
        <f t="shared" si="140"/>
        <v>0</v>
      </c>
      <c r="N566" s="52">
        <f t="shared" si="141"/>
        <v>0</v>
      </c>
      <c r="O566" s="52">
        <f t="shared" si="142"/>
        <v>0</v>
      </c>
    </row>
    <row r="567" spans="1:15" ht="15.9" customHeight="1">
      <c r="A567" s="48"/>
      <c r="B567" s="49"/>
      <c r="C567" s="52"/>
      <c r="D567" s="52"/>
      <c r="E567" s="52"/>
      <c r="F567" s="11"/>
      <c r="G567" s="52">
        <f t="shared" si="110"/>
        <v>0</v>
      </c>
      <c r="H567" s="11"/>
      <c r="I567" s="11"/>
      <c r="J567" s="11"/>
      <c r="K567" s="57"/>
      <c r="L567" s="52">
        <f t="shared" si="139"/>
        <v>0</v>
      </c>
      <c r="M567" s="52">
        <f t="shared" si="140"/>
        <v>0</v>
      </c>
      <c r="N567" s="52">
        <f t="shared" si="141"/>
        <v>0</v>
      </c>
      <c r="O567" s="52">
        <f t="shared" si="142"/>
        <v>0</v>
      </c>
    </row>
    <row r="568" spans="1:15" ht="15.9" customHeight="1">
      <c r="A568" s="48"/>
      <c r="B568" s="49"/>
      <c r="C568" s="52"/>
      <c r="D568" s="52"/>
      <c r="E568" s="52"/>
      <c r="F568" s="11"/>
      <c r="G568" s="52">
        <f t="shared" si="110"/>
        <v>0</v>
      </c>
      <c r="H568" s="11"/>
      <c r="I568" s="11"/>
      <c r="J568" s="11"/>
      <c r="K568" s="57"/>
      <c r="L568" s="52">
        <f t="shared" si="139"/>
        <v>0</v>
      </c>
      <c r="M568" s="52">
        <f t="shared" si="140"/>
        <v>0</v>
      </c>
      <c r="N568" s="52">
        <f t="shared" si="141"/>
        <v>0</v>
      </c>
      <c r="O568" s="52">
        <f t="shared" si="142"/>
        <v>0</v>
      </c>
    </row>
    <row r="569" spans="1:15" ht="15.9" customHeight="1">
      <c r="A569" s="48"/>
      <c r="B569" s="49"/>
      <c r="C569" s="52"/>
      <c r="D569" s="52"/>
      <c r="E569" s="52"/>
      <c r="F569" s="11"/>
      <c r="G569" s="52">
        <f t="shared" si="110"/>
        <v>0</v>
      </c>
      <c r="H569" s="11"/>
      <c r="I569" s="11"/>
      <c r="J569" s="11"/>
      <c r="K569" s="57"/>
      <c r="L569" s="52">
        <f t="shared" si="139"/>
        <v>0</v>
      </c>
      <c r="M569" s="52">
        <f t="shared" si="140"/>
        <v>0</v>
      </c>
      <c r="N569" s="52">
        <f t="shared" si="141"/>
        <v>0</v>
      </c>
      <c r="O569" s="52">
        <f t="shared" si="142"/>
        <v>0</v>
      </c>
    </row>
    <row r="570" spans="1:15" ht="15.9" customHeight="1">
      <c r="A570" s="48"/>
      <c r="B570" s="49"/>
      <c r="C570" s="52"/>
      <c r="D570" s="52"/>
      <c r="E570" s="52"/>
      <c r="F570" s="11"/>
      <c r="G570" s="52">
        <f t="shared" si="110"/>
        <v>0</v>
      </c>
      <c r="H570" s="11"/>
      <c r="I570" s="11"/>
      <c r="J570" s="11"/>
      <c r="K570" s="57"/>
      <c r="L570" s="52">
        <f t="shared" si="139"/>
        <v>0</v>
      </c>
      <c r="M570" s="52">
        <f t="shared" si="140"/>
        <v>0</v>
      </c>
      <c r="N570" s="52">
        <f t="shared" si="141"/>
        <v>0</v>
      </c>
      <c r="O570" s="52">
        <f t="shared" si="142"/>
        <v>0</v>
      </c>
    </row>
    <row r="571" spans="1:15" ht="15.9" customHeight="1">
      <c r="A571" s="48"/>
      <c r="B571" s="49"/>
      <c r="C571" s="52"/>
      <c r="D571" s="52"/>
      <c r="E571" s="52"/>
      <c r="F571" s="11"/>
      <c r="G571" s="52">
        <f t="shared" si="110"/>
        <v>0</v>
      </c>
      <c r="H571" s="11"/>
      <c r="I571" s="11"/>
      <c r="J571" s="11"/>
      <c r="K571" s="57"/>
      <c r="L571" s="52">
        <f t="shared" si="139"/>
        <v>0</v>
      </c>
      <c r="M571" s="52">
        <f t="shared" si="140"/>
        <v>0</v>
      </c>
      <c r="N571" s="52">
        <f t="shared" si="141"/>
        <v>0</v>
      </c>
      <c r="O571" s="52">
        <f t="shared" si="142"/>
        <v>0</v>
      </c>
    </row>
    <row r="572" spans="1:15" ht="15.9" customHeight="1">
      <c r="A572" s="48"/>
      <c r="B572" s="49"/>
      <c r="C572" s="52"/>
      <c r="D572" s="52"/>
      <c r="E572" s="52"/>
      <c r="F572" s="11"/>
      <c r="G572" s="52">
        <f t="shared" si="110"/>
        <v>0</v>
      </c>
      <c r="H572" s="11"/>
      <c r="I572" s="11"/>
      <c r="J572" s="11"/>
      <c r="K572" s="57"/>
      <c r="L572" s="52">
        <f t="shared" si="139"/>
        <v>0</v>
      </c>
      <c r="M572" s="52">
        <f t="shared" si="140"/>
        <v>0</v>
      </c>
      <c r="N572" s="52">
        <f t="shared" si="141"/>
        <v>0</v>
      </c>
      <c r="O572" s="52">
        <f t="shared" si="142"/>
        <v>0</v>
      </c>
    </row>
    <row r="573" spans="1:15" ht="15.9" customHeight="1">
      <c r="A573" s="48"/>
      <c r="B573" s="49"/>
      <c r="C573" s="52"/>
      <c r="D573" s="52"/>
      <c r="E573" s="52"/>
      <c r="F573" s="11"/>
      <c r="G573" s="52">
        <f t="shared" si="110"/>
        <v>0</v>
      </c>
      <c r="H573" s="11"/>
      <c r="I573" s="11"/>
      <c r="J573" s="11"/>
      <c r="K573" s="57"/>
      <c r="L573" s="52">
        <f t="shared" si="139"/>
        <v>0</v>
      </c>
      <c r="M573" s="52">
        <f t="shared" si="140"/>
        <v>0</v>
      </c>
      <c r="N573" s="52">
        <f t="shared" si="141"/>
        <v>0</v>
      </c>
      <c r="O573" s="52">
        <f t="shared" si="142"/>
        <v>0</v>
      </c>
    </row>
    <row r="574" spans="1:15" ht="15.9" customHeight="1">
      <c r="A574" s="48"/>
      <c r="B574" s="49"/>
      <c r="C574" s="52"/>
      <c r="D574" s="52"/>
      <c r="E574" s="52"/>
      <c r="F574" s="11"/>
      <c r="G574" s="52">
        <f t="shared" si="110"/>
        <v>0</v>
      </c>
      <c r="H574" s="11"/>
      <c r="I574" s="11"/>
      <c r="J574" s="11"/>
      <c r="K574" s="57"/>
      <c r="L574" s="52">
        <f t="shared" si="139"/>
        <v>0</v>
      </c>
      <c r="M574" s="52">
        <f t="shared" si="140"/>
        <v>0</v>
      </c>
      <c r="N574" s="52">
        <f t="shared" si="141"/>
        <v>0</v>
      </c>
      <c r="O574" s="52">
        <f t="shared" si="142"/>
        <v>0</v>
      </c>
    </row>
    <row r="575" spans="1:15" ht="15.9" customHeight="1">
      <c r="A575" s="48"/>
      <c r="B575" s="49"/>
      <c r="C575" s="52"/>
      <c r="D575" s="52"/>
      <c r="E575" s="52"/>
      <c r="F575" s="11"/>
      <c r="G575" s="52">
        <f t="shared" si="110"/>
        <v>0</v>
      </c>
      <c r="H575" s="11"/>
      <c r="I575" s="11"/>
      <c r="J575" s="11"/>
      <c r="K575" s="57"/>
      <c r="L575" s="52">
        <f t="shared" si="139"/>
        <v>0</v>
      </c>
      <c r="M575" s="52">
        <f t="shared" si="140"/>
        <v>0</v>
      </c>
      <c r="N575" s="52">
        <f t="shared" si="141"/>
        <v>0</v>
      </c>
      <c r="O575" s="52">
        <f t="shared" si="142"/>
        <v>0</v>
      </c>
    </row>
    <row r="576" spans="1:15" ht="15.9" customHeight="1">
      <c r="A576" s="48"/>
      <c r="B576" s="49"/>
      <c r="C576" s="52"/>
      <c r="D576" s="52"/>
      <c r="E576" s="52"/>
      <c r="F576" s="11"/>
      <c r="G576" s="52">
        <f t="shared" si="110"/>
        <v>0</v>
      </c>
      <c r="H576" s="11"/>
      <c r="I576" s="11"/>
      <c r="J576" s="11"/>
      <c r="K576" s="57"/>
      <c r="L576" s="52">
        <f t="shared" si="139"/>
        <v>0</v>
      </c>
      <c r="M576" s="52">
        <f t="shared" si="140"/>
        <v>0</v>
      </c>
      <c r="N576" s="52">
        <f t="shared" si="141"/>
        <v>0</v>
      </c>
      <c r="O576" s="52">
        <f t="shared" si="142"/>
        <v>0</v>
      </c>
    </row>
    <row r="577" spans="1:15" ht="15.9" customHeight="1">
      <c r="A577" s="48"/>
      <c r="B577" s="49"/>
      <c r="C577" s="52"/>
      <c r="D577" s="52"/>
      <c r="E577" s="52"/>
      <c r="F577" s="11"/>
      <c r="G577" s="52">
        <f t="shared" si="110"/>
        <v>0</v>
      </c>
      <c r="H577" s="11"/>
      <c r="I577" s="11"/>
      <c r="J577" s="11"/>
      <c r="K577" s="57"/>
      <c r="L577" s="52">
        <f t="shared" si="139"/>
        <v>0</v>
      </c>
      <c r="M577" s="52">
        <f t="shared" si="140"/>
        <v>0</v>
      </c>
      <c r="N577" s="52">
        <f t="shared" si="141"/>
        <v>0</v>
      </c>
      <c r="O577" s="52">
        <f t="shared" si="142"/>
        <v>0</v>
      </c>
    </row>
    <row r="578" spans="1:15" ht="15.9" customHeight="1">
      <c r="A578" s="48"/>
      <c r="B578" s="49"/>
      <c r="C578" s="52"/>
      <c r="D578" s="52"/>
      <c r="E578" s="52"/>
      <c r="F578" s="11"/>
      <c r="G578" s="52">
        <f t="shared" si="110"/>
        <v>0</v>
      </c>
      <c r="H578" s="11"/>
      <c r="I578" s="11"/>
      <c r="J578" s="11"/>
      <c r="K578" s="57"/>
      <c r="L578" s="52">
        <f t="shared" si="139"/>
        <v>0</v>
      </c>
      <c r="M578" s="52">
        <f t="shared" si="140"/>
        <v>0</v>
      </c>
      <c r="N578" s="52">
        <f t="shared" si="141"/>
        <v>0</v>
      </c>
      <c r="O578" s="52">
        <f t="shared" si="142"/>
        <v>0</v>
      </c>
    </row>
    <row r="579" spans="1:15" ht="15.9" customHeight="1">
      <c r="A579" s="48"/>
      <c r="B579" s="49"/>
      <c r="C579" s="52"/>
      <c r="D579" s="52"/>
      <c r="E579" s="52"/>
      <c r="F579" s="11"/>
      <c r="G579" s="52">
        <f t="shared" si="110"/>
        <v>0</v>
      </c>
      <c r="H579" s="11"/>
      <c r="I579" s="11"/>
      <c r="J579" s="11"/>
      <c r="K579" s="57"/>
      <c r="L579" s="52">
        <f t="shared" si="139"/>
        <v>0</v>
      </c>
      <c r="M579" s="52">
        <f t="shared" si="140"/>
        <v>0</v>
      </c>
      <c r="N579" s="52">
        <f t="shared" si="141"/>
        <v>0</v>
      </c>
      <c r="O579" s="52">
        <f t="shared" si="142"/>
        <v>0</v>
      </c>
    </row>
    <row r="580" spans="1:15" ht="15.9" customHeight="1">
      <c r="A580" s="48"/>
      <c r="B580" s="49"/>
      <c r="C580" s="52"/>
      <c r="D580" s="52"/>
      <c r="E580" s="52"/>
      <c r="F580" s="11"/>
      <c r="G580" s="52">
        <f t="shared" si="110"/>
        <v>0</v>
      </c>
      <c r="H580" s="11"/>
      <c r="I580" s="11"/>
      <c r="J580" s="11"/>
      <c r="K580" s="57"/>
      <c r="L580" s="52">
        <f t="shared" si="139"/>
        <v>0</v>
      </c>
      <c r="M580" s="52">
        <f t="shared" si="140"/>
        <v>0</v>
      </c>
      <c r="N580" s="52">
        <f t="shared" si="141"/>
        <v>0</v>
      </c>
      <c r="O580" s="52">
        <f t="shared" si="142"/>
        <v>0</v>
      </c>
    </row>
    <row r="581" spans="1:15" ht="15.9" customHeight="1">
      <c r="A581" s="48"/>
      <c r="B581" s="49"/>
      <c r="C581" s="52"/>
      <c r="D581" s="52"/>
      <c r="E581" s="52"/>
      <c r="F581" s="11"/>
      <c r="G581" s="52">
        <f t="shared" si="110"/>
        <v>0</v>
      </c>
      <c r="H581" s="11"/>
      <c r="I581" s="11"/>
      <c r="J581" s="11"/>
      <c r="K581" s="57"/>
      <c r="L581" s="52">
        <f t="shared" si="139"/>
        <v>0</v>
      </c>
      <c r="M581" s="52">
        <f t="shared" si="140"/>
        <v>0</v>
      </c>
      <c r="N581" s="52">
        <f t="shared" si="141"/>
        <v>0</v>
      </c>
      <c r="O581" s="52">
        <f t="shared" si="142"/>
        <v>0</v>
      </c>
    </row>
    <row r="582" spans="1:15" ht="15.9" customHeight="1">
      <c r="A582" s="48"/>
      <c r="B582" s="49"/>
      <c r="C582" s="52"/>
      <c r="D582" s="52"/>
      <c r="E582" s="52"/>
      <c r="F582" s="11"/>
      <c r="G582" s="52">
        <f t="shared" si="110"/>
        <v>0</v>
      </c>
      <c r="H582" s="11"/>
      <c r="I582" s="11"/>
      <c r="J582" s="11"/>
      <c r="K582" s="57"/>
      <c r="L582" s="52">
        <f t="shared" si="139"/>
        <v>0</v>
      </c>
      <c r="M582" s="52">
        <f t="shared" si="140"/>
        <v>0</v>
      </c>
      <c r="N582" s="52">
        <f t="shared" si="141"/>
        <v>0</v>
      </c>
      <c r="O582" s="52">
        <f t="shared" si="142"/>
        <v>0</v>
      </c>
    </row>
    <row r="583" spans="1:15" ht="15.9" customHeight="1">
      <c r="A583" s="48"/>
      <c r="B583" s="49"/>
      <c r="C583" s="52"/>
      <c r="D583" s="52"/>
      <c r="E583" s="52"/>
      <c r="F583" s="11"/>
      <c r="G583" s="52">
        <f t="shared" si="110"/>
        <v>0</v>
      </c>
      <c r="H583" s="11"/>
      <c r="I583" s="11"/>
      <c r="J583" s="11"/>
      <c r="K583" s="57"/>
      <c r="L583" s="52">
        <f t="shared" si="139"/>
        <v>0</v>
      </c>
      <c r="M583" s="52">
        <f t="shared" si="140"/>
        <v>0</v>
      </c>
      <c r="N583" s="52">
        <f t="shared" si="141"/>
        <v>0</v>
      </c>
      <c r="O583" s="52">
        <f t="shared" si="142"/>
        <v>0</v>
      </c>
    </row>
    <row r="584" spans="1:15" ht="15.9" customHeight="1">
      <c r="A584" s="48"/>
      <c r="B584" s="49"/>
      <c r="C584" s="52"/>
      <c r="D584" s="52"/>
      <c r="E584" s="52"/>
      <c r="F584" s="52"/>
      <c r="G584" s="52">
        <f t="shared" si="110"/>
        <v>0</v>
      </c>
      <c r="H584" s="11"/>
      <c r="I584" s="11"/>
      <c r="J584" s="11"/>
      <c r="K584" s="57"/>
      <c r="L584" s="52">
        <f t="shared" si="139"/>
        <v>0</v>
      </c>
      <c r="M584" s="52">
        <f t="shared" si="140"/>
        <v>0</v>
      </c>
      <c r="N584" s="52">
        <f t="shared" si="141"/>
        <v>0</v>
      </c>
      <c r="O584" s="52">
        <f t="shared" si="142"/>
        <v>0</v>
      </c>
    </row>
    <row r="585" spans="1:15" ht="15.9" customHeight="1">
      <c r="A585" s="48"/>
      <c r="B585" s="49"/>
      <c r="C585" s="52"/>
      <c r="D585" s="52"/>
      <c r="E585" s="52"/>
      <c r="F585" s="52"/>
      <c r="G585" s="52">
        <f t="shared" si="110"/>
        <v>0</v>
      </c>
      <c r="H585" s="11"/>
      <c r="I585" s="11"/>
      <c r="J585" s="11"/>
      <c r="K585" s="57"/>
      <c r="L585" s="52">
        <f t="shared" si="139"/>
        <v>0</v>
      </c>
      <c r="M585" s="52">
        <f t="shared" si="140"/>
        <v>0</v>
      </c>
      <c r="N585" s="52">
        <f t="shared" si="141"/>
        <v>0</v>
      </c>
      <c r="O585" s="52">
        <f t="shared" si="142"/>
        <v>0</v>
      </c>
    </row>
    <row r="586" spans="1:15" ht="15.9" customHeight="1">
      <c r="A586" s="48"/>
      <c r="B586" s="49"/>
      <c r="C586" s="52"/>
      <c r="D586" s="52"/>
      <c r="E586" s="52"/>
      <c r="F586" s="52"/>
      <c r="G586" s="52">
        <f t="shared" si="110"/>
        <v>0</v>
      </c>
      <c r="H586" s="11"/>
      <c r="I586" s="11"/>
      <c r="J586" s="11"/>
      <c r="K586" s="57"/>
      <c r="L586" s="52">
        <f t="shared" si="139"/>
        <v>0</v>
      </c>
      <c r="M586" s="52">
        <f t="shared" si="140"/>
        <v>0</v>
      </c>
      <c r="N586" s="52">
        <f t="shared" si="141"/>
        <v>0</v>
      </c>
      <c r="O586" s="52">
        <f t="shared" si="142"/>
        <v>0</v>
      </c>
    </row>
    <row r="587" spans="1:15" ht="15.9" customHeight="1">
      <c r="A587" s="48"/>
      <c r="B587" s="49"/>
      <c r="C587" s="52"/>
      <c r="D587" s="52"/>
      <c r="E587" s="52"/>
      <c r="F587" s="52"/>
      <c r="G587" s="52">
        <f t="shared" si="110"/>
        <v>0</v>
      </c>
      <c r="H587" s="11"/>
      <c r="I587" s="11"/>
      <c r="J587" s="11"/>
      <c r="K587" s="57"/>
      <c r="L587" s="52">
        <f t="shared" si="139"/>
        <v>0</v>
      </c>
      <c r="M587" s="52">
        <f t="shared" si="140"/>
        <v>0</v>
      </c>
      <c r="N587" s="52">
        <f t="shared" si="141"/>
        <v>0</v>
      </c>
      <c r="O587" s="52">
        <f t="shared" si="142"/>
        <v>0</v>
      </c>
    </row>
    <row r="588" spans="1:15" ht="15.9" customHeight="1">
      <c r="A588" s="48"/>
      <c r="B588" s="49"/>
      <c r="C588" s="52"/>
      <c r="D588" s="52"/>
      <c r="E588" s="52"/>
      <c r="F588" s="52"/>
      <c r="G588" s="52">
        <f t="shared" si="110"/>
        <v>0</v>
      </c>
      <c r="H588" s="11"/>
      <c r="I588" s="11"/>
      <c r="J588" s="11"/>
      <c r="K588" s="57"/>
      <c r="L588" s="52">
        <f t="shared" si="139"/>
        <v>0</v>
      </c>
      <c r="M588" s="52">
        <f t="shared" si="140"/>
        <v>0</v>
      </c>
      <c r="N588" s="52">
        <f t="shared" si="141"/>
        <v>0</v>
      </c>
      <c r="O588" s="52">
        <f t="shared" si="142"/>
        <v>0</v>
      </c>
    </row>
    <row r="589" spans="1:15" ht="15.9" customHeight="1">
      <c r="A589" s="48"/>
      <c r="B589" s="49"/>
      <c r="C589" s="52"/>
      <c r="D589" s="52"/>
      <c r="E589" s="52"/>
      <c r="F589" s="52"/>
      <c r="G589" s="52">
        <f t="shared" si="110"/>
        <v>0</v>
      </c>
      <c r="H589" s="11"/>
      <c r="I589" s="11"/>
      <c r="J589" s="11"/>
      <c r="K589" s="57"/>
      <c r="L589" s="52">
        <f t="shared" si="139"/>
        <v>0</v>
      </c>
      <c r="M589" s="52">
        <f t="shared" si="140"/>
        <v>0</v>
      </c>
      <c r="N589" s="52">
        <f t="shared" si="141"/>
        <v>0</v>
      </c>
      <c r="O589" s="52">
        <f t="shared" si="142"/>
        <v>0</v>
      </c>
    </row>
    <row r="590" spans="1:15" ht="15.9" customHeight="1">
      <c r="A590" s="48"/>
      <c r="B590" s="49"/>
      <c r="C590" s="52"/>
      <c r="D590" s="52"/>
      <c r="E590" s="52"/>
      <c r="F590" s="52"/>
      <c r="G590" s="52">
        <f t="shared" si="110"/>
        <v>0</v>
      </c>
      <c r="H590" s="11"/>
      <c r="I590" s="11"/>
      <c r="J590" s="11"/>
      <c r="K590" s="57"/>
      <c r="L590" s="52">
        <f t="shared" ref="L590:L704" si="143">G590*H590/100</f>
        <v>0</v>
      </c>
      <c r="M590" s="52">
        <f t="shared" ref="M590:M704" si="144">G590*I590/100</f>
        <v>0</v>
      </c>
      <c r="N590" s="52">
        <f t="shared" ref="N590:N704" si="145">G590*J590/100</f>
        <v>0</v>
      </c>
      <c r="O590" s="52">
        <f t="shared" ref="O590:O704" si="146">G590*K590/1000</f>
        <v>0</v>
      </c>
    </row>
    <row r="591" spans="1:15" ht="15.9" customHeight="1">
      <c r="A591" s="48"/>
      <c r="B591" s="49"/>
      <c r="C591" s="52"/>
      <c r="D591" s="52"/>
      <c r="E591" s="52"/>
      <c r="F591" s="52"/>
      <c r="G591" s="52">
        <f t="shared" si="110"/>
        <v>0</v>
      </c>
      <c r="H591" s="11"/>
      <c r="I591" s="11"/>
      <c r="J591" s="11"/>
      <c r="K591" s="57"/>
      <c r="L591" s="52">
        <f t="shared" si="143"/>
        <v>0</v>
      </c>
      <c r="M591" s="52">
        <f t="shared" si="144"/>
        <v>0</v>
      </c>
      <c r="N591" s="52">
        <f t="shared" si="145"/>
        <v>0</v>
      </c>
      <c r="O591" s="52">
        <f t="shared" si="146"/>
        <v>0</v>
      </c>
    </row>
    <row r="592" spans="1:15" ht="15.9" customHeight="1">
      <c r="A592" s="48"/>
      <c r="B592" s="49"/>
      <c r="C592" s="52"/>
      <c r="D592" s="52"/>
      <c r="E592" s="52"/>
      <c r="F592" s="52"/>
      <c r="G592" s="52">
        <f t="shared" si="110"/>
        <v>0</v>
      </c>
      <c r="H592" s="11"/>
      <c r="I592" s="11"/>
      <c r="J592" s="11"/>
      <c r="K592" s="57"/>
      <c r="L592" s="52">
        <f t="shared" si="143"/>
        <v>0</v>
      </c>
      <c r="M592" s="52">
        <f t="shared" si="144"/>
        <v>0</v>
      </c>
      <c r="N592" s="52">
        <f t="shared" si="145"/>
        <v>0</v>
      </c>
      <c r="O592" s="52">
        <f t="shared" si="146"/>
        <v>0</v>
      </c>
    </row>
    <row r="593" spans="1:15" ht="15.9" customHeight="1">
      <c r="A593" s="48"/>
      <c r="B593" s="49"/>
      <c r="C593" s="52"/>
      <c r="D593" s="52"/>
      <c r="E593" s="52"/>
      <c r="F593" s="52"/>
      <c r="G593" s="52">
        <f t="shared" si="110"/>
        <v>0</v>
      </c>
      <c r="H593" s="11"/>
      <c r="I593" s="11"/>
      <c r="J593" s="11"/>
      <c r="K593" s="57"/>
      <c r="L593" s="52">
        <f t="shared" si="143"/>
        <v>0</v>
      </c>
      <c r="M593" s="52">
        <f t="shared" si="144"/>
        <v>0</v>
      </c>
      <c r="N593" s="52">
        <f t="shared" si="145"/>
        <v>0</v>
      </c>
      <c r="O593" s="52">
        <f t="shared" si="146"/>
        <v>0</v>
      </c>
    </row>
    <row r="594" spans="1:15" ht="15.9" customHeight="1">
      <c r="A594" s="48"/>
      <c r="B594" s="49"/>
      <c r="C594" s="52"/>
      <c r="D594" s="52"/>
      <c r="E594" s="52"/>
      <c r="F594" s="52"/>
      <c r="G594" s="52">
        <f t="shared" si="110"/>
        <v>0</v>
      </c>
      <c r="H594" s="11"/>
      <c r="I594" s="11"/>
      <c r="J594" s="11"/>
      <c r="K594" s="57"/>
      <c r="L594" s="52">
        <f t="shared" si="143"/>
        <v>0</v>
      </c>
      <c r="M594" s="52">
        <f t="shared" si="144"/>
        <v>0</v>
      </c>
      <c r="N594" s="52">
        <f t="shared" si="145"/>
        <v>0</v>
      </c>
      <c r="O594" s="52">
        <f t="shared" si="146"/>
        <v>0</v>
      </c>
    </row>
    <row r="595" spans="1:15" ht="15.9" customHeight="1">
      <c r="A595" s="48"/>
      <c r="B595" s="49"/>
      <c r="C595" s="52"/>
      <c r="D595" s="52"/>
      <c r="E595" s="52"/>
      <c r="F595" s="52"/>
      <c r="G595" s="52">
        <f t="shared" si="110"/>
        <v>0</v>
      </c>
      <c r="H595" s="11"/>
      <c r="I595" s="11"/>
      <c r="J595" s="11"/>
      <c r="K595" s="57"/>
      <c r="L595" s="52">
        <f t="shared" si="143"/>
        <v>0</v>
      </c>
      <c r="M595" s="52">
        <f t="shared" si="144"/>
        <v>0</v>
      </c>
      <c r="N595" s="52">
        <f t="shared" si="145"/>
        <v>0</v>
      </c>
      <c r="O595" s="52">
        <f t="shared" si="146"/>
        <v>0</v>
      </c>
    </row>
    <row r="596" spans="1:15" ht="15.9" customHeight="1">
      <c r="A596" s="48"/>
      <c r="B596" s="49"/>
      <c r="C596" s="52"/>
      <c r="D596" s="52"/>
      <c r="E596" s="52"/>
      <c r="F596" s="52"/>
      <c r="G596" s="52">
        <f t="shared" si="110"/>
        <v>0</v>
      </c>
      <c r="H596" s="11"/>
      <c r="I596" s="11"/>
      <c r="J596" s="11"/>
      <c r="K596" s="57"/>
      <c r="L596" s="52">
        <f t="shared" si="143"/>
        <v>0</v>
      </c>
      <c r="M596" s="52">
        <f t="shared" si="144"/>
        <v>0</v>
      </c>
      <c r="N596" s="52">
        <f t="shared" si="145"/>
        <v>0</v>
      </c>
      <c r="O596" s="52">
        <f t="shared" si="146"/>
        <v>0</v>
      </c>
    </row>
    <row r="597" spans="1:15" ht="15.9" customHeight="1">
      <c r="A597" s="48"/>
      <c r="B597" s="49"/>
      <c r="C597" s="52"/>
      <c r="D597" s="52"/>
      <c r="E597" s="52"/>
      <c r="F597" s="52"/>
      <c r="G597" s="52">
        <f t="shared" si="110"/>
        <v>0</v>
      </c>
      <c r="H597" s="11"/>
      <c r="I597" s="11"/>
      <c r="J597" s="11"/>
      <c r="K597" s="57"/>
      <c r="L597" s="52">
        <f t="shared" si="143"/>
        <v>0</v>
      </c>
      <c r="M597" s="52">
        <f t="shared" si="144"/>
        <v>0</v>
      </c>
      <c r="N597" s="52">
        <f t="shared" si="145"/>
        <v>0</v>
      </c>
      <c r="O597" s="52">
        <f t="shared" si="146"/>
        <v>0</v>
      </c>
    </row>
    <row r="598" spans="1:15" ht="15.9" customHeight="1">
      <c r="A598" s="48"/>
      <c r="B598" s="49"/>
      <c r="C598" s="52"/>
      <c r="D598" s="52"/>
      <c r="E598" s="52"/>
      <c r="F598" s="52"/>
      <c r="G598" s="52">
        <f t="shared" si="110"/>
        <v>0</v>
      </c>
      <c r="H598" s="11"/>
      <c r="I598" s="11"/>
      <c r="J598" s="11"/>
      <c r="K598" s="57"/>
      <c r="L598" s="52">
        <f t="shared" si="143"/>
        <v>0</v>
      </c>
      <c r="M598" s="52">
        <f t="shared" si="144"/>
        <v>0</v>
      </c>
      <c r="N598" s="52">
        <f t="shared" si="145"/>
        <v>0</v>
      </c>
      <c r="O598" s="52">
        <f t="shared" si="146"/>
        <v>0</v>
      </c>
    </row>
    <row r="599" spans="1:15" ht="15.9" customHeight="1">
      <c r="A599" s="48"/>
      <c r="B599" s="49"/>
      <c r="C599" s="52"/>
      <c r="D599" s="52"/>
      <c r="E599" s="52"/>
      <c r="F599" s="52"/>
      <c r="G599" s="52">
        <f t="shared" si="110"/>
        <v>0</v>
      </c>
      <c r="H599" s="11"/>
      <c r="I599" s="11"/>
      <c r="J599" s="11"/>
      <c r="K599" s="57"/>
      <c r="L599" s="52">
        <f t="shared" ref="L599:L611" si="147">G599*H599/100</f>
        <v>0</v>
      </c>
      <c r="M599" s="52">
        <f t="shared" ref="M599:M611" si="148">G599*I599/100</f>
        <v>0</v>
      </c>
      <c r="N599" s="52">
        <f t="shared" ref="N599:N611" si="149">G599*J599/100</f>
        <v>0</v>
      </c>
      <c r="O599" s="52">
        <f t="shared" ref="O599:O611" si="150">G599*K599/1000</f>
        <v>0</v>
      </c>
    </row>
    <row r="600" spans="1:15" ht="15.9" customHeight="1">
      <c r="A600" s="48"/>
      <c r="B600" s="49"/>
      <c r="C600" s="52"/>
      <c r="D600" s="52"/>
      <c r="E600" s="52"/>
      <c r="F600" s="52"/>
      <c r="G600" s="52">
        <f t="shared" si="110"/>
        <v>0</v>
      </c>
      <c r="H600" s="11"/>
      <c r="I600" s="11"/>
      <c r="J600" s="11"/>
      <c r="K600" s="57"/>
      <c r="L600" s="52">
        <f t="shared" si="147"/>
        <v>0</v>
      </c>
      <c r="M600" s="52">
        <f t="shared" si="148"/>
        <v>0</v>
      </c>
      <c r="N600" s="52">
        <f t="shared" si="149"/>
        <v>0</v>
      </c>
      <c r="O600" s="52">
        <f t="shared" si="150"/>
        <v>0</v>
      </c>
    </row>
    <row r="601" spans="1:15" ht="15.9" customHeight="1">
      <c r="A601" s="48"/>
      <c r="B601" s="49"/>
      <c r="C601" s="52"/>
      <c r="D601" s="52"/>
      <c r="E601" s="52"/>
      <c r="F601" s="52"/>
      <c r="G601" s="52">
        <f t="shared" si="110"/>
        <v>0</v>
      </c>
      <c r="H601" s="11"/>
      <c r="I601" s="11"/>
      <c r="J601" s="11"/>
      <c r="K601" s="57"/>
      <c r="L601" s="52">
        <f t="shared" si="147"/>
        <v>0</v>
      </c>
      <c r="M601" s="52">
        <f t="shared" si="148"/>
        <v>0</v>
      </c>
      <c r="N601" s="52">
        <f t="shared" si="149"/>
        <v>0</v>
      </c>
      <c r="O601" s="52">
        <f t="shared" si="150"/>
        <v>0</v>
      </c>
    </row>
    <row r="602" spans="1:15" ht="15.9" customHeight="1">
      <c r="A602" s="48"/>
      <c r="B602" s="49"/>
      <c r="C602" s="52"/>
      <c r="D602" s="52"/>
      <c r="E602" s="52"/>
      <c r="F602" s="52"/>
      <c r="G602" s="52">
        <f t="shared" si="110"/>
        <v>0</v>
      </c>
      <c r="H602" s="11"/>
      <c r="I602" s="11"/>
      <c r="J602" s="11"/>
      <c r="K602" s="57"/>
      <c r="L602" s="52">
        <f t="shared" si="147"/>
        <v>0</v>
      </c>
      <c r="M602" s="52">
        <f t="shared" si="148"/>
        <v>0</v>
      </c>
      <c r="N602" s="52">
        <f t="shared" si="149"/>
        <v>0</v>
      </c>
      <c r="O602" s="52">
        <f t="shared" si="150"/>
        <v>0</v>
      </c>
    </row>
    <row r="603" spans="1:15" ht="15.9" customHeight="1">
      <c r="A603" s="48"/>
      <c r="B603" s="49"/>
      <c r="C603" s="52"/>
      <c r="D603" s="52"/>
      <c r="E603" s="52"/>
      <c r="F603" s="52"/>
      <c r="G603" s="52">
        <f t="shared" si="110"/>
        <v>0</v>
      </c>
      <c r="H603" s="11"/>
      <c r="I603" s="11"/>
      <c r="J603" s="11"/>
      <c r="K603" s="57"/>
      <c r="L603" s="52">
        <f t="shared" si="147"/>
        <v>0</v>
      </c>
      <c r="M603" s="52">
        <f t="shared" si="148"/>
        <v>0</v>
      </c>
      <c r="N603" s="52">
        <f t="shared" si="149"/>
        <v>0</v>
      </c>
      <c r="O603" s="52">
        <f t="shared" si="150"/>
        <v>0</v>
      </c>
    </row>
    <row r="604" spans="1:15" ht="15.9" customHeight="1">
      <c r="A604" s="48"/>
      <c r="B604" s="49"/>
      <c r="C604" s="52"/>
      <c r="D604" s="52"/>
      <c r="E604" s="52"/>
      <c r="F604" s="52"/>
      <c r="G604" s="52">
        <f t="shared" si="110"/>
        <v>0</v>
      </c>
      <c r="H604" s="11"/>
      <c r="I604" s="11"/>
      <c r="J604" s="11"/>
      <c r="K604" s="57"/>
      <c r="L604" s="52">
        <f t="shared" si="147"/>
        <v>0</v>
      </c>
      <c r="M604" s="52">
        <f t="shared" si="148"/>
        <v>0</v>
      </c>
      <c r="N604" s="52">
        <f t="shared" si="149"/>
        <v>0</v>
      </c>
      <c r="O604" s="52">
        <f t="shared" si="150"/>
        <v>0</v>
      </c>
    </row>
    <row r="605" spans="1:15" ht="15.9" customHeight="1">
      <c r="A605" s="48"/>
      <c r="B605" s="49"/>
      <c r="C605" s="52"/>
      <c r="D605" s="52"/>
      <c r="E605" s="52"/>
      <c r="F605" s="52"/>
      <c r="G605" s="52">
        <f t="shared" si="110"/>
        <v>0</v>
      </c>
      <c r="H605" s="11"/>
      <c r="I605" s="11"/>
      <c r="J605" s="11"/>
      <c r="K605" s="57"/>
      <c r="L605" s="52">
        <f t="shared" si="147"/>
        <v>0</v>
      </c>
      <c r="M605" s="52">
        <f t="shared" si="148"/>
        <v>0</v>
      </c>
      <c r="N605" s="52">
        <f t="shared" si="149"/>
        <v>0</v>
      </c>
      <c r="O605" s="52">
        <f t="shared" si="150"/>
        <v>0</v>
      </c>
    </row>
    <row r="606" spans="1:15" ht="15.9" customHeight="1">
      <c r="A606" s="48"/>
      <c r="B606" s="49"/>
      <c r="C606" s="52"/>
      <c r="D606" s="52"/>
      <c r="E606" s="52"/>
      <c r="F606" s="52"/>
      <c r="G606" s="52">
        <f t="shared" si="110"/>
        <v>0</v>
      </c>
      <c r="H606" s="11"/>
      <c r="I606" s="11"/>
      <c r="J606" s="11"/>
      <c r="K606" s="57"/>
      <c r="L606" s="52">
        <f t="shared" si="147"/>
        <v>0</v>
      </c>
      <c r="M606" s="52">
        <f t="shared" si="148"/>
        <v>0</v>
      </c>
      <c r="N606" s="52">
        <f t="shared" si="149"/>
        <v>0</v>
      </c>
      <c r="O606" s="52">
        <f t="shared" si="150"/>
        <v>0</v>
      </c>
    </row>
    <row r="607" spans="1:15" ht="15.9" customHeight="1">
      <c r="A607" s="48"/>
      <c r="B607" s="49"/>
      <c r="C607" s="52"/>
      <c r="D607" s="52"/>
      <c r="E607" s="52"/>
      <c r="F607" s="52"/>
      <c r="G607" s="52">
        <f t="shared" si="110"/>
        <v>0</v>
      </c>
      <c r="H607" s="11"/>
      <c r="I607" s="11"/>
      <c r="J607" s="11"/>
      <c r="K607" s="57"/>
      <c r="L607" s="52">
        <f t="shared" si="147"/>
        <v>0</v>
      </c>
      <c r="M607" s="52">
        <f t="shared" si="148"/>
        <v>0</v>
      </c>
      <c r="N607" s="52">
        <f t="shared" si="149"/>
        <v>0</v>
      </c>
      <c r="O607" s="52">
        <f t="shared" si="150"/>
        <v>0</v>
      </c>
    </row>
    <row r="608" spans="1:15" ht="15.9" customHeight="1">
      <c r="A608" s="48"/>
      <c r="B608" s="49"/>
      <c r="C608" s="52"/>
      <c r="D608" s="52"/>
      <c r="E608" s="52"/>
      <c r="F608" s="52"/>
      <c r="G608" s="52">
        <f t="shared" si="110"/>
        <v>0</v>
      </c>
      <c r="H608" s="11"/>
      <c r="I608" s="11"/>
      <c r="J608" s="11"/>
      <c r="K608" s="57"/>
      <c r="L608" s="52">
        <f t="shared" si="147"/>
        <v>0</v>
      </c>
      <c r="M608" s="52">
        <f t="shared" si="148"/>
        <v>0</v>
      </c>
      <c r="N608" s="52">
        <f t="shared" si="149"/>
        <v>0</v>
      </c>
      <c r="O608" s="52">
        <f t="shared" si="150"/>
        <v>0</v>
      </c>
    </row>
    <row r="609" spans="1:15" ht="15.9" customHeight="1">
      <c r="A609" s="48"/>
      <c r="B609" s="49"/>
      <c r="C609" s="52"/>
      <c r="D609" s="52"/>
      <c r="E609" s="52"/>
      <c r="F609" s="52"/>
      <c r="G609" s="52">
        <f t="shared" si="110"/>
        <v>0</v>
      </c>
      <c r="H609" s="11"/>
      <c r="I609" s="11"/>
      <c r="J609" s="11"/>
      <c r="K609" s="57"/>
      <c r="L609" s="52">
        <f t="shared" si="147"/>
        <v>0</v>
      </c>
      <c r="M609" s="52">
        <f t="shared" si="148"/>
        <v>0</v>
      </c>
      <c r="N609" s="52">
        <f t="shared" si="149"/>
        <v>0</v>
      </c>
      <c r="O609" s="52">
        <f t="shared" si="150"/>
        <v>0</v>
      </c>
    </row>
    <row r="610" spans="1:15" ht="15.9" customHeight="1">
      <c r="A610" s="48"/>
      <c r="B610" s="49"/>
      <c r="C610" s="52"/>
      <c r="D610" s="52"/>
      <c r="E610" s="52"/>
      <c r="F610" s="52"/>
      <c r="G610" s="52">
        <f t="shared" si="110"/>
        <v>0</v>
      </c>
      <c r="H610" s="11"/>
      <c r="I610" s="11"/>
      <c r="J610" s="11"/>
      <c r="K610" s="57"/>
      <c r="L610" s="52">
        <f t="shared" si="147"/>
        <v>0</v>
      </c>
      <c r="M610" s="52">
        <f t="shared" si="148"/>
        <v>0</v>
      </c>
      <c r="N610" s="52">
        <f t="shared" si="149"/>
        <v>0</v>
      </c>
      <c r="O610" s="52">
        <f t="shared" si="150"/>
        <v>0</v>
      </c>
    </row>
    <row r="611" spans="1:15" ht="15.9" customHeight="1">
      <c r="A611" s="48"/>
      <c r="B611" s="49"/>
      <c r="C611" s="52"/>
      <c r="D611" s="52"/>
      <c r="E611" s="52"/>
      <c r="F611" s="52"/>
      <c r="G611" s="52">
        <f t="shared" si="110"/>
        <v>0</v>
      </c>
      <c r="H611" s="11"/>
      <c r="I611" s="11"/>
      <c r="J611" s="11"/>
      <c r="K611" s="57"/>
      <c r="L611" s="52">
        <f t="shared" si="147"/>
        <v>0</v>
      </c>
      <c r="M611" s="52">
        <f t="shared" si="148"/>
        <v>0</v>
      </c>
      <c r="N611" s="52">
        <f t="shared" si="149"/>
        <v>0</v>
      </c>
      <c r="O611" s="52">
        <f t="shared" si="150"/>
        <v>0</v>
      </c>
    </row>
    <row r="612" spans="1:15" ht="15.9" customHeight="1">
      <c r="A612" s="48"/>
      <c r="B612" s="49"/>
      <c r="C612" s="52"/>
      <c r="D612" s="52"/>
      <c r="E612" s="52"/>
      <c r="F612" s="52"/>
      <c r="G612" s="52">
        <f t="shared" si="110"/>
        <v>0</v>
      </c>
      <c r="H612" s="11"/>
      <c r="I612" s="11"/>
      <c r="J612" s="11"/>
      <c r="K612" s="57"/>
      <c r="L612" s="52">
        <f t="shared" ref="L612:L623" si="151">G612*H612/100</f>
        <v>0</v>
      </c>
      <c r="M612" s="52">
        <f t="shared" ref="M612:M623" si="152">G612*I612/100</f>
        <v>0</v>
      </c>
      <c r="N612" s="52">
        <f t="shared" ref="N612:N623" si="153">G612*J612/100</f>
        <v>0</v>
      </c>
      <c r="O612" s="52">
        <f t="shared" ref="O612:O623" si="154">G612*K612/1000</f>
        <v>0</v>
      </c>
    </row>
    <row r="613" spans="1:15" ht="15.9" customHeight="1">
      <c r="A613" s="48"/>
      <c r="B613" s="49"/>
      <c r="C613" s="52"/>
      <c r="D613" s="52"/>
      <c r="E613" s="52"/>
      <c r="F613" s="52"/>
      <c r="G613" s="52">
        <f t="shared" si="110"/>
        <v>0</v>
      </c>
      <c r="H613" s="11"/>
      <c r="I613" s="11"/>
      <c r="J613" s="11"/>
      <c r="K613" s="57"/>
      <c r="L613" s="52">
        <f t="shared" si="151"/>
        <v>0</v>
      </c>
      <c r="M613" s="52">
        <f t="shared" si="152"/>
        <v>0</v>
      </c>
      <c r="N613" s="52">
        <f t="shared" si="153"/>
        <v>0</v>
      </c>
      <c r="O613" s="52">
        <f t="shared" si="154"/>
        <v>0</v>
      </c>
    </row>
    <row r="614" spans="1:15" ht="15.9" customHeight="1">
      <c r="A614" s="48"/>
      <c r="B614" s="49"/>
      <c r="C614" s="52"/>
      <c r="D614" s="52"/>
      <c r="E614" s="52"/>
      <c r="F614" s="52"/>
      <c r="G614" s="52">
        <f t="shared" si="110"/>
        <v>0</v>
      </c>
      <c r="H614" s="11"/>
      <c r="I614" s="11"/>
      <c r="J614" s="11"/>
      <c r="K614" s="57"/>
      <c r="L614" s="52">
        <f t="shared" si="151"/>
        <v>0</v>
      </c>
      <c r="M614" s="52">
        <f t="shared" si="152"/>
        <v>0</v>
      </c>
      <c r="N614" s="52">
        <f t="shared" si="153"/>
        <v>0</v>
      </c>
      <c r="O614" s="52">
        <f t="shared" si="154"/>
        <v>0</v>
      </c>
    </row>
    <row r="615" spans="1:15" ht="15.9" customHeight="1">
      <c r="A615" s="48"/>
      <c r="B615" s="49"/>
      <c r="C615" s="52"/>
      <c r="D615" s="52"/>
      <c r="E615" s="52"/>
      <c r="F615" s="11"/>
      <c r="G615" s="52">
        <f t="shared" si="110"/>
        <v>0</v>
      </c>
      <c r="H615" s="11"/>
      <c r="I615" s="11"/>
      <c r="J615" s="11"/>
      <c r="K615" s="57"/>
      <c r="L615" s="52">
        <f t="shared" si="151"/>
        <v>0</v>
      </c>
      <c r="M615" s="52">
        <f t="shared" si="152"/>
        <v>0</v>
      </c>
      <c r="N615" s="52">
        <f t="shared" si="153"/>
        <v>0</v>
      </c>
      <c r="O615" s="52">
        <f t="shared" si="154"/>
        <v>0</v>
      </c>
    </row>
    <row r="616" spans="1:15" ht="15.9" customHeight="1">
      <c r="A616" s="48"/>
      <c r="B616" s="49"/>
      <c r="C616" s="52"/>
      <c r="D616" s="52"/>
      <c r="E616" s="52"/>
      <c r="F616" s="11"/>
      <c r="G616" s="52">
        <f t="shared" si="110"/>
        <v>0</v>
      </c>
      <c r="H616" s="11"/>
      <c r="I616" s="11"/>
      <c r="J616" s="11"/>
      <c r="K616" s="57"/>
      <c r="L616" s="52">
        <f t="shared" si="151"/>
        <v>0</v>
      </c>
      <c r="M616" s="52">
        <f t="shared" si="152"/>
        <v>0</v>
      </c>
      <c r="N616" s="52">
        <f t="shared" si="153"/>
        <v>0</v>
      </c>
      <c r="O616" s="52">
        <f t="shared" si="154"/>
        <v>0</v>
      </c>
    </row>
    <row r="617" spans="1:15" ht="15.9" customHeight="1">
      <c r="A617" s="48"/>
      <c r="B617" s="49"/>
      <c r="C617" s="52"/>
      <c r="D617" s="52"/>
      <c r="E617" s="52"/>
      <c r="F617" s="11"/>
      <c r="G617" s="52">
        <f t="shared" si="110"/>
        <v>0</v>
      </c>
      <c r="H617" s="11"/>
      <c r="I617" s="11"/>
      <c r="J617" s="11"/>
      <c r="K617" s="57"/>
      <c r="L617" s="52">
        <f t="shared" si="151"/>
        <v>0</v>
      </c>
      <c r="M617" s="52">
        <f t="shared" si="152"/>
        <v>0</v>
      </c>
      <c r="N617" s="52">
        <f t="shared" si="153"/>
        <v>0</v>
      </c>
      <c r="O617" s="52">
        <f t="shared" si="154"/>
        <v>0</v>
      </c>
    </row>
    <row r="618" spans="1:15" ht="15.9" customHeight="1">
      <c r="A618" s="48"/>
      <c r="B618" s="49"/>
      <c r="C618" s="52"/>
      <c r="D618" s="52"/>
      <c r="E618" s="52"/>
      <c r="F618" s="11"/>
      <c r="G618" s="52">
        <f t="shared" si="110"/>
        <v>0</v>
      </c>
      <c r="H618" s="11"/>
      <c r="I618" s="11"/>
      <c r="J618" s="11"/>
      <c r="K618" s="57"/>
      <c r="L618" s="52">
        <f t="shared" si="151"/>
        <v>0</v>
      </c>
      <c r="M618" s="52">
        <f t="shared" si="152"/>
        <v>0</v>
      </c>
      <c r="N618" s="52">
        <f t="shared" si="153"/>
        <v>0</v>
      </c>
      <c r="O618" s="52">
        <f t="shared" si="154"/>
        <v>0</v>
      </c>
    </row>
    <row r="619" spans="1:15" ht="15.9" customHeight="1">
      <c r="A619" s="48"/>
      <c r="B619" s="49"/>
      <c r="C619" s="52"/>
      <c r="D619" s="52"/>
      <c r="E619" s="52"/>
      <c r="F619" s="11"/>
      <c r="G619" s="52">
        <f t="shared" si="110"/>
        <v>0</v>
      </c>
      <c r="H619" s="11"/>
      <c r="I619" s="11"/>
      <c r="J619" s="11"/>
      <c r="K619" s="57"/>
      <c r="L619" s="52">
        <f t="shared" si="151"/>
        <v>0</v>
      </c>
      <c r="M619" s="52">
        <f t="shared" si="152"/>
        <v>0</v>
      </c>
      <c r="N619" s="52">
        <f t="shared" si="153"/>
        <v>0</v>
      </c>
      <c r="O619" s="52">
        <f t="shared" si="154"/>
        <v>0</v>
      </c>
    </row>
    <row r="620" spans="1:15" ht="15.9" customHeight="1">
      <c r="A620" s="48"/>
      <c r="B620" s="49"/>
      <c r="C620" s="52"/>
      <c r="D620" s="52"/>
      <c r="E620" s="52"/>
      <c r="F620" s="11"/>
      <c r="G620" s="52">
        <f t="shared" si="110"/>
        <v>0</v>
      </c>
      <c r="H620" s="11"/>
      <c r="I620" s="11"/>
      <c r="J620" s="11"/>
      <c r="K620" s="57"/>
      <c r="L620" s="52">
        <f t="shared" si="151"/>
        <v>0</v>
      </c>
      <c r="M620" s="52">
        <f t="shared" si="152"/>
        <v>0</v>
      </c>
      <c r="N620" s="52">
        <f t="shared" si="153"/>
        <v>0</v>
      </c>
      <c r="O620" s="52">
        <f t="shared" si="154"/>
        <v>0</v>
      </c>
    </row>
    <row r="621" spans="1:15" ht="15.9" customHeight="1">
      <c r="A621" s="48"/>
      <c r="B621" s="49"/>
      <c r="C621" s="52"/>
      <c r="D621" s="52"/>
      <c r="E621" s="52"/>
      <c r="F621" s="11"/>
      <c r="G621" s="52">
        <f t="shared" si="110"/>
        <v>0</v>
      </c>
      <c r="H621" s="11"/>
      <c r="I621" s="11"/>
      <c r="J621" s="11"/>
      <c r="K621" s="57"/>
      <c r="L621" s="52">
        <f t="shared" si="151"/>
        <v>0</v>
      </c>
      <c r="M621" s="52">
        <f t="shared" si="152"/>
        <v>0</v>
      </c>
      <c r="N621" s="52">
        <f t="shared" si="153"/>
        <v>0</v>
      </c>
      <c r="O621" s="52">
        <f t="shared" si="154"/>
        <v>0</v>
      </c>
    </row>
    <row r="622" spans="1:15" ht="15.9" customHeight="1">
      <c r="A622" s="48"/>
      <c r="B622" s="49"/>
      <c r="C622" s="52"/>
      <c r="D622" s="52"/>
      <c r="E622" s="52"/>
      <c r="F622" s="11"/>
      <c r="G622" s="52">
        <f t="shared" si="110"/>
        <v>0</v>
      </c>
      <c r="H622" s="11"/>
      <c r="I622" s="11"/>
      <c r="J622" s="11"/>
      <c r="K622" s="57"/>
      <c r="L622" s="52">
        <f t="shared" si="151"/>
        <v>0</v>
      </c>
      <c r="M622" s="52">
        <f t="shared" si="152"/>
        <v>0</v>
      </c>
      <c r="N622" s="52">
        <f t="shared" si="153"/>
        <v>0</v>
      </c>
      <c r="O622" s="52">
        <f t="shared" si="154"/>
        <v>0</v>
      </c>
    </row>
    <row r="623" spans="1:15" ht="15.9" customHeight="1">
      <c r="A623" s="48"/>
      <c r="B623" s="49"/>
      <c r="C623" s="52"/>
      <c r="D623" s="52"/>
      <c r="E623" s="52"/>
      <c r="F623" s="11"/>
      <c r="G623" s="52">
        <f t="shared" si="110"/>
        <v>0</v>
      </c>
      <c r="H623" s="11"/>
      <c r="I623" s="11"/>
      <c r="J623" s="11"/>
      <c r="K623" s="57"/>
      <c r="L623" s="52">
        <f t="shared" si="151"/>
        <v>0</v>
      </c>
      <c r="M623" s="52">
        <f t="shared" si="152"/>
        <v>0</v>
      </c>
      <c r="N623" s="52">
        <f t="shared" si="153"/>
        <v>0</v>
      </c>
      <c r="O623" s="52">
        <f t="shared" si="154"/>
        <v>0</v>
      </c>
    </row>
    <row r="624" spans="1:15" ht="15.9" customHeight="1">
      <c r="A624" s="48"/>
      <c r="B624" s="49"/>
      <c r="C624" s="52"/>
      <c r="D624" s="52"/>
      <c r="E624" s="52"/>
      <c r="F624" s="11"/>
      <c r="G624" s="52">
        <f t="shared" si="110"/>
        <v>0</v>
      </c>
      <c r="H624" s="11"/>
      <c r="I624" s="11"/>
      <c r="J624" s="11"/>
      <c r="K624" s="57"/>
      <c r="L624" s="52">
        <f t="shared" si="143"/>
        <v>0</v>
      </c>
      <c r="M624" s="52">
        <f t="shared" si="144"/>
        <v>0</v>
      </c>
      <c r="N624" s="52">
        <f t="shared" si="145"/>
        <v>0</v>
      </c>
      <c r="O624" s="52">
        <f t="shared" si="146"/>
        <v>0</v>
      </c>
    </row>
    <row r="625" spans="1:15" ht="15.9" customHeight="1">
      <c r="A625" s="48"/>
      <c r="B625" s="49"/>
      <c r="C625" s="52"/>
      <c r="D625" s="52"/>
      <c r="E625" s="52"/>
      <c r="F625" s="11"/>
      <c r="G625" s="52">
        <f t="shared" si="110"/>
        <v>0</v>
      </c>
      <c r="H625" s="11"/>
      <c r="I625" s="11"/>
      <c r="J625" s="11"/>
      <c r="K625" s="57"/>
      <c r="L625" s="52">
        <f t="shared" si="143"/>
        <v>0</v>
      </c>
      <c r="M625" s="52">
        <f t="shared" si="144"/>
        <v>0</v>
      </c>
      <c r="N625" s="52">
        <f t="shared" si="145"/>
        <v>0</v>
      </c>
      <c r="O625" s="52">
        <f t="shared" si="146"/>
        <v>0</v>
      </c>
    </row>
    <row r="626" spans="1:15" ht="15.9" customHeight="1">
      <c r="A626" s="48"/>
      <c r="B626" s="49"/>
      <c r="C626" s="52"/>
      <c r="D626" s="52"/>
      <c r="E626" s="52"/>
      <c r="F626" s="11"/>
      <c r="G626" s="52">
        <f t="shared" si="110"/>
        <v>0</v>
      </c>
      <c r="H626" s="11"/>
      <c r="I626" s="11"/>
      <c r="J626" s="11"/>
      <c r="K626" s="57"/>
      <c r="L626" s="52">
        <f t="shared" si="143"/>
        <v>0</v>
      </c>
      <c r="M626" s="52">
        <f t="shared" si="144"/>
        <v>0</v>
      </c>
      <c r="N626" s="52">
        <f t="shared" si="145"/>
        <v>0</v>
      </c>
      <c r="O626" s="52">
        <f t="shared" si="146"/>
        <v>0</v>
      </c>
    </row>
    <row r="627" spans="1:15" ht="15.9" customHeight="1">
      <c r="A627" s="48"/>
      <c r="B627" s="49"/>
      <c r="C627" s="52"/>
      <c r="D627" s="52"/>
      <c r="E627" s="52"/>
      <c r="F627" s="11"/>
      <c r="G627" s="52">
        <f t="shared" si="110"/>
        <v>0</v>
      </c>
      <c r="H627" s="11"/>
      <c r="I627" s="11"/>
      <c r="J627" s="11"/>
      <c r="K627" s="57"/>
      <c r="L627" s="52">
        <f t="shared" si="143"/>
        <v>0</v>
      </c>
      <c r="M627" s="52">
        <f t="shared" si="144"/>
        <v>0</v>
      </c>
      <c r="N627" s="52">
        <f t="shared" si="145"/>
        <v>0</v>
      </c>
      <c r="O627" s="52">
        <f t="shared" si="146"/>
        <v>0</v>
      </c>
    </row>
    <row r="628" spans="1:15" ht="15.9" customHeight="1">
      <c r="A628" s="48"/>
      <c r="B628" s="49"/>
      <c r="C628" s="52"/>
      <c r="D628" s="52"/>
      <c r="E628" s="52"/>
      <c r="F628" s="11"/>
      <c r="G628" s="52">
        <f t="shared" si="110"/>
        <v>0</v>
      </c>
      <c r="H628" s="11"/>
      <c r="I628" s="11"/>
      <c r="J628" s="11"/>
      <c r="K628" s="57"/>
      <c r="L628" s="52">
        <f t="shared" si="143"/>
        <v>0</v>
      </c>
      <c r="M628" s="52">
        <f t="shared" si="144"/>
        <v>0</v>
      </c>
      <c r="N628" s="52">
        <f t="shared" si="145"/>
        <v>0</v>
      </c>
      <c r="O628" s="52">
        <f t="shared" si="146"/>
        <v>0</v>
      </c>
    </row>
    <row r="629" spans="1:15" ht="15.9" customHeight="1">
      <c r="A629" s="48"/>
      <c r="B629" s="49"/>
      <c r="C629" s="52"/>
      <c r="D629" s="52"/>
      <c r="E629" s="52"/>
      <c r="F629" s="11"/>
      <c r="G629" s="52">
        <f t="shared" si="110"/>
        <v>0</v>
      </c>
      <c r="H629" s="11"/>
      <c r="I629" s="11"/>
      <c r="J629" s="11"/>
      <c r="K629" s="57"/>
      <c r="L629" s="52">
        <f t="shared" si="143"/>
        <v>0</v>
      </c>
      <c r="M629" s="52">
        <f t="shared" si="144"/>
        <v>0</v>
      </c>
      <c r="N629" s="52">
        <f t="shared" si="145"/>
        <v>0</v>
      </c>
      <c r="O629" s="52">
        <f t="shared" si="146"/>
        <v>0</v>
      </c>
    </row>
    <row r="630" spans="1:15" ht="15.9" customHeight="1">
      <c r="A630" s="48"/>
      <c r="B630" s="49"/>
      <c r="C630" s="52"/>
      <c r="D630" s="52"/>
      <c r="E630" s="52"/>
      <c r="F630" s="11"/>
      <c r="G630" s="52">
        <f t="shared" si="110"/>
        <v>0</v>
      </c>
      <c r="H630" s="11"/>
      <c r="I630" s="11"/>
      <c r="J630" s="11"/>
      <c r="K630" s="57"/>
      <c r="L630" s="52">
        <f t="shared" si="143"/>
        <v>0</v>
      </c>
      <c r="M630" s="52">
        <f t="shared" si="144"/>
        <v>0</v>
      </c>
      <c r="N630" s="52">
        <f t="shared" si="145"/>
        <v>0</v>
      </c>
      <c r="O630" s="52">
        <f t="shared" si="146"/>
        <v>0</v>
      </c>
    </row>
    <row r="631" spans="1:15" ht="15.9" customHeight="1">
      <c r="A631" s="48"/>
      <c r="B631" s="49"/>
      <c r="C631" s="52"/>
      <c r="D631" s="52"/>
      <c r="E631" s="52"/>
      <c r="F631" s="11"/>
      <c r="G631" s="52">
        <f t="shared" si="110"/>
        <v>0</v>
      </c>
      <c r="H631" s="11"/>
      <c r="I631" s="11"/>
      <c r="J631" s="11"/>
      <c r="K631" s="57"/>
      <c r="L631" s="52">
        <f t="shared" si="143"/>
        <v>0</v>
      </c>
      <c r="M631" s="52">
        <f t="shared" si="144"/>
        <v>0</v>
      </c>
      <c r="N631" s="52">
        <f t="shared" si="145"/>
        <v>0</v>
      </c>
      <c r="O631" s="52">
        <f t="shared" si="146"/>
        <v>0</v>
      </c>
    </row>
    <row r="632" spans="1:15" ht="15.9" customHeight="1">
      <c r="A632" s="48"/>
      <c r="B632" s="49"/>
      <c r="C632" s="51"/>
      <c r="D632" s="52"/>
      <c r="E632" s="52"/>
      <c r="F632" s="11"/>
      <c r="G632" s="52">
        <f t="shared" ref="G632:G673" si="155">E632*(100-F632)/100</f>
        <v>0</v>
      </c>
      <c r="H632" s="11"/>
      <c r="I632" s="11"/>
      <c r="J632" s="11"/>
      <c r="K632" s="57"/>
      <c r="L632" s="52">
        <f t="shared" ref="L632:L673" si="156">G632*H632/100</f>
        <v>0</v>
      </c>
      <c r="M632" s="52">
        <f t="shared" ref="M632:M673" si="157">G632*I632/100</f>
        <v>0</v>
      </c>
      <c r="N632" s="52">
        <f t="shared" ref="N632:N673" si="158">G632*J632/100</f>
        <v>0</v>
      </c>
      <c r="O632" s="52">
        <f t="shared" ref="O632:O673" si="159">G632*K632/1000</f>
        <v>0</v>
      </c>
    </row>
    <row r="633" spans="1:15" ht="15.9" customHeight="1">
      <c r="A633" s="48"/>
      <c r="B633" s="49"/>
      <c r="C633" s="51"/>
      <c r="D633" s="52"/>
      <c r="E633" s="52"/>
      <c r="F633" s="11"/>
      <c r="G633" s="52">
        <f t="shared" si="155"/>
        <v>0</v>
      </c>
      <c r="H633" s="11"/>
      <c r="I633" s="11"/>
      <c r="J633" s="11"/>
      <c r="K633" s="57"/>
      <c r="L633" s="52">
        <f t="shared" si="156"/>
        <v>0</v>
      </c>
      <c r="M633" s="52">
        <f t="shared" si="157"/>
        <v>0</v>
      </c>
      <c r="N633" s="52">
        <f t="shared" si="158"/>
        <v>0</v>
      </c>
      <c r="O633" s="52">
        <f t="shared" si="159"/>
        <v>0</v>
      </c>
    </row>
    <row r="634" spans="1:15" ht="15.9" customHeight="1">
      <c r="A634" s="48"/>
      <c r="B634" s="49"/>
      <c r="C634" s="51"/>
      <c r="D634" s="52"/>
      <c r="E634" s="52"/>
      <c r="F634" s="11"/>
      <c r="G634" s="52">
        <f t="shared" si="155"/>
        <v>0</v>
      </c>
      <c r="H634" s="11"/>
      <c r="I634" s="11"/>
      <c r="J634" s="11"/>
      <c r="K634" s="57"/>
      <c r="L634" s="52">
        <f t="shared" si="156"/>
        <v>0</v>
      </c>
      <c r="M634" s="52">
        <f t="shared" si="157"/>
        <v>0</v>
      </c>
      <c r="N634" s="52">
        <f t="shared" si="158"/>
        <v>0</v>
      </c>
      <c r="O634" s="52">
        <f t="shared" si="159"/>
        <v>0</v>
      </c>
    </row>
    <row r="635" spans="1:15" ht="15.9" customHeight="1">
      <c r="A635" s="48"/>
      <c r="B635" s="49"/>
      <c r="C635" s="51"/>
      <c r="D635" s="52"/>
      <c r="E635" s="52"/>
      <c r="F635" s="11"/>
      <c r="G635" s="52">
        <f t="shared" si="155"/>
        <v>0</v>
      </c>
      <c r="H635" s="11"/>
      <c r="I635" s="11"/>
      <c r="J635" s="11"/>
      <c r="K635" s="57"/>
      <c r="L635" s="52">
        <f t="shared" si="156"/>
        <v>0</v>
      </c>
      <c r="M635" s="52">
        <f t="shared" si="157"/>
        <v>0</v>
      </c>
      <c r="N635" s="52">
        <f t="shared" si="158"/>
        <v>0</v>
      </c>
      <c r="O635" s="52">
        <f t="shared" si="159"/>
        <v>0</v>
      </c>
    </row>
    <row r="636" spans="1:15" ht="15.9" customHeight="1">
      <c r="A636" s="48"/>
      <c r="B636" s="49"/>
      <c r="C636" s="51"/>
      <c r="D636" s="52"/>
      <c r="E636" s="52"/>
      <c r="F636" s="11"/>
      <c r="G636" s="52">
        <f t="shared" si="155"/>
        <v>0</v>
      </c>
      <c r="H636" s="11"/>
      <c r="I636" s="11"/>
      <c r="J636" s="11"/>
      <c r="K636" s="57"/>
      <c r="L636" s="52">
        <f t="shared" si="156"/>
        <v>0</v>
      </c>
      <c r="M636" s="52">
        <f t="shared" si="157"/>
        <v>0</v>
      </c>
      <c r="N636" s="52">
        <f t="shared" si="158"/>
        <v>0</v>
      </c>
      <c r="O636" s="52">
        <f t="shared" si="159"/>
        <v>0</v>
      </c>
    </row>
    <row r="637" spans="1:15" ht="15.9" customHeight="1">
      <c r="A637" s="48"/>
      <c r="B637" s="49"/>
      <c r="C637" s="51"/>
      <c r="D637" s="52"/>
      <c r="E637" s="52"/>
      <c r="F637" s="11"/>
      <c r="G637" s="52">
        <f t="shared" si="155"/>
        <v>0</v>
      </c>
      <c r="H637" s="11"/>
      <c r="I637" s="11"/>
      <c r="J637" s="11"/>
      <c r="K637" s="57"/>
      <c r="L637" s="52">
        <f t="shared" si="156"/>
        <v>0</v>
      </c>
      <c r="M637" s="52">
        <f t="shared" si="157"/>
        <v>0</v>
      </c>
      <c r="N637" s="52">
        <f t="shared" si="158"/>
        <v>0</v>
      </c>
      <c r="O637" s="52">
        <f t="shared" si="159"/>
        <v>0</v>
      </c>
    </row>
    <row r="638" spans="1:15" ht="15.9" customHeight="1">
      <c r="A638" s="48"/>
      <c r="B638" s="49"/>
      <c r="C638" s="51"/>
      <c r="D638" s="52"/>
      <c r="E638" s="52"/>
      <c r="F638" s="11"/>
      <c r="G638" s="52">
        <f t="shared" si="155"/>
        <v>0</v>
      </c>
      <c r="H638" s="11"/>
      <c r="I638" s="11"/>
      <c r="J638" s="11"/>
      <c r="K638" s="57"/>
      <c r="L638" s="52">
        <f t="shared" si="156"/>
        <v>0</v>
      </c>
      <c r="M638" s="52">
        <f t="shared" si="157"/>
        <v>0</v>
      </c>
      <c r="N638" s="52">
        <f t="shared" si="158"/>
        <v>0</v>
      </c>
      <c r="O638" s="52">
        <f t="shared" si="159"/>
        <v>0</v>
      </c>
    </row>
    <row r="639" spans="1:15" ht="15.9" customHeight="1">
      <c r="A639" s="48"/>
      <c r="B639" s="49"/>
      <c r="C639" s="51"/>
      <c r="D639" s="52"/>
      <c r="E639" s="52"/>
      <c r="F639" s="11"/>
      <c r="G639" s="52">
        <f t="shared" si="155"/>
        <v>0</v>
      </c>
      <c r="H639" s="11"/>
      <c r="I639" s="11"/>
      <c r="J639" s="11"/>
      <c r="K639" s="57"/>
      <c r="L639" s="52">
        <f t="shared" si="156"/>
        <v>0</v>
      </c>
      <c r="M639" s="52">
        <f t="shared" si="157"/>
        <v>0</v>
      </c>
      <c r="N639" s="52">
        <f t="shared" si="158"/>
        <v>0</v>
      </c>
      <c r="O639" s="52">
        <f t="shared" si="159"/>
        <v>0</v>
      </c>
    </row>
    <row r="640" spans="1:15" ht="15.9" customHeight="1">
      <c r="A640" s="48"/>
      <c r="B640" s="49"/>
      <c r="C640" s="51"/>
      <c r="D640" s="52"/>
      <c r="E640" s="52"/>
      <c r="F640" s="11"/>
      <c r="G640" s="52">
        <f t="shared" si="155"/>
        <v>0</v>
      </c>
      <c r="H640" s="11"/>
      <c r="I640" s="11"/>
      <c r="J640" s="11"/>
      <c r="K640" s="57"/>
      <c r="L640" s="52">
        <f t="shared" si="156"/>
        <v>0</v>
      </c>
      <c r="M640" s="52">
        <f t="shared" si="157"/>
        <v>0</v>
      </c>
      <c r="N640" s="52">
        <f t="shared" si="158"/>
        <v>0</v>
      </c>
      <c r="O640" s="52">
        <f t="shared" si="159"/>
        <v>0</v>
      </c>
    </row>
    <row r="641" spans="1:15" ht="15.9" customHeight="1">
      <c r="A641" s="48"/>
      <c r="B641" s="49"/>
      <c r="C641" s="51"/>
      <c r="D641" s="52"/>
      <c r="E641" s="52"/>
      <c r="F641" s="11"/>
      <c r="G641" s="52">
        <f t="shared" si="155"/>
        <v>0</v>
      </c>
      <c r="H641" s="11"/>
      <c r="I641" s="11"/>
      <c r="J641" s="11"/>
      <c r="K641" s="57"/>
      <c r="L641" s="52">
        <f t="shared" si="156"/>
        <v>0</v>
      </c>
      <c r="M641" s="52">
        <f t="shared" si="157"/>
        <v>0</v>
      </c>
      <c r="N641" s="52">
        <f t="shared" si="158"/>
        <v>0</v>
      </c>
      <c r="O641" s="52">
        <f t="shared" si="159"/>
        <v>0</v>
      </c>
    </row>
    <row r="642" spans="1:15" ht="15.9" customHeight="1">
      <c r="A642" s="48"/>
      <c r="B642" s="49"/>
      <c r="C642" s="51"/>
      <c r="D642" s="52"/>
      <c r="E642" s="52"/>
      <c r="F642" s="11"/>
      <c r="G642" s="52">
        <f t="shared" si="155"/>
        <v>0</v>
      </c>
      <c r="H642" s="11"/>
      <c r="I642" s="11"/>
      <c r="J642" s="11"/>
      <c r="K642" s="57"/>
      <c r="L642" s="52">
        <f t="shared" si="156"/>
        <v>0</v>
      </c>
      <c r="M642" s="52">
        <f t="shared" si="157"/>
        <v>0</v>
      </c>
      <c r="N642" s="52">
        <f t="shared" si="158"/>
        <v>0</v>
      </c>
      <c r="O642" s="52">
        <f t="shared" si="159"/>
        <v>0</v>
      </c>
    </row>
    <row r="643" spans="1:15" ht="15.9" customHeight="1">
      <c r="A643" s="48"/>
      <c r="B643" s="49"/>
      <c r="C643" s="51"/>
      <c r="D643" s="52"/>
      <c r="E643" s="52"/>
      <c r="F643" s="11"/>
      <c r="G643" s="52">
        <f t="shared" si="155"/>
        <v>0</v>
      </c>
      <c r="H643" s="11"/>
      <c r="I643" s="11"/>
      <c r="J643" s="11"/>
      <c r="K643" s="57"/>
      <c r="L643" s="52">
        <f t="shared" si="156"/>
        <v>0</v>
      </c>
      <c r="M643" s="52">
        <f t="shared" si="157"/>
        <v>0</v>
      </c>
      <c r="N643" s="52">
        <f t="shared" si="158"/>
        <v>0</v>
      </c>
      <c r="O643" s="52">
        <f t="shared" si="159"/>
        <v>0</v>
      </c>
    </row>
    <row r="644" spans="1:15" ht="15.9" customHeight="1">
      <c r="A644" s="48"/>
      <c r="B644" s="49"/>
      <c r="C644" s="51"/>
      <c r="D644" s="52"/>
      <c r="E644" s="52"/>
      <c r="F644" s="11"/>
      <c r="G644" s="52">
        <f t="shared" si="155"/>
        <v>0</v>
      </c>
      <c r="H644" s="11"/>
      <c r="I644" s="11"/>
      <c r="J644" s="11"/>
      <c r="K644" s="57"/>
      <c r="L644" s="52">
        <f t="shared" si="156"/>
        <v>0</v>
      </c>
      <c r="M644" s="52">
        <f t="shared" si="157"/>
        <v>0</v>
      </c>
      <c r="N644" s="52">
        <f t="shared" si="158"/>
        <v>0</v>
      </c>
      <c r="O644" s="52">
        <f t="shared" si="159"/>
        <v>0</v>
      </c>
    </row>
    <row r="645" spans="1:15" ht="15.9" customHeight="1">
      <c r="A645" s="48"/>
      <c r="B645" s="49"/>
      <c r="C645" s="51"/>
      <c r="D645" s="52"/>
      <c r="E645" s="52"/>
      <c r="F645" s="11"/>
      <c r="G645" s="52">
        <f t="shared" si="155"/>
        <v>0</v>
      </c>
      <c r="H645" s="11"/>
      <c r="I645" s="11"/>
      <c r="J645" s="11"/>
      <c r="K645" s="57"/>
      <c r="L645" s="52">
        <f t="shared" si="156"/>
        <v>0</v>
      </c>
      <c r="M645" s="52">
        <f t="shared" si="157"/>
        <v>0</v>
      </c>
      <c r="N645" s="52">
        <f t="shared" si="158"/>
        <v>0</v>
      </c>
      <c r="O645" s="52">
        <f t="shared" si="159"/>
        <v>0</v>
      </c>
    </row>
    <row r="646" spans="1:15" ht="15.9" customHeight="1">
      <c r="A646" s="48"/>
      <c r="B646" s="49"/>
      <c r="C646" s="51"/>
      <c r="D646" s="52"/>
      <c r="E646" s="52"/>
      <c r="F646" s="11"/>
      <c r="G646" s="52">
        <f t="shared" si="155"/>
        <v>0</v>
      </c>
      <c r="H646" s="11"/>
      <c r="I646" s="11"/>
      <c r="J646" s="11"/>
      <c r="K646" s="57"/>
      <c r="L646" s="52">
        <f t="shared" si="156"/>
        <v>0</v>
      </c>
      <c r="M646" s="52">
        <f t="shared" si="157"/>
        <v>0</v>
      </c>
      <c r="N646" s="52">
        <f t="shared" si="158"/>
        <v>0</v>
      </c>
      <c r="O646" s="52">
        <f t="shared" si="159"/>
        <v>0</v>
      </c>
    </row>
    <row r="647" spans="1:15" ht="15.9" customHeight="1">
      <c r="A647" s="48"/>
      <c r="B647" s="49"/>
      <c r="C647" s="51"/>
      <c r="D647" s="52"/>
      <c r="E647" s="52"/>
      <c r="F647" s="11"/>
      <c r="G647" s="52">
        <f t="shared" si="155"/>
        <v>0</v>
      </c>
      <c r="H647" s="11"/>
      <c r="I647" s="11"/>
      <c r="J647" s="11"/>
      <c r="K647" s="57"/>
      <c r="L647" s="52">
        <f t="shared" si="156"/>
        <v>0</v>
      </c>
      <c r="M647" s="52">
        <f t="shared" si="157"/>
        <v>0</v>
      </c>
      <c r="N647" s="52">
        <f t="shared" si="158"/>
        <v>0</v>
      </c>
      <c r="O647" s="52">
        <f t="shared" si="159"/>
        <v>0</v>
      </c>
    </row>
    <row r="648" spans="1:15" ht="15.9" customHeight="1">
      <c r="A648" s="48"/>
      <c r="B648" s="49"/>
      <c r="C648" s="51"/>
      <c r="D648" s="52"/>
      <c r="E648" s="52"/>
      <c r="F648" s="11"/>
      <c r="G648" s="52">
        <f t="shared" si="155"/>
        <v>0</v>
      </c>
      <c r="H648" s="11"/>
      <c r="I648" s="11"/>
      <c r="J648" s="11"/>
      <c r="K648" s="57"/>
      <c r="L648" s="52">
        <f t="shared" si="156"/>
        <v>0</v>
      </c>
      <c r="M648" s="52">
        <f t="shared" si="157"/>
        <v>0</v>
      </c>
      <c r="N648" s="52">
        <f t="shared" si="158"/>
        <v>0</v>
      </c>
      <c r="O648" s="52">
        <f t="shared" si="159"/>
        <v>0</v>
      </c>
    </row>
    <row r="649" spans="1:15" ht="15.9" customHeight="1">
      <c r="A649" s="48"/>
      <c r="B649" s="49"/>
      <c r="C649" s="51"/>
      <c r="D649" s="52"/>
      <c r="E649" s="52"/>
      <c r="F649" s="11"/>
      <c r="G649" s="52">
        <f t="shared" si="155"/>
        <v>0</v>
      </c>
      <c r="H649" s="11"/>
      <c r="I649" s="11"/>
      <c r="J649" s="11"/>
      <c r="K649" s="57"/>
      <c r="L649" s="52">
        <f t="shared" si="156"/>
        <v>0</v>
      </c>
      <c r="M649" s="52">
        <f t="shared" si="157"/>
        <v>0</v>
      </c>
      <c r="N649" s="52">
        <f t="shared" si="158"/>
        <v>0</v>
      </c>
      <c r="O649" s="52">
        <f t="shared" si="159"/>
        <v>0</v>
      </c>
    </row>
    <row r="650" spans="1:15" ht="15.9" customHeight="1">
      <c r="A650" s="48"/>
      <c r="B650" s="49"/>
      <c r="C650" s="51"/>
      <c r="D650" s="52"/>
      <c r="E650" s="52"/>
      <c r="F650" s="11"/>
      <c r="G650" s="52">
        <f t="shared" si="155"/>
        <v>0</v>
      </c>
      <c r="H650" s="11"/>
      <c r="I650" s="11"/>
      <c r="J650" s="11"/>
      <c r="K650" s="57"/>
      <c r="L650" s="52">
        <f t="shared" si="156"/>
        <v>0</v>
      </c>
      <c r="M650" s="52">
        <f t="shared" si="157"/>
        <v>0</v>
      </c>
      <c r="N650" s="52">
        <f t="shared" si="158"/>
        <v>0</v>
      </c>
      <c r="O650" s="52">
        <f t="shared" si="159"/>
        <v>0</v>
      </c>
    </row>
    <row r="651" spans="1:15" ht="15.9" customHeight="1">
      <c r="A651" s="48"/>
      <c r="B651" s="49"/>
      <c r="C651" s="51"/>
      <c r="D651" s="52"/>
      <c r="E651" s="52"/>
      <c r="F651" s="11"/>
      <c r="G651" s="52">
        <f t="shared" si="155"/>
        <v>0</v>
      </c>
      <c r="H651" s="11"/>
      <c r="I651" s="11"/>
      <c r="J651" s="11"/>
      <c r="K651" s="57"/>
      <c r="L651" s="52">
        <f t="shared" si="156"/>
        <v>0</v>
      </c>
      <c r="M651" s="52">
        <f t="shared" si="157"/>
        <v>0</v>
      </c>
      <c r="N651" s="52">
        <f t="shared" si="158"/>
        <v>0</v>
      </c>
      <c r="O651" s="52">
        <f t="shared" si="159"/>
        <v>0</v>
      </c>
    </row>
    <row r="652" spans="1:15" ht="15.9" customHeight="1">
      <c r="A652" s="48"/>
      <c r="B652" s="49"/>
      <c r="C652" s="51"/>
      <c r="D652" s="52"/>
      <c r="E652" s="52"/>
      <c r="F652" s="11"/>
      <c r="G652" s="52">
        <f t="shared" si="155"/>
        <v>0</v>
      </c>
      <c r="H652" s="11"/>
      <c r="I652" s="11"/>
      <c r="J652" s="11"/>
      <c r="K652" s="57"/>
      <c r="L652" s="52">
        <f t="shared" si="156"/>
        <v>0</v>
      </c>
      <c r="M652" s="52">
        <f t="shared" si="157"/>
        <v>0</v>
      </c>
      <c r="N652" s="52">
        <f t="shared" si="158"/>
        <v>0</v>
      </c>
      <c r="O652" s="52">
        <f t="shared" si="159"/>
        <v>0</v>
      </c>
    </row>
    <row r="653" spans="1:15" ht="15.9" customHeight="1">
      <c r="A653" s="48"/>
      <c r="B653" s="49"/>
      <c r="C653" s="51"/>
      <c r="D653" s="52"/>
      <c r="E653" s="52"/>
      <c r="F653" s="11"/>
      <c r="G653" s="52">
        <f t="shared" si="155"/>
        <v>0</v>
      </c>
      <c r="H653" s="11"/>
      <c r="I653" s="11"/>
      <c r="J653" s="11"/>
      <c r="K653" s="57"/>
      <c r="L653" s="52">
        <f t="shared" si="156"/>
        <v>0</v>
      </c>
      <c r="M653" s="52">
        <f t="shared" si="157"/>
        <v>0</v>
      </c>
      <c r="N653" s="52">
        <f t="shared" si="158"/>
        <v>0</v>
      </c>
      <c r="O653" s="52">
        <f t="shared" si="159"/>
        <v>0</v>
      </c>
    </row>
    <row r="654" spans="1:15" ht="15.9" customHeight="1">
      <c r="A654" s="48"/>
      <c r="B654" s="49"/>
      <c r="C654" s="51"/>
      <c r="D654" s="52"/>
      <c r="E654" s="52"/>
      <c r="F654" s="11"/>
      <c r="G654" s="52">
        <f t="shared" si="155"/>
        <v>0</v>
      </c>
      <c r="H654" s="11"/>
      <c r="I654" s="11"/>
      <c r="J654" s="11"/>
      <c r="K654" s="57"/>
      <c r="L654" s="52">
        <f t="shared" si="156"/>
        <v>0</v>
      </c>
      <c r="M654" s="52">
        <f t="shared" si="157"/>
        <v>0</v>
      </c>
      <c r="N654" s="52">
        <f t="shared" si="158"/>
        <v>0</v>
      </c>
      <c r="O654" s="52">
        <f t="shared" si="159"/>
        <v>0</v>
      </c>
    </row>
    <row r="655" spans="1:15" ht="15.9" customHeight="1">
      <c r="A655" s="48"/>
      <c r="B655" s="49"/>
      <c r="C655" s="51"/>
      <c r="D655" s="52"/>
      <c r="E655" s="52"/>
      <c r="F655" s="11"/>
      <c r="G655" s="52">
        <f t="shared" si="155"/>
        <v>0</v>
      </c>
      <c r="H655" s="11"/>
      <c r="I655" s="11"/>
      <c r="J655" s="11"/>
      <c r="K655" s="57"/>
      <c r="L655" s="52">
        <f t="shared" si="156"/>
        <v>0</v>
      </c>
      <c r="M655" s="52">
        <f t="shared" si="157"/>
        <v>0</v>
      </c>
      <c r="N655" s="52">
        <f t="shared" si="158"/>
        <v>0</v>
      </c>
      <c r="O655" s="52">
        <f t="shared" si="159"/>
        <v>0</v>
      </c>
    </row>
    <row r="656" spans="1:15" ht="15.9" customHeight="1">
      <c r="A656" s="48"/>
      <c r="B656" s="49"/>
      <c r="C656" s="51"/>
      <c r="D656" s="52"/>
      <c r="E656" s="52"/>
      <c r="F656" s="11"/>
      <c r="G656" s="52">
        <f t="shared" si="155"/>
        <v>0</v>
      </c>
      <c r="H656" s="11"/>
      <c r="I656" s="11"/>
      <c r="J656" s="11"/>
      <c r="K656" s="57"/>
      <c r="L656" s="52">
        <f t="shared" si="156"/>
        <v>0</v>
      </c>
      <c r="M656" s="52">
        <f t="shared" si="157"/>
        <v>0</v>
      </c>
      <c r="N656" s="52">
        <f t="shared" si="158"/>
        <v>0</v>
      </c>
      <c r="O656" s="52">
        <f t="shared" si="159"/>
        <v>0</v>
      </c>
    </row>
    <row r="657" spans="1:15" ht="15.9" customHeight="1">
      <c r="A657" s="48"/>
      <c r="B657" s="49"/>
      <c r="C657" s="51"/>
      <c r="D657" s="52"/>
      <c r="E657" s="52"/>
      <c r="F657" s="11"/>
      <c r="G657" s="52">
        <f t="shared" si="155"/>
        <v>0</v>
      </c>
      <c r="H657" s="11"/>
      <c r="I657" s="11"/>
      <c r="J657" s="11"/>
      <c r="K657" s="57"/>
      <c r="L657" s="52">
        <f t="shared" si="156"/>
        <v>0</v>
      </c>
      <c r="M657" s="52">
        <f t="shared" si="157"/>
        <v>0</v>
      </c>
      <c r="N657" s="52">
        <f t="shared" si="158"/>
        <v>0</v>
      </c>
      <c r="O657" s="52">
        <f t="shared" si="159"/>
        <v>0</v>
      </c>
    </row>
    <row r="658" spans="1:15" ht="15.9" customHeight="1">
      <c r="A658" s="48"/>
      <c r="B658" s="49"/>
      <c r="C658" s="51"/>
      <c r="D658" s="52"/>
      <c r="E658" s="52"/>
      <c r="F658" s="11"/>
      <c r="G658" s="52">
        <f t="shared" si="155"/>
        <v>0</v>
      </c>
      <c r="H658" s="11"/>
      <c r="I658" s="11"/>
      <c r="J658" s="11"/>
      <c r="K658" s="57"/>
      <c r="L658" s="52">
        <f t="shared" si="156"/>
        <v>0</v>
      </c>
      <c r="M658" s="52">
        <f t="shared" si="157"/>
        <v>0</v>
      </c>
      <c r="N658" s="52">
        <f t="shared" si="158"/>
        <v>0</v>
      </c>
      <c r="O658" s="52">
        <f t="shared" si="159"/>
        <v>0</v>
      </c>
    </row>
    <row r="659" spans="1:15" ht="15.9" customHeight="1">
      <c r="A659" s="48"/>
      <c r="B659" s="49"/>
      <c r="C659" s="51"/>
      <c r="D659" s="52"/>
      <c r="E659" s="52"/>
      <c r="F659" s="11"/>
      <c r="G659" s="52">
        <f t="shared" si="155"/>
        <v>0</v>
      </c>
      <c r="H659" s="11"/>
      <c r="I659" s="11"/>
      <c r="J659" s="11"/>
      <c r="K659" s="57"/>
      <c r="L659" s="52">
        <f t="shared" si="156"/>
        <v>0</v>
      </c>
      <c r="M659" s="52">
        <f t="shared" si="157"/>
        <v>0</v>
      </c>
      <c r="N659" s="52">
        <f t="shared" si="158"/>
        <v>0</v>
      </c>
      <c r="O659" s="52">
        <f t="shared" si="159"/>
        <v>0</v>
      </c>
    </row>
    <row r="660" spans="1:15" ht="15.9" customHeight="1">
      <c r="A660" s="48"/>
      <c r="B660" s="49"/>
      <c r="C660" s="51"/>
      <c r="D660" s="52"/>
      <c r="E660" s="52"/>
      <c r="F660" s="11"/>
      <c r="G660" s="52">
        <f t="shared" si="155"/>
        <v>0</v>
      </c>
      <c r="H660" s="11"/>
      <c r="I660" s="11"/>
      <c r="J660" s="11"/>
      <c r="K660" s="57"/>
      <c r="L660" s="52">
        <f t="shared" si="156"/>
        <v>0</v>
      </c>
      <c r="M660" s="52">
        <f t="shared" si="157"/>
        <v>0</v>
      </c>
      <c r="N660" s="52">
        <f t="shared" si="158"/>
        <v>0</v>
      </c>
      <c r="O660" s="52">
        <f t="shared" si="159"/>
        <v>0</v>
      </c>
    </row>
    <row r="661" spans="1:15" ht="15.9" customHeight="1">
      <c r="A661" s="48"/>
      <c r="B661" s="49"/>
      <c r="C661" s="51"/>
      <c r="D661" s="52"/>
      <c r="E661" s="52"/>
      <c r="F661" s="11"/>
      <c r="G661" s="52">
        <f t="shared" si="155"/>
        <v>0</v>
      </c>
      <c r="H661" s="11"/>
      <c r="I661" s="11"/>
      <c r="J661" s="11"/>
      <c r="K661" s="57"/>
      <c r="L661" s="52">
        <f t="shared" si="156"/>
        <v>0</v>
      </c>
      <c r="M661" s="52">
        <f t="shared" si="157"/>
        <v>0</v>
      </c>
      <c r="N661" s="52">
        <f t="shared" si="158"/>
        <v>0</v>
      </c>
      <c r="O661" s="52">
        <f t="shared" si="159"/>
        <v>0</v>
      </c>
    </row>
    <row r="662" spans="1:15" ht="15.9" customHeight="1">
      <c r="A662" s="48"/>
      <c r="B662" s="49"/>
      <c r="C662" s="51"/>
      <c r="D662" s="52"/>
      <c r="E662" s="52"/>
      <c r="F662" s="11"/>
      <c r="G662" s="52">
        <f t="shared" si="155"/>
        <v>0</v>
      </c>
      <c r="H662" s="11"/>
      <c r="I662" s="11"/>
      <c r="J662" s="11"/>
      <c r="K662" s="57"/>
      <c r="L662" s="52">
        <f t="shared" si="156"/>
        <v>0</v>
      </c>
      <c r="M662" s="52">
        <f t="shared" si="157"/>
        <v>0</v>
      </c>
      <c r="N662" s="52">
        <f t="shared" si="158"/>
        <v>0</v>
      </c>
      <c r="O662" s="52">
        <f t="shared" si="159"/>
        <v>0</v>
      </c>
    </row>
    <row r="663" spans="1:15" ht="15.9" customHeight="1">
      <c r="A663" s="48"/>
      <c r="B663" s="49"/>
      <c r="C663" s="51"/>
      <c r="D663" s="52"/>
      <c r="E663" s="52"/>
      <c r="F663" s="11"/>
      <c r="G663" s="52">
        <f t="shared" si="155"/>
        <v>0</v>
      </c>
      <c r="H663" s="11"/>
      <c r="I663" s="11"/>
      <c r="J663" s="11"/>
      <c r="K663" s="57"/>
      <c r="L663" s="52">
        <f t="shared" si="156"/>
        <v>0</v>
      </c>
      <c r="M663" s="52">
        <f t="shared" si="157"/>
        <v>0</v>
      </c>
      <c r="N663" s="52">
        <f t="shared" si="158"/>
        <v>0</v>
      </c>
      <c r="O663" s="52">
        <f t="shared" si="159"/>
        <v>0</v>
      </c>
    </row>
    <row r="664" spans="1:15" ht="15.9" customHeight="1">
      <c r="A664" s="48"/>
      <c r="B664" s="49"/>
      <c r="C664" s="51"/>
      <c r="D664" s="52"/>
      <c r="E664" s="52"/>
      <c r="F664" s="11"/>
      <c r="G664" s="52">
        <f t="shared" si="155"/>
        <v>0</v>
      </c>
      <c r="H664" s="11"/>
      <c r="I664" s="11"/>
      <c r="J664" s="11"/>
      <c r="K664" s="57"/>
      <c r="L664" s="52">
        <f t="shared" si="156"/>
        <v>0</v>
      </c>
      <c r="M664" s="52">
        <f t="shared" si="157"/>
        <v>0</v>
      </c>
      <c r="N664" s="52">
        <f t="shared" si="158"/>
        <v>0</v>
      </c>
      <c r="O664" s="52">
        <f t="shared" si="159"/>
        <v>0</v>
      </c>
    </row>
    <row r="665" spans="1:15" ht="15.9" customHeight="1">
      <c r="A665" s="48"/>
      <c r="B665" s="49"/>
      <c r="C665" s="52"/>
      <c r="D665" s="52"/>
      <c r="E665" s="52"/>
      <c r="F665" s="11"/>
      <c r="G665" s="52">
        <f t="shared" si="155"/>
        <v>0</v>
      </c>
      <c r="H665" s="11"/>
      <c r="I665" s="11"/>
      <c r="J665" s="11"/>
      <c r="K665" s="57"/>
      <c r="L665" s="52">
        <f t="shared" si="156"/>
        <v>0</v>
      </c>
      <c r="M665" s="52">
        <f t="shared" si="157"/>
        <v>0</v>
      </c>
      <c r="N665" s="52">
        <f t="shared" si="158"/>
        <v>0</v>
      </c>
      <c r="O665" s="52">
        <f t="shared" si="159"/>
        <v>0</v>
      </c>
    </row>
    <row r="666" spans="1:15" ht="15.9" customHeight="1">
      <c r="A666" s="48"/>
      <c r="B666" s="49"/>
      <c r="C666" s="52"/>
      <c r="D666" s="52"/>
      <c r="E666" s="52"/>
      <c r="F666" s="11"/>
      <c r="G666" s="52">
        <f t="shared" si="155"/>
        <v>0</v>
      </c>
      <c r="H666" s="11"/>
      <c r="I666" s="11"/>
      <c r="J666" s="11"/>
      <c r="K666" s="57"/>
      <c r="L666" s="52">
        <f t="shared" si="156"/>
        <v>0</v>
      </c>
      <c r="M666" s="52">
        <f t="shared" si="157"/>
        <v>0</v>
      </c>
      <c r="N666" s="52">
        <f t="shared" si="158"/>
        <v>0</v>
      </c>
      <c r="O666" s="52">
        <f t="shared" si="159"/>
        <v>0</v>
      </c>
    </row>
    <row r="667" spans="1:15" ht="15.9" customHeight="1">
      <c r="A667" s="48"/>
      <c r="B667" s="49"/>
      <c r="C667" s="52"/>
      <c r="D667" s="52"/>
      <c r="E667" s="52"/>
      <c r="F667" s="11"/>
      <c r="G667" s="52">
        <f t="shared" si="155"/>
        <v>0</v>
      </c>
      <c r="H667" s="11"/>
      <c r="I667" s="11"/>
      <c r="J667" s="11"/>
      <c r="K667" s="57"/>
      <c r="L667" s="52">
        <f t="shared" si="156"/>
        <v>0</v>
      </c>
      <c r="M667" s="52">
        <f t="shared" si="157"/>
        <v>0</v>
      </c>
      <c r="N667" s="52">
        <f t="shared" si="158"/>
        <v>0</v>
      </c>
      <c r="O667" s="52">
        <f t="shared" si="159"/>
        <v>0</v>
      </c>
    </row>
    <row r="668" spans="1:15" ht="15.9" customHeight="1">
      <c r="A668" s="48"/>
      <c r="B668" s="49"/>
      <c r="C668" s="51"/>
      <c r="D668" s="52"/>
      <c r="E668" s="52"/>
      <c r="F668" s="11"/>
      <c r="G668" s="52">
        <f t="shared" si="155"/>
        <v>0</v>
      </c>
      <c r="H668" s="11"/>
      <c r="I668" s="11"/>
      <c r="J668" s="11"/>
      <c r="K668" s="57"/>
      <c r="L668" s="52">
        <f t="shared" si="156"/>
        <v>0</v>
      </c>
      <c r="M668" s="52">
        <f t="shared" si="157"/>
        <v>0</v>
      </c>
      <c r="N668" s="52">
        <f t="shared" si="158"/>
        <v>0</v>
      </c>
      <c r="O668" s="52">
        <f t="shared" si="159"/>
        <v>0</v>
      </c>
    </row>
    <row r="669" spans="1:15" ht="15.9" customHeight="1">
      <c r="A669" s="48"/>
      <c r="B669" s="49"/>
      <c r="C669" s="52"/>
      <c r="D669" s="52"/>
      <c r="E669" s="52"/>
      <c r="F669" s="11"/>
      <c r="G669" s="52">
        <f t="shared" si="155"/>
        <v>0</v>
      </c>
      <c r="H669" s="11"/>
      <c r="I669" s="11"/>
      <c r="J669" s="11"/>
      <c r="K669" s="57"/>
      <c r="L669" s="52">
        <f t="shared" si="156"/>
        <v>0</v>
      </c>
      <c r="M669" s="52">
        <f t="shared" si="157"/>
        <v>0</v>
      </c>
      <c r="N669" s="52">
        <f t="shared" si="158"/>
        <v>0</v>
      </c>
      <c r="O669" s="52">
        <f t="shared" si="159"/>
        <v>0</v>
      </c>
    </row>
    <row r="670" spans="1:15" ht="15.9" customHeight="1">
      <c r="A670" s="48"/>
      <c r="B670" s="49"/>
      <c r="C670" s="52"/>
      <c r="D670" s="52"/>
      <c r="E670" s="52"/>
      <c r="F670" s="11"/>
      <c r="G670" s="52">
        <f t="shared" si="155"/>
        <v>0</v>
      </c>
      <c r="H670" s="11"/>
      <c r="I670" s="11"/>
      <c r="J670" s="11"/>
      <c r="K670" s="57"/>
      <c r="L670" s="52">
        <f t="shared" si="156"/>
        <v>0</v>
      </c>
      <c r="M670" s="52">
        <f t="shared" si="157"/>
        <v>0</v>
      </c>
      <c r="N670" s="52">
        <f t="shared" si="158"/>
        <v>0</v>
      </c>
      <c r="O670" s="52">
        <f t="shared" si="159"/>
        <v>0</v>
      </c>
    </row>
    <row r="671" spans="1:15" ht="15.9" customHeight="1">
      <c r="A671" s="48"/>
      <c r="B671" s="49"/>
      <c r="C671" s="52"/>
      <c r="D671" s="52"/>
      <c r="E671" s="52"/>
      <c r="F671" s="11"/>
      <c r="G671" s="52">
        <f t="shared" si="155"/>
        <v>0</v>
      </c>
      <c r="H671" s="11"/>
      <c r="I671" s="11"/>
      <c r="J671" s="11"/>
      <c r="K671" s="57"/>
      <c r="L671" s="52">
        <f t="shared" si="156"/>
        <v>0</v>
      </c>
      <c r="M671" s="52">
        <f t="shared" si="157"/>
        <v>0</v>
      </c>
      <c r="N671" s="52">
        <f t="shared" si="158"/>
        <v>0</v>
      </c>
      <c r="O671" s="52">
        <f t="shared" si="159"/>
        <v>0</v>
      </c>
    </row>
    <row r="672" spans="1:15" ht="15.9" customHeight="1">
      <c r="A672" s="48"/>
      <c r="B672" s="49"/>
      <c r="C672" s="51"/>
      <c r="D672" s="52"/>
      <c r="E672" s="52"/>
      <c r="F672" s="11"/>
      <c r="G672" s="52">
        <f t="shared" si="155"/>
        <v>0</v>
      </c>
      <c r="H672" s="11"/>
      <c r="I672" s="11"/>
      <c r="J672" s="11"/>
      <c r="K672" s="57"/>
      <c r="L672" s="52">
        <f t="shared" si="156"/>
        <v>0</v>
      </c>
      <c r="M672" s="52">
        <f t="shared" si="157"/>
        <v>0</v>
      </c>
      <c r="N672" s="52">
        <f t="shared" si="158"/>
        <v>0</v>
      </c>
      <c r="O672" s="52">
        <f t="shared" si="159"/>
        <v>0</v>
      </c>
    </row>
    <row r="673" spans="1:15" ht="15.9" customHeight="1">
      <c r="A673" s="48"/>
      <c r="B673" s="49"/>
      <c r="C673" s="52"/>
      <c r="D673" s="52"/>
      <c r="E673" s="52"/>
      <c r="F673" s="11"/>
      <c r="G673" s="52">
        <f t="shared" si="155"/>
        <v>0</v>
      </c>
      <c r="H673" s="11"/>
      <c r="I673" s="11"/>
      <c r="J673" s="11"/>
      <c r="K673" s="57"/>
      <c r="L673" s="52">
        <f t="shared" si="156"/>
        <v>0</v>
      </c>
      <c r="M673" s="52">
        <f t="shared" si="157"/>
        <v>0</v>
      </c>
      <c r="N673" s="52">
        <f t="shared" si="158"/>
        <v>0</v>
      </c>
      <c r="O673" s="52">
        <f t="shared" si="159"/>
        <v>0</v>
      </c>
    </row>
    <row r="674" spans="1:15" ht="15.9" customHeight="1">
      <c r="A674" s="48"/>
      <c r="B674" s="49"/>
      <c r="C674" s="51"/>
      <c r="D674" s="52"/>
      <c r="E674" s="52"/>
      <c r="F674" s="11"/>
      <c r="G674" s="52">
        <f t="shared" ref="G674:G703" si="160">E674*(100-F674)/100</f>
        <v>0</v>
      </c>
      <c r="H674" s="11"/>
      <c r="I674" s="11"/>
      <c r="J674" s="11"/>
      <c r="K674" s="57"/>
      <c r="L674" s="52">
        <f t="shared" ref="L674:L703" si="161">G674*H674/100</f>
        <v>0</v>
      </c>
      <c r="M674" s="52">
        <f t="shared" ref="M674:M703" si="162">G674*I674/100</f>
        <v>0</v>
      </c>
      <c r="N674" s="52">
        <f t="shared" ref="N674:N703" si="163">G674*J674/100</f>
        <v>0</v>
      </c>
      <c r="O674" s="52">
        <f t="shared" ref="O674:O703" si="164">G674*K674/1000</f>
        <v>0</v>
      </c>
    </row>
    <row r="675" spans="1:15" ht="15.9" customHeight="1">
      <c r="A675" s="48"/>
      <c r="B675" s="49"/>
      <c r="C675" s="51"/>
      <c r="D675" s="52"/>
      <c r="E675" s="52"/>
      <c r="F675" s="11"/>
      <c r="G675" s="52">
        <f t="shared" si="160"/>
        <v>0</v>
      </c>
      <c r="H675" s="11"/>
      <c r="I675" s="11"/>
      <c r="J675" s="11"/>
      <c r="K675" s="57"/>
      <c r="L675" s="52">
        <f t="shared" si="161"/>
        <v>0</v>
      </c>
      <c r="M675" s="52">
        <f t="shared" si="162"/>
        <v>0</v>
      </c>
      <c r="N675" s="52">
        <f t="shared" si="163"/>
        <v>0</v>
      </c>
      <c r="O675" s="52">
        <f t="shared" si="164"/>
        <v>0</v>
      </c>
    </row>
    <row r="676" spans="1:15" ht="15.9" customHeight="1">
      <c r="A676" s="48"/>
      <c r="B676" s="49"/>
      <c r="C676" s="51"/>
      <c r="D676" s="52"/>
      <c r="E676" s="52"/>
      <c r="F676" s="11"/>
      <c r="G676" s="52">
        <f t="shared" si="160"/>
        <v>0</v>
      </c>
      <c r="H676" s="11"/>
      <c r="I676" s="11"/>
      <c r="J676" s="11"/>
      <c r="K676" s="57"/>
      <c r="L676" s="52">
        <f t="shared" si="161"/>
        <v>0</v>
      </c>
      <c r="M676" s="52">
        <f t="shared" si="162"/>
        <v>0</v>
      </c>
      <c r="N676" s="52">
        <f t="shared" si="163"/>
        <v>0</v>
      </c>
      <c r="O676" s="52">
        <f t="shared" si="164"/>
        <v>0</v>
      </c>
    </row>
    <row r="677" spans="1:15" ht="15.9" customHeight="1">
      <c r="A677" s="48"/>
      <c r="B677" s="49"/>
      <c r="C677" s="51"/>
      <c r="D677" s="52"/>
      <c r="E677" s="52"/>
      <c r="F677" s="11"/>
      <c r="G677" s="52">
        <f t="shared" si="160"/>
        <v>0</v>
      </c>
      <c r="H677" s="11"/>
      <c r="I677" s="11"/>
      <c r="J677" s="11"/>
      <c r="K677" s="57"/>
      <c r="L677" s="52">
        <f t="shared" si="161"/>
        <v>0</v>
      </c>
      <c r="M677" s="52">
        <f t="shared" si="162"/>
        <v>0</v>
      </c>
      <c r="N677" s="52">
        <f t="shared" si="163"/>
        <v>0</v>
      </c>
      <c r="O677" s="52">
        <f t="shared" si="164"/>
        <v>0</v>
      </c>
    </row>
    <row r="678" spans="1:15" ht="15.9" customHeight="1">
      <c r="A678" s="48"/>
      <c r="B678" s="49"/>
      <c r="C678" s="51"/>
      <c r="D678" s="52"/>
      <c r="E678" s="52"/>
      <c r="F678" s="11"/>
      <c r="G678" s="52">
        <f t="shared" si="160"/>
        <v>0</v>
      </c>
      <c r="H678" s="11"/>
      <c r="I678" s="11"/>
      <c r="J678" s="11"/>
      <c r="K678" s="57"/>
      <c r="L678" s="52">
        <f t="shared" si="161"/>
        <v>0</v>
      </c>
      <c r="M678" s="52">
        <f t="shared" si="162"/>
        <v>0</v>
      </c>
      <c r="N678" s="52">
        <f t="shared" si="163"/>
        <v>0</v>
      </c>
      <c r="O678" s="52">
        <f t="shared" si="164"/>
        <v>0</v>
      </c>
    </row>
    <row r="679" spans="1:15" ht="15.9" customHeight="1">
      <c r="A679" s="48"/>
      <c r="B679" s="49"/>
      <c r="C679" s="51"/>
      <c r="D679" s="52"/>
      <c r="E679" s="52"/>
      <c r="F679" s="11"/>
      <c r="G679" s="52">
        <f t="shared" si="160"/>
        <v>0</v>
      </c>
      <c r="H679" s="11"/>
      <c r="I679" s="11"/>
      <c r="J679" s="11"/>
      <c r="K679" s="57"/>
      <c r="L679" s="52">
        <f t="shared" si="161"/>
        <v>0</v>
      </c>
      <c r="M679" s="52">
        <f t="shared" si="162"/>
        <v>0</v>
      </c>
      <c r="N679" s="52">
        <f t="shared" si="163"/>
        <v>0</v>
      </c>
      <c r="O679" s="52">
        <f t="shared" si="164"/>
        <v>0</v>
      </c>
    </row>
    <row r="680" spans="1:15" ht="15.9" customHeight="1">
      <c r="A680" s="48"/>
      <c r="B680" s="49"/>
      <c r="C680" s="51"/>
      <c r="D680" s="52"/>
      <c r="E680" s="52"/>
      <c r="F680" s="11"/>
      <c r="G680" s="52">
        <f t="shared" si="160"/>
        <v>0</v>
      </c>
      <c r="H680" s="11"/>
      <c r="I680" s="11"/>
      <c r="J680" s="11"/>
      <c r="K680" s="57"/>
      <c r="L680" s="52">
        <f t="shared" si="161"/>
        <v>0</v>
      </c>
      <c r="M680" s="52">
        <f t="shared" si="162"/>
        <v>0</v>
      </c>
      <c r="N680" s="52">
        <f t="shared" si="163"/>
        <v>0</v>
      </c>
      <c r="O680" s="52">
        <f t="shared" si="164"/>
        <v>0</v>
      </c>
    </row>
    <row r="681" spans="1:15" ht="15.9" customHeight="1">
      <c r="A681" s="48"/>
      <c r="B681" s="49"/>
      <c r="C681" s="51"/>
      <c r="D681" s="52"/>
      <c r="E681" s="52"/>
      <c r="F681" s="11"/>
      <c r="G681" s="52">
        <f t="shared" si="160"/>
        <v>0</v>
      </c>
      <c r="H681" s="11"/>
      <c r="I681" s="11"/>
      <c r="J681" s="11"/>
      <c r="K681" s="57"/>
      <c r="L681" s="52">
        <f t="shared" si="161"/>
        <v>0</v>
      </c>
      <c r="M681" s="52">
        <f t="shared" si="162"/>
        <v>0</v>
      </c>
      <c r="N681" s="52">
        <f t="shared" si="163"/>
        <v>0</v>
      </c>
      <c r="O681" s="52">
        <f t="shared" si="164"/>
        <v>0</v>
      </c>
    </row>
    <row r="682" spans="1:15" ht="15.9" customHeight="1">
      <c r="A682" s="48"/>
      <c r="B682" s="49"/>
      <c r="C682" s="51"/>
      <c r="D682" s="52"/>
      <c r="E682" s="52"/>
      <c r="F682" s="11"/>
      <c r="G682" s="52">
        <f t="shared" si="160"/>
        <v>0</v>
      </c>
      <c r="H682" s="11"/>
      <c r="I682" s="11"/>
      <c r="J682" s="11"/>
      <c r="K682" s="57"/>
      <c r="L682" s="52">
        <f t="shared" si="161"/>
        <v>0</v>
      </c>
      <c r="M682" s="52">
        <f t="shared" si="162"/>
        <v>0</v>
      </c>
      <c r="N682" s="52">
        <f t="shared" si="163"/>
        <v>0</v>
      </c>
      <c r="O682" s="52">
        <f t="shared" si="164"/>
        <v>0</v>
      </c>
    </row>
    <row r="683" spans="1:15" ht="15.9" customHeight="1">
      <c r="A683" s="48"/>
      <c r="B683" s="49"/>
      <c r="C683" s="51"/>
      <c r="D683" s="52"/>
      <c r="E683" s="52"/>
      <c r="F683" s="11"/>
      <c r="G683" s="52">
        <f t="shared" si="160"/>
        <v>0</v>
      </c>
      <c r="H683" s="11"/>
      <c r="I683" s="11"/>
      <c r="J683" s="11"/>
      <c r="K683" s="57"/>
      <c r="L683" s="52">
        <f t="shared" si="161"/>
        <v>0</v>
      </c>
      <c r="M683" s="52">
        <f t="shared" si="162"/>
        <v>0</v>
      </c>
      <c r="N683" s="52">
        <f t="shared" si="163"/>
        <v>0</v>
      </c>
      <c r="O683" s="52">
        <f t="shared" si="164"/>
        <v>0</v>
      </c>
    </row>
    <row r="684" spans="1:15" ht="15.9" customHeight="1">
      <c r="A684" s="48"/>
      <c r="B684" s="49"/>
      <c r="C684" s="51"/>
      <c r="D684" s="52"/>
      <c r="E684" s="52"/>
      <c r="F684" s="11"/>
      <c r="G684" s="52">
        <f t="shared" si="160"/>
        <v>0</v>
      </c>
      <c r="H684" s="11"/>
      <c r="I684" s="11"/>
      <c r="J684" s="11"/>
      <c r="K684" s="57"/>
      <c r="L684" s="52">
        <f t="shared" si="161"/>
        <v>0</v>
      </c>
      <c r="M684" s="52">
        <f t="shared" si="162"/>
        <v>0</v>
      </c>
      <c r="N684" s="52">
        <f t="shared" si="163"/>
        <v>0</v>
      </c>
      <c r="O684" s="52">
        <f t="shared" si="164"/>
        <v>0</v>
      </c>
    </row>
    <row r="685" spans="1:15" ht="15.9" customHeight="1">
      <c r="A685" s="48"/>
      <c r="B685" s="49"/>
      <c r="C685" s="51"/>
      <c r="D685" s="52"/>
      <c r="E685" s="52"/>
      <c r="F685" s="11"/>
      <c r="G685" s="52">
        <f t="shared" si="160"/>
        <v>0</v>
      </c>
      <c r="H685" s="11"/>
      <c r="I685" s="11"/>
      <c r="J685" s="11"/>
      <c r="K685" s="57"/>
      <c r="L685" s="52">
        <f t="shared" si="161"/>
        <v>0</v>
      </c>
      <c r="M685" s="52">
        <f t="shared" si="162"/>
        <v>0</v>
      </c>
      <c r="N685" s="52">
        <f t="shared" si="163"/>
        <v>0</v>
      </c>
      <c r="O685" s="52">
        <f t="shared" si="164"/>
        <v>0</v>
      </c>
    </row>
    <row r="686" spans="1:15" ht="15.9" customHeight="1">
      <c r="A686" s="48"/>
      <c r="B686" s="49"/>
      <c r="C686" s="51"/>
      <c r="D686" s="52"/>
      <c r="E686" s="52"/>
      <c r="F686" s="11"/>
      <c r="G686" s="52">
        <f t="shared" si="160"/>
        <v>0</v>
      </c>
      <c r="H686" s="11"/>
      <c r="I686" s="11"/>
      <c r="J686" s="11"/>
      <c r="K686" s="57"/>
      <c r="L686" s="52">
        <f t="shared" si="161"/>
        <v>0</v>
      </c>
      <c r="M686" s="52">
        <f t="shared" si="162"/>
        <v>0</v>
      </c>
      <c r="N686" s="52">
        <f t="shared" si="163"/>
        <v>0</v>
      </c>
      <c r="O686" s="52">
        <f t="shared" si="164"/>
        <v>0</v>
      </c>
    </row>
    <row r="687" spans="1:15" ht="15.9" customHeight="1">
      <c r="A687" s="48"/>
      <c r="B687" s="49"/>
      <c r="C687" s="51"/>
      <c r="D687" s="52"/>
      <c r="E687" s="52"/>
      <c r="F687" s="11"/>
      <c r="G687" s="52">
        <f t="shared" si="160"/>
        <v>0</v>
      </c>
      <c r="H687" s="11"/>
      <c r="I687" s="11"/>
      <c r="J687" s="11"/>
      <c r="K687" s="57"/>
      <c r="L687" s="52">
        <f t="shared" si="161"/>
        <v>0</v>
      </c>
      <c r="M687" s="52">
        <f t="shared" si="162"/>
        <v>0</v>
      </c>
      <c r="N687" s="52">
        <f t="shared" si="163"/>
        <v>0</v>
      </c>
      <c r="O687" s="52">
        <f t="shared" si="164"/>
        <v>0</v>
      </c>
    </row>
    <row r="688" spans="1:15" ht="15.9" customHeight="1">
      <c r="A688" s="48"/>
      <c r="B688" s="49"/>
      <c r="C688" s="51"/>
      <c r="D688" s="52"/>
      <c r="E688" s="52"/>
      <c r="F688" s="11"/>
      <c r="G688" s="52">
        <f t="shared" si="160"/>
        <v>0</v>
      </c>
      <c r="H688" s="11"/>
      <c r="I688" s="11"/>
      <c r="J688" s="11"/>
      <c r="K688" s="57"/>
      <c r="L688" s="52">
        <f t="shared" si="161"/>
        <v>0</v>
      </c>
      <c r="M688" s="52">
        <f t="shared" si="162"/>
        <v>0</v>
      </c>
      <c r="N688" s="52">
        <f t="shared" si="163"/>
        <v>0</v>
      </c>
      <c r="O688" s="52">
        <f t="shared" si="164"/>
        <v>0</v>
      </c>
    </row>
    <row r="689" spans="1:15" ht="15.9" customHeight="1">
      <c r="A689" s="48"/>
      <c r="B689" s="49"/>
      <c r="C689" s="52"/>
      <c r="D689" s="52"/>
      <c r="E689" s="52"/>
      <c r="F689" s="11"/>
      <c r="G689" s="52">
        <f t="shared" si="160"/>
        <v>0</v>
      </c>
      <c r="H689" s="11"/>
      <c r="I689" s="11"/>
      <c r="J689" s="11"/>
      <c r="K689" s="57"/>
      <c r="L689" s="52">
        <f t="shared" si="161"/>
        <v>0</v>
      </c>
      <c r="M689" s="52">
        <f t="shared" si="162"/>
        <v>0</v>
      </c>
      <c r="N689" s="52">
        <f t="shared" si="163"/>
        <v>0</v>
      </c>
      <c r="O689" s="52">
        <f t="shared" si="164"/>
        <v>0</v>
      </c>
    </row>
    <row r="690" spans="1:15" ht="15.9" customHeight="1">
      <c r="A690" s="48"/>
      <c r="B690" s="49"/>
      <c r="C690" s="52"/>
      <c r="D690" s="52"/>
      <c r="E690" s="52"/>
      <c r="F690" s="11"/>
      <c r="G690" s="52">
        <f t="shared" si="160"/>
        <v>0</v>
      </c>
      <c r="H690" s="11"/>
      <c r="I690" s="11"/>
      <c r="J690" s="11"/>
      <c r="K690" s="57"/>
      <c r="L690" s="52">
        <f t="shared" si="161"/>
        <v>0</v>
      </c>
      <c r="M690" s="52">
        <f t="shared" si="162"/>
        <v>0</v>
      </c>
      <c r="N690" s="52">
        <f t="shared" si="163"/>
        <v>0</v>
      </c>
      <c r="O690" s="52">
        <f t="shared" si="164"/>
        <v>0</v>
      </c>
    </row>
    <row r="691" spans="1:15" ht="15.9" customHeight="1">
      <c r="A691" s="48"/>
      <c r="B691" s="49"/>
      <c r="C691" s="52"/>
      <c r="D691" s="52"/>
      <c r="E691" s="52"/>
      <c r="F691" s="11"/>
      <c r="G691" s="52">
        <f t="shared" si="160"/>
        <v>0</v>
      </c>
      <c r="H691" s="11"/>
      <c r="I691" s="11"/>
      <c r="J691" s="11"/>
      <c r="K691" s="57"/>
      <c r="L691" s="52">
        <f t="shared" si="161"/>
        <v>0</v>
      </c>
      <c r="M691" s="52">
        <f t="shared" si="162"/>
        <v>0</v>
      </c>
      <c r="N691" s="52">
        <f t="shared" si="163"/>
        <v>0</v>
      </c>
      <c r="O691" s="52">
        <f t="shared" si="164"/>
        <v>0</v>
      </c>
    </row>
    <row r="692" spans="1:15" ht="15.9" customHeight="1">
      <c r="A692" s="48"/>
      <c r="B692" s="49"/>
      <c r="C692" s="52"/>
      <c r="D692" s="52"/>
      <c r="E692" s="52"/>
      <c r="F692" s="11"/>
      <c r="G692" s="52">
        <f t="shared" si="160"/>
        <v>0</v>
      </c>
      <c r="H692" s="11"/>
      <c r="I692" s="11"/>
      <c r="J692" s="11"/>
      <c r="K692" s="57"/>
      <c r="L692" s="52">
        <f t="shared" si="161"/>
        <v>0</v>
      </c>
      <c r="M692" s="52">
        <f t="shared" si="162"/>
        <v>0</v>
      </c>
      <c r="N692" s="52">
        <f t="shared" si="163"/>
        <v>0</v>
      </c>
      <c r="O692" s="52">
        <f t="shared" si="164"/>
        <v>0</v>
      </c>
    </row>
    <row r="693" spans="1:15" ht="15.9" customHeight="1">
      <c r="A693" s="48"/>
      <c r="B693" s="49"/>
      <c r="C693" s="52"/>
      <c r="D693" s="52"/>
      <c r="E693" s="52"/>
      <c r="F693" s="11"/>
      <c r="G693" s="52">
        <f t="shared" si="160"/>
        <v>0</v>
      </c>
      <c r="H693" s="11"/>
      <c r="I693" s="11"/>
      <c r="J693" s="11"/>
      <c r="K693" s="57"/>
      <c r="L693" s="52">
        <f t="shared" si="161"/>
        <v>0</v>
      </c>
      <c r="M693" s="52">
        <f t="shared" si="162"/>
        <v>0</v>
      </c>
      <c r="N693" s="52">
        <f t="shared" si="163"/>
        <v>0</v>
      </c>
      <c r="O693" s="52">
        <f t="shared" si="164"/>
        <v>0</v>
      </c>
    </row>
    <row r="694" spans="1:15" ht="15.9" customHeight="1">
      <c r="A694" s="48"/>
      <c r="B694" s="49"/>
      <c r="C694" s="52"/>
      <c r="D694" s="52"/>
      <c r="E694" s="52"/>
      <c r="F694" s="11"/>
      <c r="G694" s="52">
        <f t="shared" si="160"/>
        <v>0</v>
      </c>
      <c r="H694" s="11"/>
      <c r="I694" s="11"/>
      <c r="J694" s="11"/>
      <c r="K694" s="57"/>
      <c r="L694" s="52">
        <f t="shared" si="161"/>
        <v>0</v>
      </c>
      <c r="M694" s="52">
        <f t="shared" si="162"/>
        <v>0</v>
      </c>
      <c r="N694" s="52">
        <f t="shared" si="163"/>
        <v>0</v>
      </c>
      <c r="O694" s="52">
        <f t="shared" si="164"/>
        <v>0</v>
      </c>
    </row>
    <row r="695" spans="1:15" ht="15.9" customHeight="1">
      <c r="A695" s="48"/>
      <c r="B695" s="49"/>
      <c r="C695" s="52"/>
      <c r="D695" s="52"/>
      <c r="E695" s="52"/>
      <c r="F695" s="11"/>
      <c r="G695" s="52">
        <f t="shared" si="160"/>
        <v>0</v>
      </c>
      <c r="H695" s="11"/>
      <c r="I695" s="11"/>
      <c r="J695" s="11"/>
      <c r="K695" s="57"/>
      <c r="L695" s="52">
        <f t="shared" si="161"/>
        <v>0</v>
      </c>
      <c r="M695" s="52">
        <f t="shared" si="162"/>
        <v>0</v>
      </c>
      <c r="N695" s="52">
        <f t="shared" si="163"/>
        <v>0</v>
      </c>
      <c r="O695" s="52">
        <f t="shared" si="164"/>
        <v>0</v>
      </c>
    </row>
    <row r="696" spans="1:15" ht="15.9" customHeight="1">
      <c r="A696" s="48"/>
      <c r="B696" s="49"/>
      <c r="C696" s="52"/>
      <c r="D696" s="52"/>
      <c r="E696" s="52"/>
      <c r="F696" s="11"/>
      <c r="G696" s="52">
        <f t="shared" si="160"/>
        <v>0</v>
      </c>
      <c r="H696" s="11"/>
      <c r="I696" s="11"/>
      <c r="J696" s="11"/>
      <c r="K696" s="57"/>
      <c r="L696" s="52">
        <f t="shared" si="161"/>
        <v>0</v>
      </c>
      <c r="M696" s="52">
        <f t="shared" si="162"/>
        <v>0</v>
      </c>
      <c r="N696" s="52">
        <f t="shared" si="163"/>
        <v>0</v>
      </c>
      <c r="O696" s="52">
        <f t="shared" si="164"/>
        <v>0</v>
      </c>
    </row>
    <row r="697" spans="1:15" ht="15.9" customHeight="1">
      <c r="A697" s="48"/>
      <c r="B697" s="49"/>
      <c r="C697" s="52"/>
      <c r="D697" s="52"/>
      <c r="E697" s="52"/>
      <c r="F697" s="11"/>
      <c r="G697" s="52">
        <f t="shared" si="160"/>
        <v>0</v>
      </c>
      <c r="H697" s="11"/>
      <c r="I697" s="11"/>
      <c r="J697" s="11"/>
      <c r="K697" s="57"/>
      <c r="L697" s="52">
        <f t="shared" si="161"/>
        <v>0</v>
      </c>
      <c r="M697" s="52">
        <f t="shared" si="162"/>
        <v>0</v>
      </c>
      <c r="N697" s="52">
        <f t="shared" si="163"/>
        <v>0</v>
      </c>
      <c r="O697" s="52">
        <f t="shared" si="164"/>
        <v>0</v>
      </c>
    </row>
    <row r="698" spans="1:15" ht="15.9" customHeight="1">
      <c r="A698" s="48"/>
      <c r="B698" s="49"/>
      <c r="C698" s="51"/>
      <c r="D698" s="52"/>
      <c r="E698" s="52"/>
      <c r="F698" s="11"/>
      <c r="G698" s="52">
        <f t="shared" si="160"/>
        <v>0</v>
      </c>
      <c r="H698" s="11"/>
      <c r="I698" s="11"/>
      <c r="J698" s="11"/>
      <c r="K698" s="57"/>
      <c r="L698" s="52">
        <f t="shared" si="161"/>
        <v>0</v>
      </c>
      <c r="M698" s="52">
        <f t="shared" si="162"/>
        <v>0</v>
      </c>
      <c r="N698" s="52">
        <f t="shared" si="163"/>
        <v>0</v>
      </c>
      <c r="O698" s="52">
        <f t="shared" si="164"/>
        <v>0</v>
      </c>
    </row>
    <row r="699" spans="1:15" ht="15.9" customHeight="1">
      <c r="A699" s="48"/>
      <c r="B699" s="49"/>
      <c r="C699" s="51"/>
      <c r="D699" s="52"/>
      <c r="E699" s="52"/>
      <c r="F699" s="11"/>
      <c r="G699" s="52">
        <f t="shared" si="160"/>
        <v>0</v>
      </c>
      <c r="H699" s="11"/>
      <c r="I699" s="11"/>
      <c r="J699" s="11"/>
      <c r="K699" s="57"/>
      <c r="L699" s="52">
        <f t="shared" si="161"/>
        <v>0</v>
      </c>
      <c r="M699" s="52">
        <f t="shared" si="162"/>
        <v>0</v>
      </c>
      <c r="N699" s="52">
        <f t="shared" si="163"/>
        <v>0</v>
      </c>
      <c r="O699" s="52">
        <f t="shared" si="164"/>
        <v>0</v>
      </c>
    </row>
    <row r="700" spans="1:15" ht="15.9" customHeight="1">
      <c r="A700" s="48"/>
      <c r="B700" s="49"/>
      <c r="C700" s="51"/>
      <c r="D700" s="52"/>
      <c r="E700" s="52"/>
      <c r="F700" s="11"/>
      <c r="G700" s="52">
        <f t="shared" si="160"/>
        <v>0</v>
      </c>
      <c r="H700" s="11"/>
      <c r="I700" s="11"/>
      <c r="J700" s="11"/>
      <c r="K700" s="57"/>
      <c r="L700" s="52">
        <f t="shared" si="161"/>
        <v>0</v>
      </c>
      <c r="M700" s="52">
        <f t="shared" si="162"/>
        <v>0</v>
      </c>
      <c r="N700" s="52">
        <f t="shared" si="163"/>
        <v>0</v>
      </c>
      <c r="O700" s="52">
        <f t="shared" si="164"/>
        <v>0</v>
      </c>
    </row>
    <row r="701" spans="1:15" ht="15.9" customHeight="1">
      <c r="A701" s="48"/>
      <c r="B701" s="49"/>
      <c r="C701" s="51"/>
      <c r="D701" s="52"/>
      <c r="E701" s="52"/>
      <c r="F701" s="11"/>
      <c r="G701" s="52">
        <f t="shared" si="160"/>
        <v>0</v>
      </c>
      <c r="H701" s="11"/>
      <c r="I701" s="11"/>
      <c r="J701" s="11"/>
      <c r="K701" s="57"/>
      <c r="L701" s="52">
        <f t="shared" si="161"/>
        <v>0</v>
      </c>
      <c r="M701" s="52">
        <f t="shared" si="162"/>
        <v>0</v>
      </c>
      <c r="N701" s="52">
        <f t="shared" si="163"/>
        <v>0</v>
      </c>
      <c r="O701" s="52">
        <f t="shared" si="164"/>
        <v>0</v>
      </c>
    </row>
    <row r="702" spans="1:15" ht="15.9" customHeight="1">
      <c r="A702" s="48"/>
      <c r="B702" s="49"/>
      <c r="C702" s="51"/>
      <c r="D702" s="52"/>
      <c r="E702" s="52"/>
      <c r="F702" s="11"/>
      <c r="G702" s="52">
        <f t="shared" si="160"/>
        <v>0</v>
      </c>
      <c r="H702" s="11"/>
      <c r="I702" s="11"/>
      <c r="J702" s="11"/>
      <c r="K702" s="57"/>
      <c r="L702" s="52">
        <f t="shared" si="161"/>
        <v>0</v>
      </c>
      <c r="M702" s="52">
        <f t="shared" si="162"/>
        <v>0</v>
      </c>
      <c r="N702" s="52">
        <f t="shared" si="163"/>
        <v>0</v>
      </c>
      <c r="O702" s="52">
        <f t="shared" si="164"/>
        <v>0</v>
      </c>
    </row>
    <row r="703" spans="1:15" ht="15.9" customHeight="1">
      <c r="A703" s="48"/>
      <c r="B703" s="48"/>
      <c r="C703" s="51"/>
      <c r="D703" s="52"/>
      <c r="E703" s="52"/>
      <c r="F703" s="52"/>
      <c r="G703" s="52">
        <f t="shared" si="160"/>
        <v>0</v>
      </c>
      <c r="H703" s="11"/>
      <c r="I703" s="11"/>
      <c r="J703" s="11"/>
      <c r="K703" s="57"/>
      <c r="L703" s="52">
        <f t="shared" si="161"/>
        <v>0</v>
      </c>
      <c r="M703" s="52">
        <f t="shared" si="162"/>
        <v>0</v>
      </c>
      <c r="N703" s="52">
        <f t="shared" si="163"/>
        <v>0</v>
      </c>
      <c r="O703" s="52">
        <f t="shared" si="164"/>
        <v>0</v>
      </c>
    </row>
    <row r="704" spans="1:15" ht="15.9" customHeight="1">
      <c r="A704" s="48"/>
      <c r="B704" s="49"/>
      <c r="C704" s="52"/>
      <c r="D704" s="52"/>
      <c r="E704" s="52"/>
      <c r="F704" s="11"/>
      <c r="G704" s="52">
        <f t="shared" si="110"/>
        <v>0</v>
      </c>
      <c r="H704" s="11"/>
      <c r="I704" s="11"/>
      <c r="J704" s="11"/>
      <c r="K704" s="57"/>
      <c r="L704" s="52">
        <f t="shared" si="143"/>
        <v>0</v>
      </c>
      <c r="M704" s="52">
        <f t="shared" si="144"/>
        <v>0</v>
      </c>
      <c r="N704" s="52">
        <f t="shared" si="145"/>
        <v>0</v>
      </c>
      <c r="O704" s="52">
        <f t="shared" si="146"/>
        <v>0</v>
      </c>
    </row>
    <row r="705" spans="1:15" ht="15.9" customHeight="1">
      <c r="A705" s="48"/>
      <c r="B705" s="49"/>
      <c r="C705" s="52"/>
      <c r="D705" s="52"/>
      <c r="E705" s="52"/>
      <c r="F705" s="11"/>
      <c r="G705" s="52">
        <f t="shared" si="110"/>
        <v>0</v>
      </c>
      <c r="H705" s="11"/>
      <c r="I705" s="11"/>
      <c r="J705" s="11"/>
      <c r="K705" s="57"/>
      <c r="L705" s="52">
        <f t="shared" si="127"/>
        <v>0</v>
      </c>
      <c r="M705" s="52">
        <f t="shared" si="128"/>
        <v>0</v>
      </c>
      <c r="N705" s="52">
        <f t="shared" si="129"/>
        <v>0</v>
      </c>
      <c r="O705" s="52">
        <f t="shared" si="130"/>
        <v>0</v>
      </c>
    </row>
    <row r="706" spans="1:15" ht="15.9" customHeight="1">
      <c r="A706" s="48"/>
      <c r="B706" s="49"/>
      <c r="C706" s="52"/>
      <c r="D706" s="52"/>
      <c r="E706" s="52"/>
      <c r="F706" s="11"/>
      <c r="G706" s="52">
        <f t="shared" si="110"/>
        <v>0</v>
      </c>
      <c r="H706" s="11"/>
      <c r="I706" s="11"/>
      <c r="J706" s="11"/>
      <c r="K706" s="57"/>
      <c r="L706" s="52">
        <f t="shared" si="127"/>
        <v>0</v>
      </c>
      <c r="M706" s="52">
        <f t="shared" si="128"/>
        <v>0</v>
      </c>
      <c r="N706" s="52">
        <f t="shared" si="129"/>
        <v>0</v>
      </c>
      <c r="O706" s="52">
        <f t="shared" si="130"/>
        <v>0</v>
      </c>
    </row>
    <row r="707" spans="1:15" ht="15.9" customHeight="1">
      <c r="A707" s="48"/>
      <c r="B707" s="49"/>
      <c r="C707" s="52"/>
      <c r="D707" s="52"/>
      <c r="E707" s="52"/>
      <c r="F707" s="11"/>
      <c r="G707" s="52">
        <f t="shared" si="110"/>
        <v>0</v>
      </c>
      <c r="H707" s="11"/>
      <c r="I707" s="11"/>
      <c r="J707" s="11"/>
      <c r="K707" s="57"/>
      <c r="L707" s="52">
        <f>G707*H707/100</f>
        <v>0</v>
      </c>
      <c r="M707" s="52">
        <f t="shared" si="128"/>
        <v>0</v>
      </c>
      <c r="N707" s="52">
        <f t="shared" si="129"/>
        <v>0</v>
      </c>
      <c r="O707" s="52">
        <f t="shared" si="130"/>
        <v>0</v>
      </c>
    </row>
    <row r="708" spans="1:15" ht="15.9" customHeight="1">
      <c r="A708" s="48"/>
      <c r="B708" s="49"/>
      <c r="C708" s="52"/>
      <c r="D708" s="52"/>
      <c r="E708" s="52"/>
      <c r="F708" s="11"/>
      <c r="G708" s="52">
        <f t="shared" si="110"/>
        <v>0</v>
      </c>
      <c r="H708" s="11"/>
      <c r="I708" s="11"/>
      <c r="J708" s="11"/>
      <c r="K708" s="57"/>
      <c r="L708" s="52">
        <f t="shared" ref="L708:L722" si="165">G708*H708/100</f>
        <v>0</v>
      </c>
      <c r="M708" s="52">
        <f t="shared" ref="M708:M722" si="166">G708*I708/100</f>
        <v>0</v>
      </c>
      <c r="N708" s="52">
        <f t="shared" ref="N708:N722" si="167">G708*J708/100</f>
        <v>0</v>
      </c>
      <c r="O708" s="52">
        <f t="shared" ref="O708:O722" si="168">G708*K708/1000</f>
        <v>0</v>
      </c>
    </row>
    <row r="709" spans="1:15" ht="15.9" customHeight="1">
      <c r="A709" s="48"/>
      <c r="B709" s="49"/>
      <c r="C709" s="52"/>
      <c r="D709" s="52"/>
      <c r="E709" s="52"/>
      <c r="F709" s="11"/>
      <c r="G709" s="52">
        <f t="shared" si="110"/>
        <v>0</v>
      </c>
      <c r="H709" s="11"/>
      <c r="I709" s="11"/>
      <c r="J709" s="11"/>
      <c r="K709" s="57"/>
      <c r="L709" s="52">
        <f t="shared" si="165"/>
        <v>0</v>
      </c>
      <c r="M709" s="52">
        <f t="shared" si="166"/>
        <v>0</v>
      </c>
      <c r="N709" s="52">
        <f t="shared" si="167"/>
        <v>0</v>
      </c>
      <c r="O709" s="52">
        <f t="shared" si="168"/>
        <v>0</v>
      </c>
    </row>
    <row r="710" spans="1:15" ht="15.9" customHeight="1">
      <c r="A710" s="48"/>
      <c r="B710" s="49"/>
      <c r="C710" s="52"/>
      <c r="D710" s="52"/>
      <c r="E710" s="52"/>
      <c r="F710" s="11"/>
      <c r="G710" s="52">
        <f t="shared" si="110"/>
        <v>0</v>
      </c>
      <c r="H710" s="11"/>
      <c r="I710" s="11"/>
      <c r="J710" s="11"/>
      <c r="K710" s="57"/>
      <c r="L710" s="52">
        <f t="shared" si="165"/>
        <v>0</v>
      </c>
      <c r="M710" s="52">
        <f t="shared" si="166"/>
        <v>0</v>
      </c>
      <c r="N710" s="52">
        <f t="shared" si="167"/>
        <v>0</v>
      </c>
      <c r="O710" s="52">
        <f t="shared" si="168"/>
        <v>0</v>
      </c>
    </row>
    <row r="711" spans="1:15" ht="15.9" customHeight="1">
      <c r="A711" s="48"/>
      <c r="B711" s="49"/>
      <c r="C711" s="52"/>
      <c r="D711" s="52"/>
      <c r="E711" s="52"/>
      <c r="F711" s="11"/>
      <c r="G711" s="52">
        <f t="shared" si="110"/>
        <v>0</v>
      </c>
      <c r="H711" s="11"/>
      <c r="I711" s="11"/>
      <c r="J711" s="11"/>
      <c r="K711" s="57"/>
      <c r="L711" s="52">
        <f t="shared" si="165"/>
        <v>0</v>
      </c>
      <c r="M711" s="52">
        <f t="shared" si="166"/>
        <v>0</v>
      </c>
      <c r="N711" s="52">
        <f t="shared" si="167"/>
        <v>0</v>
      </c>
      <c r="O711" s="52">
        <f t="shared" si="168"/>
        <v>0</v>
      </c>
    </row>
    <row r="712" spans="1:15" ht="15.9" customHeight="1">
      <c r="A712" s="48"/>
      <c r="B712" s="49"/>
      <c r="C712" s="52"/>
      <c r="D712" s="52"/>
      <c r="E712" s="52"/>
      <c r="F712" s="11"/>
      <c r="G712" s="52">
        <f t="shared" si="110"/>
        <v>0</v>
      </c>
      <c r="H712" s="11"/>
      <c r="I712" s="11"/>
      <c r="J712" s="11"/>
      <c r="K712" s="57"/>
      <c r="L712" s="52">
        <f t="shared" si="165"/>
        <v>0</v>
      </c>
      <c r="M712" s="52">
        <f t="shared" si="166"/>
        <v>0</v>
      </c>
      <c r="N712" s="52">
        <f t="shared" si="167"/>
        <v>0</v>
      </c>
      <c r="O712" s="52">
        <f t="shared" si="168"/>
        <v>0</v>
      </c>
    </row>
    <row r="713" spans="1:15" ht="15.9" customHeight="1">
      <c r="A713" s="48"/>
      <c r="B713" s="49"/>
      <c r="C713" s="52"/>
      <c r="D713" s="52"/>
      <c r="E713" s="52"/>
      <c r="F713" s="11"/>
      <c r="G713" s="52">
        <f t="shared" si="110"/>
        <v>0</v>
      </c>
      <c r="H713" s="11"/>
      <c r="I713" s="11"/>
      <c r="J713" s="11"/>
      <c r="K713" s="57"/>
      <c r="L713" s="52">
        <f t="shared" si="165"/>
        <v>0</v>
      </c>
      <c r="M713" s="52">
        <f t="shared" si="166"/>
        <v>0</v>
      </c>
      <c r="N713" s="52">
        <f t="shared" si="167"/>
        <v>0</v>
      </c>
      <c r="O713" s="52">
        <f t="shared" si="168"/>
        <v>0</v>
      </c>
    </row>
    <row r="714" spans="1:15" ht="15.9" customHeight="1">
      <c r="A714" s="48"/>
      <c r="B714" s="49"/>
      <c r="C714" s="52"/>
      <c r="D714" s="52"/>
      <c r="E714" s="52"/>
      <c r="F714" s="11"/>
      <c r="G714" s="52">
        <f t="shared" si="110"/>
        <v>0</v>
      </c>
      <c r="H714" s="11"/>
      <c r="I714" s="11"/>
      <c r="J714" s="11"/>
      <c r="K714" s="57"/>
      <c r="L714" s="52">
        <f t="shared" si="165"/>
        <v>0</v>
      </c>
      <c r="M714" s="52">
        <f t="shared" si="166"/>
        <v>0</v>
      </c>
      <c r="N714" s="52">
        <f t="shared" si="167"/>
        <v>0</v>
      </c>
      <c r="O714" s="52">
        <f t="shared" si="168"/>
        <v>0</v>
      </c>
    </row>
    <row r="715" spans="1:15" ht="15.9" customHeight="1">
      <c r="A715" s="48"/>
      <c r="B715" s="49"/>
      <c r="C715" s="52"/>
      <c r="D715" s="52"/>
      <c r="E715" s="52"/>
      <c r="F715" s="11"/>
      <c r="G715" s="52">
        <f t="shared" si="110"/>
        <v>0</v>
      </c>
      <c r="H715" s="11"/>
      <c r="I715" s="11"/>
      <c r="J715" s="11"/>
      <c r="K715" s="57"/>
      <c r="L715" s="52">
        <f t="shared" si="165"/>
        <v>0</v>
      </c>
      <c r="M715" s="52">
        <f t="shared" si="166"/>
        <v>0</v>
      </c>
      <c r="N715" s="52">
        <f t="shared" si="167"/>
        <v>0</v>
      </c>
      <c r="O715" s="52">
        <f t="shared" si="168"/>
        <v>0</v>
      </c>
    </row>
    <row r="716" spans="1:15" ht="15.9" customHeight="1">
      <c r="A716" s="48"/>
      <c r="B716" s="49"/>
      <c r="C716" s="52"/>
      <c r="D716" s="52"/>
      <c r="E716" s="52"/>
      <c r="F716" s="11"/>
      <c r="G716" s="52">
        <f t="shared" si="110"/>
        <v>0</v>
      </c>
      <c r="H716" s="11"/>
      <c r="I716" s="11"/>
      <c r="J716" s="11"/>
      <c r="K716" s="57"/>
      <c r="L716" s="52">
        <f t="shared" si="165"/>
        <v>0</v>
      </c>
      <c r="M716" s="52">
        <f t="shared" si="166"/>
        <v>0</v>
      </c>
      <c r="N716" s="52">
        <f t="shared" si="167"/>
        <v>0</v>
      </c>
      <c r="O716" s="52">
        <f t="shared" si="168"/>
        <v>0</v>
      </c>
    </row>
    <row r="717" spans="1:15" ht="15.9" customHeight="1">
      <c r="A717" s="48"/>
      <c r="B717" s="49"/>
      <c r="C717" s="52"/>
      <c r="D717" s="52"/>
      <c r="E717" s="52"/>
      <c r="F717" s="11"/>
      <c r="G717" s="52">
        <f t="shared" si="110"/>
        <v>0</v>
      </c>
      <c r="H717" s="11"/>
      <c r="I717" s="11"/>
      <c r="J717" s="11"/>
      <c r="K717" s="57"/>
      <c r="L717" s="52">
        <f t="shared" si="165"/>
        <v>0</v>
      </c>
      <c r="M717" s="52">
        <f t="shared" si="166"/>
        <v>0</v>
      </c>
      <c r="N717" s="52">
        <f t="shared" si="167"/>
        <v>0</v>
      </c>
      <c r="O717" s="52">
        <f t="shared" si="168"/>
        <v>0</v>
      </c>
    </row>
    <row r="718" spans="1:15" ht="15.9" customHeight="1">
      <c r="A718" s="48"/>
      <c r="B718" s="49"/>
      <c r="C718" s="52"/>
      <c r="D718" s="52"/>
      <c r="E718" s="52"/>
      <c r="F718" s="11"/>
      <c r="G718" s="52">
        <f t="shared" si="110"/>
        <v>0</v>
      </c>
      <c r="H718" s="11"/>
      <c r="I718" s="11"/>
      <c r="J718" s="11"/>
      <c r="K718" s="57"/>
      <c r="L718" s="52">
        <f t="shared" si="165"/>
        <v>0</v>
      </c>
      <c r="M718" s="52">
        <f t="shared" si="166"/>
        <v>0</v>
      </c>
      <c r="N718" s="52">
        <f t="shared" si="167"/>
        <v>0</v>
      </c>
      <c r="O718" s="52">
        <f t="shared" si="168"/>
        <v>0</v>
      </c>
    </row>
    <row r="719" spans="1:15" ht="15.9" customHeight="1">
      <c r="A719" s="48"/>
      <c r="B719" s="49"/>
      <c r="C719" s="52"/>
      <c r="D719" s="52"/>
      <c r="E719" s="52"/>
      <c r="F719" s="11"/>
      <c r="G719" s="52">
        <f t="shared" si="110"/>
        <v>0</v>
      </c>
      <c r="H719" s="11"/>
      <c r="I719" s="11"/>
      <c r="J719" s="11"/>
      <c r="K719" s="57"/>
      <c r="L719" s="52">
        <f t="shared" si="165"/>
        <v>0</v>
      </c>
      <c r="M719" s="52">
        <f t="shared" si="166"/>
        <v>0</v>
      </c>
      <c r="N719" s="52">
        <f t="shared" si="167"/>
        <v>0</v>
      </c>
      <c r="O719" s="52">
        <f t="shared" si="168"/>
        <v>0</v>
      </c>
    </row>
    <row r="720" spans="1:15" ht="15.9" customHeight="1">
      <c r="A720" s="48"/>
      <c r="B720" s="49"/>
      <c r="C720" s="52"/>
      <c r="D720" s="52"/>
      <c r="E720" s="52"/>
      <c r="F720" s="11"/>
      <c r="G720" s="52">
        <f t="shared" si="110"/>
        <v>0</v>
      </c>
      <c r="H720" s="11"/>
      <c r="I720" s="11"/>
      <c r="J720" s="11"/>
      <c r="K720" s="57"/>
      <c r="L720" s="52">
        <f t="shared" si="165"/>
        <v>0</v>
      </c>
      <c r="M720" s="52">
        <f t="shared" si="166"/>
        <v>0</v>
      </c>
      <c r="N720" s="52">
        <f t="shared" si="167"/>
        <v>0</v>
      </c>
      <c r="O720" s="52">
        <f t="shared" si="168"/>
        <v>0</v>
      </c>
    </row>
    <row r="721" spans="1:15" ht="15.9" customHeight="1">
      <c r="A721" s="48"/>
      <c r="B721" s="49"/>
      <c r="C721" s="52"/>
      <c r="D721" s="52"/>
      <c r="E721" s="52"/>
      <c r="F721" s="11"/>
      <c r="G721" s="52">
        <f t="shared" si="110"/>
        <v>0</v>
      </c>
      <c r="H721" s="11"/>
      <c r="I721" s="11"/>
      <c r="J721" s="11"/>
      <c r="K721" s="57"/>
      <c r="L721" s="52">
        <f t="shared" si="165"/>
        <v>0</v>
      </c>
      <c r="M721" s="52">
        <f t="shared" si="166"/>
        <v>0</v>
      </c>
      <c r="N721" s="52">
        <f t="shared" si="167"/>
        <v>0</v>
      </c>
      <c r="O721" s="52">
        <f t="shared" si="168"/>
        <v>0</v>
      </c>
    </row>
    <row r="722" spans="1:15" ht="15.9" customHeight="1">
      <c r="A722" s="48"/>
      <c r="B722" s="49"/>
      <c r="C722" s="52"/>
      <c r="D722" s="52"/>
      <c r="E722" s="52"/>
      <c r="F722" s="11"/>
      <c r="G722" s="52">
        <f t="shared" si="110"/>
        <v>0</v>
      </c>
      <c r="H722" s="11"/>
      <c r="I722" s="11"/>
      <c r="J722" s="11"/>
      <c r="K722" s="57"/>
      <c r="L722" s="52">
        <f t="shared" si="165"/>
        <v>0</v>
      </c>
      <c r="M722" s="52">
        <f t="shared" si="166"/>
        <v>0</v>
      </c>
      <c r="N722" s="52">
        <f t="shared" si="167"/>
        <v>0</v>
      </c>
      <c r="O722" s="52">
        <f t="shared" si="168"/>
        <v>0</v>
      </c>
    </row>
    <row r="723" spans="1:15" ht="15.9" customHeight="1">
      <c r="A723" s="48"/>
      <c r="B723" s="49"/>
      <c r="C723" s="52"/>
      <c r="D723" s="52"/>
      <c r="E723" s="52"/>
      <c r="F723" s="11"/>
      <c r="G723" s="52">
        <f t="shared" si="110"/>
        <v>0</v>
      </c>
      <c r="H723" s="11"/>
      <c r="I723" s="11"/>
      <c r="J723" s="11"/>
      <c r="K723" s="57"/>
      <c r="L723" s="52">
        <f t="shared" ref="L723:L846" si="169">G723*H723/100</f>
        <v>0</v>
      </c>
      <c r="M723" s="52">
        <f t="shared" ref="M723:M846" si="170">G723*I723/100</f>
        <v>0</v>
      </c>
      <c r="N723" s="52">
        <f t="shared" ref="N723:N846" si="171">G723*J723/100</f>
        <v>0</v>
      </c>
      <c r="O723" s="52">
        <f t="shared" ref="O723:O846" si="172">G723*K723/1000</f>
        <v>0</v>
      </c>
    </row>
    <row r="724" spans="1:15" ht="15.9" customHeight="1">
      <c r="A724" s="48"/>
      <c r="B724" s="49"/>
      <c r="C724" s="52"/>
      <c r="D724" s="52"/>
      <c r="E724" s="52"/>
      <c r="F724" s="11"/>
      <c r="G724" s="52">
        <f t="shared" si="110"/>
        <v>0</v>
      </c>
      <c r="H724" s="11"/>
      <c r="I724" s="11"/>
      <c r="J724" s="11"/>
      <c r="K724" s="57"/>
      <c r="L724" s="52">
        <f t="shared" si="169"/>
        <v>0</v>
      </c>
      <c r="M724" s="52">
        <f t="shared" si="170"/>
        <v>0</v>
      </c>
      <c r="N724" s="52">
        <f t="shared" si="171"/>
        <v>0</v>
      </c>
      <c r="O724" s="52">
        <f t="shared" si="172"/>
        <v>0</v>
      </c>
    </row>
    <row r="725" spans="1:15" ht="15.9" customHeight="1">
      <c r="A725" s="48"/>
      <c r="B725" s="49"/>
      <c r="C725" s="52"/>
      <c r="D725" s="52"/>
      <c r="E725" s="52"/>
      <c r="F725" s="11"/>
      <c r="G725" s="52">
        <f t="shared" si="110"/>
        <v>0</v>
      </c>
      <c r="H725" s="11"/>
      <c r="I725" s="11"/>
      <c r="J725" s="11"/>
      <c r="K725" s="57"/>
      <c r="L725" s="52">
        <f t="shared" si="169"/>
        <v>0</v>
      </c>
      <c r="M725" s="52">
        <f t="shared" si="170"/>
        <v>0</v>
      </c>
      <c r="N725" s="52">
        <f t="shared" si="171"/>
        <v>0</v>
      </c>
      <c r="O725" s="52">
        <f t="shared" si="172"/>
        <v>0</v>
      </c>
    </row>
    <row r="726" spans="1:15" ht="15.9" customHeight="1">
      <c r="A726" s="48"/>
      <c r="B726" s="49"/>
      <c r="C726" s="52"/>
      <c r="D726" s="52"/>
      <c r="E726" s="52"/>
      <c r="F726" s="11"/>
      <c r="G726" s="52">
        <f t="shared" si="110"/>
        <v>0</v>
      </c>
      <c r="H726" s="11"/>
      <c r="I726" s="11"/>
      <c r="J726" s="11"/>
      <c r="K726" s="57"/>
      <c r="L726" s="52">
        <f t="shared" si="169"/>
        <v>0</v>
      </c>
      <c r="M726" s="52">
        <f t="shared" si="170"/>
        <v>0</v>
      </c>
      <c r="N726" s="52">
        <f t="shared" si="171"/>
        <v>0</v>
      </c>
      <c r="O726" s="52">
        <f t="shared" si="172"/>
        <v>0</v>
      </c>
    </row>
    <row r="727" spans="1:15" ht="15.9" customHeight="1">
      <c r="A727" s="48"/>
      <c r="B727" s="49"/>
      <c r="C727" s="52"/>
      <c r="D727" s="52"/>
      <c r="E727" s="52"/>
      <c r="F727" s="11"/>
      <c r="G727" s="52">
        <f t="shared" si="110"/>
        <v>0</v>
      </c>
      <c r="H727" s="11"/>
      <c r="I727" s="11"/>
      <c r="J727" s="11"/>
      <c r="K727" s="57"/>
      <c r="L727" s="52">
        <f t="shared" si="169"/>
        <v>0</v>
      </c>
      <c r="M727" s="52">
        <f t="shared" si="170"/>
        <v>0</v>
      </c>
      <c r="N727" s="52">
        <f t="shared" si="171"/>
        <v>0</v>
      </c>
      <c r="O727" s="52">
        <f t="shared" si="172"/>
        <v>0</v>
      </c>
    </row>
    <row r="728" spans="1:15" ht="15.9" customHeight="1">
      <c r="A728" s="48"/>
      <c r="B728" s="49"/>
      <c r="C728" s="52"/>
      <c r="D728" s="52"/>
      <c r="E728" s="52"/>
      <c r="F728" s="11"/>
      <c r="G728" s="52">
        <f t="shared" si="110"/>
        <v>0</v>
      </c>
      <c r="H728" s="11"/>
      <c r="I728" s="11"/>
      <c r="J728" s="11"/>
      <c r="K728" s="57"/>
      <c r="L728" s="52">
        <f t="shared" si="169"/>
        <v>0</v>
      </c>
      <c r="M728" s="52">
        <f t="shared" si="170"/>
        <v>0</v>
      </c>
      <c r="N728" s="52">
        <f t="shared" si="171"/>
        <v>0</v>
      </c>
      <c r="O728" s="52">
        <f t="shared" si="172"/>
        <v>0</v>
      </c>
    </row>
    <row r="729" spans="1:15" ht="15.9" customHeight="1">
      <c r="A729" s="48"/>
      <c r="B729" s="49"/>
      <c r="C729" s="52"/>
      <c r="D729" s="52"/>
      <c r="E729" s="52"/>
      <c r="F729" s="11"/>
      <c r="G729" s="52">
        <f t="shared" si="110"/>
        <v>0</v>
      </c>
      <c r="H729" s="11"/>
      <c r="I729" s="11"/>
      <c r="J729" s="11"/>
      <c r="K729" s="57"/>
      <c r="L729" s="52">
        <f t="shared" si="169"/>
        <v>0</v>
      </c>
      <c r="M729" s="52">
        <f t="shared" si="170"/>
        <v>0</v>
      </c>
      <c r="N729" s="52">
        <f t="shared" si="171"/>
        <v>0</v>
      </c>
      <c r="O729" s="52">
        <f t="shared" si="172"/>
        <v>0</v>
      </c>
    </row>
    <row r="730" spans="1:15" ht="15.9" customHeight="1">
      <c r="A730" s="48"/>
      <c r="B730" s="49"/>
      <c r="C730" s="52"/>
      <c r="D730" s="52"/>
      <c r="E730" s="52"/>
      <c r="F730" s="11"/>
      <c r="G730" s="52">
        <f t="shared" si="110"/>
        <v>0</v>
      </c>
      <c r="H730" s="11"/>
      <c r="I730" s="11"/>
      <c r="J730" s="11"/>
      <c r="K730" s="57"/>
      <c r="L730" s="52">
        <f t="shared" si="169"/>
        <v>0</v>
      </c>
      <c r="M730" s="52">
        <f t="shared" si="170"/>
        <v>0</v>
      </c>
      <c r="N730" s="52">
        <f t="shared" si="171"/>
        <v>0</v>
      </c>
      <c r="O730" s="52">
        <f t="shared" si="172"/>
        <v>0</v>
      </c>
    </row>
    <row r="731" spans="1:15" ht="15.9" customHeight="1">
      <c r="A731" s="48"/>
      <c r="B731" s="49"/>
      <c r="C731" s="52"/>
      <c r="D731" s="52"/>
      <c r="E731" s="52"/>
      <c r="F731" s="11"/>
      <c r="G731" s="52">
        <f t="shared" si="110"/>
        <v>0</v>
      </c>
      <c r="H731" s="11"/>
      <c r="I731" s="11"/>
      <c r="J731" s="11"/>
      <c r="K731" s="57"/>
      <c r="L731" s="52">
        <f t="shared" ref="L731:L762" si="173">G731*H731/100</f>
        <v>0</v>
      </c>
      <c r="M731" s="52">
        <f t="shared" ref="M731:M762" si="174">G731*I731/100</f>
        <v>0</v>
      </c>
      <c r="N731" s="52">
        <f t="shared" ref="N731:N762" si="175">G731*J731/100</f>
        <v>0</v>
      </c>
      <c r="O731" s="52">
        <f t="shared" ref="O731:O762" si="176">G731*K731/1000</f>
        <v>0</v>
      </c>
    </row>
    <row r="732" spans="1:15" ht="15.9" customHeight="1">
      <c r="A732" s="48"/>
      <c r="B732" s="49"/>
      <c r="C732" s="52"/>
      <c r="D732" s="52"/>
      <c r="E732" s="52"/>
      <c r="F732" s="11"/>
      <c r="G732" s="52">
        <f t="shared" si="110"/>
        <v>0</v>
      </c>
      <c r="H732" s="11"/>
      <c r="I732" s="11"/>
      <c r="J732" s="11"/>
      <c r="K732" s="57"/>
      <c r="L732" s="52">
        <f t="shared" si="173"/>
        <v>0</v>
      </c>
      <c r="M732" s="52">
        <f t="shared" si="174"/>
        <v>0</v>
      </c>
      <c r="N732" s="52">
        <f t="shared" si="175"/>
        <v>0</v>
      </c>
      <c r="O732" s="52">
        <f t="shared" si="176"/>
        <v>0</v>
      </c>
    </row>
    <row r="733" spans="1:15" ht="15.9" customHeight="1">
      <c r="A733" s="48"/>
      <c r="B733" s="49"/>
      <c r="C733" s="52"/>
      <c r="D733" s="52"/>
      <c r="E733" s="52"/>
      <c r="F733" s="11"/>
      <c r="G733" s="52">
        <f t="shared" si="110"/>
        <v>0</v>
      </c>
      <c r="H733" s="11"/>
      <c r="I733" s="11"/>
      <c r="J733" s="11"/>
      <c r="K733" s="57"/>
      <c r="L733" s="52">
        <f t="shared" si="173"/>
        <v>0</v>
      </c>
      <c r="M733" s="52">
        <f t="shared" si="174"/>
        <v>0</v>
      </c>
      <c r="N733" s="52">
        <f t="shared" si="175"/>
        <v>0</v>
      </c>
      <c r="O733" s="52">
        <f t="shared" si="176"/>
        <v>0</v>
      </c>
    </row>
    <row r="734" spans="1:15" ht="15.9" customHeight="1">
      <c r="A734" s="48"/>
      <c r="B734" s="49"/>
      <c r="C734" s="52"/>
      <c r="D734" s="52"/>
      <c r="E734" s="52"/>
      <c r="F734" s="11"/>
      <c r="G734" s="52">
        <f t="shared" si="110"/>
        <v>0</v>
      </c>
      <c r="H734" s="11"/>
      <c r="I734" s="11"/>
      <c r="J734" s="11"/>
      <c r="K734" s="57"/>
      <c r="L734" s="52">
        <f t="shared" si="173"/>
        <v>0</v>
      </c>
      <c r="M734" s="52">
        <f t="shared" si="174"/>
        <v>0</v>
      </c>
      <c r="N734" s="52">
        <f t="shared" si="175"/>
        <v>0</v>
      </c>
      <c r="O734" s="52">
        <f t="shared" si="176"/>
        <v>0</v>
      </c>
    </row>
    <row r="735" spans="1:15" ht="15.9" customHeight="1">
      <c r="A735" s="48"/>
      <c r="B735" s="49"/>
      <c r="C735" s="52"/>
      <c r="D735" s="52"/>
      <c r="E735" s="52"/>
      <c r="F735" s="11"/>
      <c r="G735" s="52">
        <f t="shared" si="110"/>
        <v>0</v>
      </c>
      <c r="H735" s="11"/>
      <c r="I735" s="11"/>
      <c r="J735" s="11"/>
      <c r="K735" s="57"/>
      <c r="L735" s="52">
        <f t="shared" si="173"/>
        <v>0</v>
      </c>
      <c r="M735" s="52">
        <f t="shared" si="174"/>
        <v>0</v>
      </c>
      <c r="N735" s="52">
        <f t="shared" si="175"/>
        <v>0</v>
      </c>
      <c r="O735" s="52">
        <f t="shared" si="176"/>
        <v>0</v>
      </c>
    </row>
    <row r="736" spans="1:15" ht="15.9" customHeight="1">
      <c r="A736" s="48"/>
      <c r="B736" s="49"/>
      <c r="C736" s="52"/>
      <c r="D736" s="52"/>
      <c r="E736" s="52"/>
      <c r="F736" s="11"/>
      <c r="G736" s="52">
        <f t="shared" si="110"/>
        <v>0</v>
      </c>
      <c r="H736" s="11"/>
      <c r="I736" s="11"/>
      <c r="J736" s="11"/>
      <c r="K736" s="57"/>
      <c r="L736" s="52">
        <f t="shared" si="173"/>
        <v>0</v>
      </c>
      <c r="M736" s="52">
        <f t="shared" si="174"/>
        <v>0</v>
      </c>
      <c r="N736" s="52">
        <f t="shared" si="175"/>
        <v>0</v>
      </c>
      <c r="O736" s="52">
        <f t="shared" si="176"/>
        <v>0</v>
      </c>
    </row>
    <row r="737" spans="1:15" ht="15.9" customHeight="1">
      <c r="A737" s="48"/>
      <c r="B737" s="49"/>
      <c r="C737" s="52"/>
      <c r="D737" s="52"/>
      <c r="E737" s="52"/>
      <c r="F737" s="11"/>
      <c r="G737" s="52">
        <f t="shared" si="110"/>
        <v>0</v>
      </c>
      <c r="H737" s="11"/>
      <c r="I737" s="11"/>
      <c r="J737" s="11"/>
      <c r="K737" s="57"/>
      <c r="L737" s="52">
        <f t="shared" si="173"/>
        <v>0</v>
      </c>
      <c r="M737" s="52">
        <f t="shared" si="174"/>
        <v>0</v>
      </c>
      <c r="N737" s="52">
        <f t="shared" si="175"/>
        <v>0</v>
      </c>
      <c r="O737" s="52">
        <f t="shared" si="176"/>
        <v>0</v>
      </c>
    </row>
    <row r="738" spans="1:15" ht="15.9" customHeight="1">
      <c r="A738" s="48"/>
      <c r="B738" s="49"/>
      <c r="C738" s="52"/>
      <c r="D738" s="52"/>
      <c r="E738" s="52"/>
      <c r="F738" s="11"/>
      <c r="G738" s="52">
        <f t="shared" ref="G738:G762" si="177">E738*(100-F738)/100</f>
        <v>0</v>
      </c>
      <c r="H738" s="11"/>
      <c r="I738" s="11"/>
      <c r="J738" s="11"/>
      <c r="K738" s="57"/>
      <c r="L738" s="52">
        <f t="shared" si="173"/>
        <v>0</v>
      </c>
      <c r="M738" s="52">
        <f t="shared" si="174"/>
        <v>0</v>
      </c>
      <c r="N738" s="52">
        <f t="shared" si="175"/>
        <v>0</v>
      </c>
      <c r="O738" s="52">
        <f t="shared" si="176"/>
        <v>0</v>
      </c>
    </row>
    <row r="739" spans="1:15" ht="15.9" customHeight="1">
      <c r="A739" s="48"/>
      <c r="B739" s="49"/>
      <c r="C739" s="52"/>
      <c r="D739" s="52"/>
      <c r="E739" s="52"/>
      <c r="F739" s="11"/>
      <c r="G739" s="52">
        <f t="shared" si="177"/>
        <v>0</v>
      </c>
      <c r="H739" s="11"/>
      <c r="I739" s="11"/>
      <c r="J739" s="11"/>
      <c r="K739" s="57"/>
      <c r="L739" s="52">
        <f t="shared" si="173"/>
        <v>0</v>
      </c>
      <c r="M739" s="52">
        <f t="shared" si="174"/>
        <v>0</v>
      </c>
      <c r="N739" s="52">
        <f t="shared" si="175"/>
        <v>0</v>
      </c>
      <c r="O739" s="52">
        <f t="shared" si="176"/>
        <v>0</v>
      </c>
    </row>
    <row r="740" spans="1:15" ht="15.9" customHeight="1">
      <c r="A740" s="48"/>
      <c r="B740" s="49"/>
      <c r="C740" s="52"/>
      <c r="D740" s="52"/>
      <c r="E740" s="52"/>
      <c r="F740" s="11"/>
      <c r="G740" s="52">
        <f t="shared" si="177"/>
        <v>0</v>
      </c>
      <c r="H740" s="11"/>
      <c r="I740" s="11"/>
      <c r="J740" s="11"/>
      <c r="K740" s="57"/>
      <c r="L740" s="52">
        <f t="shared" si="173"/>
        <v>0</v>
      </c>
      <c r="M740" s="52">
        <f t="shared" si="174"/>
        <v>0</v>
      </c>
      <c r="N740" s="52">
        <f t="shared" si="175"/>
        <v>0</v>
      </c>
      <c r="O740" s="52">
        <f t="shared" si="176"/>
        <v>0</v>
      </c>
    </row>
    <row r="741" spans="1:15" ht="15.9" customHeight="1">
      <c r="A741" s="48"/>
      <c r="B741" s="49"/>
      <c r="C741" s="52"/>
      <c r="D741" s="52"/>
      <c r="E741" s="52"/>
      <c r="F741" s="11"/>
      <c r="G741" s="52">
        <f t="shared" si="177"/>
        <v>0</v>
      </c>
      <c r="H741" s="11"/>
      <c r="I741" s="11"/>
      <c r="J741" s="11"/>
      <c r="K741" s="57"/>
      <c r="L741" s="52">
        <f t="shared" si="173"/>
        <v>0</v>
      </c>
      <c r="M741" s="52">
        <f t="shared" si="174"/>
        <v>0</v>
      </c>
      <c r="N741" s="52">
        <f t="shared" si="175"/>
        <v>0</v>
      </c>
      <c r="O741" s="52">
        <f t="shared" si="176"/>
        <v>0</v>
      </c>
    </row>
    <row r="742" spans="1:15" ht="15.9" customHeight="1">
      <c r="A742" s="48"/>
      <c r="B742" s="49"/>
      <c r="C742" s="52"/>
      <c r="D742" s="52"/>
      <c r="E742" s="52"/>
      <c r="F742" s="11"/>
      <c r="G742" s="52">
        <f t="shared" si="177"/>
        <v>0</v>
      </c>
      <c r="H742" s="11"/>
      <c r="I742" s="11"/>
      <c r="J742" s="11"/>
      <c r="K742" s="57"/>
      <c r="L742" s="52">
        <f t="shared" si="173"/>
        <v>0</v>
      </c>
      <c r="M742" s="52">
        <f t="shared" si="174"/>
        <v>0</v>
      </c>
      <c r="N742" s="52">
        <f t="shared" si="175"/>
        <v>0</v>
      </c>
      <c r="O742" s="52">
        <f t="shared" si="176"/>
        <v>0</v>
      </c>
    </row>
    <row r="743" spans="1:15" ht="15.9" customHeight="1">
      <c r="A743" s="48"/>
      <c r="B743" s="49"/>
      <c r="C743" s="52"/>
      <c r="D743" s="52"/>
      <c r="E743" s="52"/>
      <c r="F743" s="11"/>
      <c r="G743" s="52">
        <f t="shared" si="177"/>
        <v>0</v>
      </c>
      <c r="H743" s="11"/>
      <c r="I743" s="11"/>
      <c r="J743" s="11"/>
      <c r="K743" s="57"/>
      <c r="L743" s="52">
        <f t="shared" si="173"/>
        <v>0</v>
      </c>
      <c r="M743" s="52">
        <f t="shared" si="174"/>
        <v>0</v>
      </c>
      <c r="N743" s="52">
        <f t="shared" si="175"/>
        <v>0</v>
      </c>
      <c r="O743" s="52">
        <f t="shared" si="176"/>
        <v>0</v>
      </c>
    </row>
    <row r="744" spans="1:15" ht="15.9" customHeight="1">
      <c r="A744" s="48"/>
      <c r="B744" s="49"/>
      <c r="C744" s="52"/>
      <c r="D744" s="52"/>
      <c r="E744" s="52"/>
      <c r="F744" s="11"/>
      <c r="G744" s="52">
        <f t="shared" si="177"/>
        <v>0</v>
      </c>
      <c r="H744" s="11"/>
      <c r="I744" s="11"/>
      <c r="J744" s="11"/>
      <c r="K744" s="57"/>
      <c r="L744" s="52">
        <f t="shared" si="173"/>
        <v>0</v>
      </c>
      <c r="M744" s="52">
        <f t="shared" si="174"/>
        <v>0</v>
      </c>
      <c r="N744" s="52">
        <f t="shared" si="175"/>
        <v>0</v>
      </c>
      <c r="O744" s="52">
        <f t="shared" si="176"/>
        <v>0</v>
      </c>
    </row>
    <row r="745" spans="1:15" ht="15.9" customHeight="1">
      <c r="A745" s="48"/>
      <c r="B745" s="49"/>
      <c r="C745" s="52"/>
      <c r="D745" s="52"/>
      <c r="E745" s="52"/>
      <c r="F745" s="11"/>
      <c r="G745" s="52">
        <f t="shared" si="177"/>
        <v>0</v>
      </c>
      <c r="H745" s="11"/>
      <c r="I745" s="11"/>
      <c r="J745" s="11"/>
      <c r="K745" s="57"/>
      <c r="L745" s="52">
        <f t="shared" si="173"/>
        <v>0</v>
      </c>
      <c r="M745" s="52">
        <f t="shared" si="174"/>
        <v>0</v>
      </c>
      <c r="N745" s="52">
        <f t="shared" si="175"/>
        <v>0</v>
      </c>
      <c r="O745" s="52">
        <f t="shared" si="176"/>
        <v>0</v>
      </c>
    </row>
    <row r="746" spans="1:15" ht="15.9" customHeight="1">
      <c r="A746" s="48"/>
      <c r="B746" s="49"/>
      <c r="C746" s="52"/>
      <c r="D746" s="52"/>
      <c r="E746" s="52"/>
      <c r="F746" s="11"/>
      <c r="G746" s="52">
        <f t="shared" si="177"/>
        <v>0</v>
      </c>
      <c r="H746" s="11"/>
      <c r="I746" s="11"/>
      <c r="J746" s="11"/>
      <c r="K746" s="57"/>
      <c r="L746" s="52">
        <f t="shared" si="173"/>
        <v>0</v>
      </c>
      <c r="M746" s="52">
        <f t="shared" si="174"/>
        <v>0</v>
      </c>
      <c r="N746" s="52">
        <f t="shared" si="175"/>
        <v>0</v>
      </c>
      <c r="O746" s="52">
        <f t="shared" si="176"/>
        <v>0</v>
      </c>
    </row>
    <row r="747" spans="1:15" ht="15.9" customHeight="1">
      <c r="A747" s="48"/>
      <c r="B747" s="49"/>
      <c r="C747" s="52"/>
      <c r="D747" s="52"/>
      <c r="E747" s="52"/>
      <c r="F747" s="11"/>
      <c r="G747" s="52">
        <f t="shared" si="177"/>
        <v>0</v>
      </c>
      <c r="H747" s="11"/>
      <c r="I747" s="11"/>
      <c r="J747" s="11"/>
      <c r="K747" s="57"/>
      <c r="L747" s="52">
        <f t="shared" si="173"/>
        <v>0</v>
      </c>
      <c r="M747" s="52">
        <f t="shared" si="174"/>
        <v>0</v>
      </c>
      <c r="N747" s="52">
        <f t="shared" si="175"/>
        <v>0</v>
      </c>
      <c r="O747" s="52">
        <f t="shared" si="176"/>
        <v>0</v>
      </c>
    </row>
    <row r="748" spans="1:15" ht="15.9" customHeight="1">
      <c r="A748" s="48"/>
      <c r="B748" s="49"/>
      <c r="C748" s="52"/>
      <c r="D748" s="52"/>
      <c r="E748" s="52"/>
      <c r="F748" s="11"/>
      <c r="G748" s="52">
        <f t="shared" si="177"/>
        <v>0</v>
      </c>
      <c r="H748" s="11"/>
      <c r="I748" s="11"/>
      <c r="J748" s="11"/>
      <c r="K748" s="57"/>
      <c r="L748" s="52">
        <f t="shared" si="173"/>
        <v>0</v>
      </c>
      <c r="M748" s="52">
        <f t="shared" si="174"/>
        <v>0</v>
      </c>
      <c r="N748" s="52">
        <f t="shared" si="175"/>
        <v>0</v>
      </c>
      <c r="O748" s="52">
        <f t="shared" si="176"/>
        <v>0</v>
      </c>
    </row>
    <row r="749" spans="1:15" ht="15.9" customHeight="1">
      <c r="A749" s="48"/>
      <c r="B749" s="49"/>
      <c r="C749" s="52"/>
      <c r="D749" s="52"/>
      <c r="E749" s="52"/>
      <c r="F749" s="11"/>
      <c r="G749" s="52">
        <f t="shared" si="177"/>
        <v>0</v>
      </c>
      <c r="H749" s="11"/>
      <c r="I749" s="11"/>
      <c r="J749" s="11"/>
      <c r="K749" s="57"/>
      <c r="L749" s="52">
        <f t="shared" si="173"/>
        <v>0</v>
      </c>
      <c r="M749" s="52">
        <f t="shared" si="174"/>
        <v>0</v>
      </c>
      <c r="N749" s="52">
        <f t="shared" si="175"/>
        <v>0</v>
      </c>
      <c r="O749" s="52">
        <f t="shared" si="176"/>
        <v>0</v>
      </c>
    </row>
    <row r="750" spans="1:15" ht="15.9" customHeight="1">
      <c r="A750" s="48"/>
      <c r="B750" s="49"/>
      <c r="C750" s="52"/>
      <c r="D750" s="52"/>
      <c r="E750" s="52"/>
      <c r="F750" s="11"/>
      <c r="G750" s="52">
        <f t="shared" si="177"/>
        <v>0</v>
      </c>
      <c r="H750" s="11"/>
      <c r="I750" s="11"/>
      <c r="J750" s="11"/>
      <c r="K750" s="57"/>
      <c r="L750" s="52">
        <f t="shared" si="173"/>
        <v>0</v>
      </c>
      <c r="M750" s="52">
        <f t="shared" si="174"/>
        <v>0</v>
      </c>
      <c r="N750" s="52">
        <f t="shared" si="175"/>
        <v>0</v>
      </c>
      <c r="O750" s="52">
        <f t="shared" si="176"/>
        <v>0</v>
      </c>
    </row>
    <row r="751" spans="1:15" ht="15.9" customHeight="1">
      <c r="A751" s="48"/>
      <c r="B751" s="49"/>
      <c r="C751" s="52"/>
      <c r="D751" s="52"/>
      <c r="E751" s="52"/>
      <c r="F751" s="11"/>
      <c r="G751" s="52">
        <f t="shared" si="177"/>
        <v>0</v>
      </c>
      <c r="H751" s="11"/>
      <c r="I751" s="11"/>
      <c r="J751" s="11"/>
      <c r="K751" s="57"/>
      <c r="L751" s="52">
        <f t="shared" si="173"/>
        <v>0</v>
      </c>
      <c r="M751" s="52">
        <f t="shared" si="174"/>
        <v>0</v>
      </c>
      <c r="N751" s="52">
        <f t="shared" si="175"/>
        <v>0</v>
      </c>
      <c r="O751" s="52">
        <f t="shared" si="176"/>
        <v>0</v>
      </c>
    </row>
    <row r="752" spans="1:15" ht="15.9" customHeight="1">
      <c r="A752" s="48"/>
      <c r="B752" s="49"/>
      <c r="C752" s="52"/>
      <c r="D752" s="52"/>
      <c r="E752" s="52"/>
      <c r="F752" s="11"/>
      <c r="G752" s="52">
        <f t="shared" si="177"/>
        <v>0</v>
      </c>
      <c r="H752" s="11"/>
      <c r="I752" s="11"/>
      <c r="J752" s="11"/>
      <c r="K752" s="57"/>
      <c r="L752" s="52">
        <f t="shared" si="173"/>
        <v>0</v>
      </c>
      <c r="M752" s="52">
        <f t="shared" si="174"/>
        <v>0</v>
      </c>
      <c r="N752" s="52">
        <f t="shared" si="175"/>
        <v>0</v>
      </c>
      <c r="O752" s="52">
        <f t="shared" si="176"/>
        <v>0</v>
      </c>
    </row>
    <row r="753" spans="1:15" ht="15.9" customHeight="1">
      <c r="A753" s="48"/>
      <c r="B753" s="49"/>
      <c r="C753" s="52"/>
      <c r="D753" s="52"/>
      <c r="E753" s="52"/>
      <c r="F753" s="11"/>
      <c r="G753" s="52">
        <f t="shared" si="177"/>
        <v>0</v>
      </c>
      <c r="H753" s="11"/>
      <c r="I753" s="11"/>
      <c r="J753" s="11"/>
      <c r="K753" s="57"/>
      <c r="L753" s="52">
        <f t="shared" si="173"/>
        <v>0</v>
      </c>
      <c r="M753" s="52">
        <f t="shared" si="174"/>
        <v>0</v>
      </c>
      <c r="N753" s="52">
        <f t="shared" si="175"/>
        <v>0</v>
      </c>
      <c r="O753" s="52">
        <f t="shared" si="176"/>
        <v>0</v>
      </c>
    </row>
    <row r="754" spans="1:15" ht="15.9" customHeight="1">
      <c r="A754" s="48"/>
      <c r="B754" s="49"/>
      <c r="C754" s="52"/>
      <c r="D754" s="52"/>
      <c r="E754" s="52"/>
      <c r="F754" s="11"/>
      <c r="G754" s="52">
        <f t="shared" si="177"/>
        <v>0</v>
      </c>
      <c r="H754" s="11"/>
      <c r="I754" s="11"/>
      <c r="J754" s="11"/>
      <c r="K754" s="57"/>
      <c r="L754" s="52">
        <f t="shared" si="173"/>
        <v>0</v>
      </c>
      <c r="M754" s="52">
        <f t="shared" si="174"/>
        <v>0</v>
      </c>
      <c r="N754" s="52">
        <f t="shared" si="175"/>
        <v>0</v>
      </c>
      <c r="O754" s="52">
        <f t="shared" si="176"/>
        <v>0</v>
      </c>
    </row>
    <row r="755" spans="1:15" ht="15.9" customHeight="1">
      <c r="A755" s="48"/>
      <c r="B755" s="49"/>
      <c r="C755" s="52"/>
      <c r="D755" s="52"/>
      <c r="E755" s="52"/>
      <c r="F755" s="11"/>
      <c r="G755" s="52">
        <f t="shared" si="177"/>
        <v>0</v>
      </c>
      <c r="H755" s="11"/>
      <c r="I755" s="11"/>
      <c r="J755" s="11"/>
      <c r="K755" s="57"/>
      <c r="L755" s="52">
        <f t="shared" si="173"/>
        <v>0</v>
      </c>
      <c r="M755" s="52">
        <f t="shared" si="174"/>
        <v>0</v>
      </c>
      <c r="N755" s="52">
        <f t="shared" si="175"/>
        <v>0</v>
      </c>
      <c r="O755" s="52">
        <f t="shared" si="176"/>
        <v>0</v>
      </c>
    </row>
    <row r="756" spans="1:15" ht="15.9" customHeight="1">
      <c r="A756" s="48"/>
      <c r="B756" s="49"/>
      <c r="C756" s="52"/>
      <c r="D756" s="52"/>
      <c r="E756" s="52"/>
      <c r="F756" s="11"/>
      <c r="G756" s="52">
        <f t="shared" si="177"/>
        <v>0</v>
      </c>
      <c r="H756" s="11"/>
      <c r="I756" s="11"/>
      <c r="J756" s="11"/>
      <c r="K756" s="57"/>
      <c r="L756" s="52">
        <f t="shared" si="173"/>
        <v>0</v>
      </c>
      <c r="M756" s="52">
        <f t="shared" si="174"/>
        <v>0</v>
      </c>
      <c r="N756" s="52">
        <f t="shared" si="175"/>
        <v>0</v>
      </c>
      <c r="O756" s="52">
        <f t="shared" si="176"/>
        <v>0</v>
      </c>
    </row>
    <row r="757" spans="1:15" ht="15.9" customHeight="1">
      <c r="A757" s="48"/>
      <c r="B757" s="49"/>
      <c r="C757" s="52"/>
      <c r="D757" s="52"/>
      <c r="E757" s="52"/>
      <c r="F757" s="11"/>
      <c r="G757" s="52">
        <f t="shared" si="177"/>
        <v>0</v>
      </c>
      <c r="H757" s="11"/>
      <c r="I757" s="11"/>
      <c r="J757" s="11"/>
      <c r="K757" s="57"/>
      <c r="L757" s="52">
        <f t="shared" si="173"/>
        <v>0</v>
      </c>
      <c r="M757" s="52">
        <f t="shared" si="174"/>
        <v>0</v>
      </c>
      <c r="N757" s="52">
        <f t="shared" si="175"/>
        <v>0</v>
      </c>
      <c r="O757" s="52">
        <f t="shared" si="176"/>
        <v>0</v>
      </c>
    </row>
    <row r="758" spans="1:15" ht="15.9" customHeight="1">
      <c r="A758" s="48"/>
      <c r="B758" s="49"/>
      <c r="C758" s="52"/>
      <c r="D758" s="52"/>
      <c r="E758" s="52"/>
      <c r="F758" s="11"/>
      <c r="G758" s="52">
        <f t="shared" si="177"/>
        <v>0</v>
      </c>
      <c r="H758" s="11"/>
      <c r="I758" s="11"/>
      <c r="J758" s="11"/>
      <c r="K758" s="57"/>
      <c r="L758" s="52">
        <f t="shared" si="173"/>
        <v>0</v>
      </c>
      <c r="M758" s="52">
        <f t="shared" si="174"/>
        <v>0</v>
      </c>
      <c r="N758" s="52">
        <f t="shared" si="175"/>
        <v>0</v>
      </c>
      <c r="O758" s="52">
        <f t="shared" si="176"/>
        <v>0</v>
      </c>
    </row>
    <row r="759" spans="1:15" ht="15.9" customHeight="1">
      <c r="A759" s="48"/>
      <c r="B759" s="49"/>
      <c r="C759" s="52"/>
      <c r="D759" s="52"/>
      <c r="E759" s="52"/>
      <c r="F759" s="11"/>
      <c r="G759" s="52">
        <f t="shared" si="177"/>
        <v>0</v>
      </c>
      <c r="H759" s="11"/>
      <c r="I759" s="11"/>
      <c r="J759" s="11"/>
      <c r="K759" s="57"/>
      <c r="L759" s="52">
        <f t="shared" si="173"/>
        <v>0</v>
      </c>
      <c r="M759" s="52">
        <f t="shared" si="174"/>
        <v>0</v>
      </c>
      <c r="N759" s="52">
        <f t="shared" si="175"/>
        <v>0</v>
      </c>
      <c r="O759" s="52">
        <f t="shared" si="176"/>
        <v>0</v>
      </c>
    </row>
    <row r="760" spans="1:15" ht="15.9" customHeight="1">
      <c r="A760" s="48"/>
      <c r="B760" s="49"/>
      <c r="C760" s="52"/>
      <c r="D760" s="52"/>
      <c r="E760" s="52"/>
      <c r="F760" s="11"/>
      <c r="G760" s="52">
        <f t="shared" si="177"/>
        <v>0</v>
      </c>
      <c r="H760" s="11"/>
      <c r="I760" s="11"/>
      <c r="J760" s="11"/>
      <c r="K760" s="57"/>
      <c r="L760" s="52">
        <f t="shared" si="173"/>
        <v>0</v>
      </c>
      <c r="M760" s="52">
        <f t="shared" si="174"/>
        <v>0</v>
      </c>
      <c r="N760" s="52">
        <f t="shared" si="175"/>
        <v>0</v>
      </c>
      <c r="O760" s="52">
        <f t="shared" si="176"/>
        <v>0</v>
      </c>
    </row>
    <row r="761" spans="1:15" ht="15.9" customHeight="1">
      <c r="A761" s="48"/>
      <c r="B761" s="49"/>
      <c r="C761" s="52"/>
      <c r="D761" s="52"/>
      <c r="E761" s="52"/>
      <c r="F761" s="11"/>
      <c r="G761" s="52">
        <f t="shared" si="177"/>
        <v>0</v>
      </c>
      <c r="H761" s="11"/>
      <c r="I761" s="11"/>
      <c r="J761" s="11"/>
      <c r="K761" s="57"/>
      <c r="L761" s="52">
        <f t="shared" si="173"/>
        <v>0</v>
      </c>
      <c r="M761" s="52">
        <f t="shared" si="174"/>
        <v>0</v>
      </c>
      <c r="N761" s="52">
        <f t="shared" si="175"/>
        <v>0</v>
      </c>
      <c r="O761" s="52">
        <f t="shared" si="176"/>
        <v>0</v>
      </c>
    </row>
    <row r="762" spans="1:15" ht="15.9" customHeight="1">
      <c r="A762" s="48"/>
      <c r="B762" s="49"/>
      <c r="C762" s="52"/>
      <c r="D762" s="52"/>
      <c r="E762" s="52"/>
      <c r="F762" s="11"/>
      <c r="G762" s="52">
        <f t="shared" si="177"/>
        <v>0</v>
      </c>
      <c r="H762" s="11"/>
      <c r="I762" s="11"/>
      <c r="J762" s="11"/>
      <c r="K762" s="57"/>
      <c r="L762" s="52">
        <f t="shared" si="173"/>
        <v>0</v>
      </c>
      <c r="M762" s="52">
        <f t="shared" si="174"/>
        <v>0</v>
      </c>
      <c r="N762" s="52">
        <f t="shared" si="175"/>
        <v>0</v>
      </c>
      <c r="O762" s="52">
        <f t="shared" si="176"/>
        <v>0</v>
      </c>
    </row>
    <row r="763" spans="1:15" ht="15.9" customHeight="1">
      <c r="A763" s="48"/>
      <c r="B763" s="49"/>
      <c r="C763" s="52"/>
      <c r="D763" s="52"/>
      <c r="E763" s="52"/>
      <c r="F763" s="11"/>
      <c r="G763" s="52">
        <f t="shared" si="110"/>
        <v>0</v>
      </c>
      <c r="H763" s="11"/>
      <c r="I763" s="11"/>
      <c r="J763" s="11"/>
      <c r="K763" s="57"/>
      <c r="L763" s="52">
        <f t="shared" si="169"/>
        <v>0</v>
      </c>
      <c r="M763" s="52">
        <f t="shared" si="170"/>
        <v>0</v>
      </c>
      <c r="N763" s="52">
        <f t="shared" si="171"/>
        <v>0</v>
      </c>
      <c r="O763" s="52">
        <f t="shared" si="172"/>
        <v>0</v>
      </c>
    </row>
    <row r="764" spans="1:15" ht="15.9" customHeight="1">
      <c r="A764" s="48"/>
      <c r="B764" s="49"/>
      <c r="C764" s="52"/>
      <c r="D764" s="52"/>
      <c r="E764" s="52"/>
      <c r="F764" s="11"/>
      <c r="G764" s="52">
        <f t="shared" si="110"/>
        <v>0</v>
      </c>
      <c r="H764" s="11"/>
      <c r="I764" s="11"/>
      <c r="J764" s="11"/>
      <c r="K764" s="57"/>
      <c r="L764" s="52">
        <f t="shared" si="169"/>
        <v>0</v>
      </c>
      <c r="M764" s="52">
        <f t="shared" si="170"/>
        <v>0</v>
      </c>
      <c r="N764" s="52">
        <f t="shared" si="171"/>
        <v>0</v>
      </c>
      <c r="O764" s="52">
        <f t="shared" si="172"/>
        <v>0</v>
      </c>
    </row>
    <row r="765" spans="1:15" ht="15.9" customHeight="1">
      <c r="A765" s="48"/>
      <c r="B765" s="49"/>
      <c r="C765" s="52"/>
      <c r="D765" s="52"/>
      <c r="E765" s="52"/>
      <c r="F765" s="11"/>
      <c r="G765" s="52">
        <f t="shared" si="110"/>
        <v>0</v>
      </c>
      <c r="H765" s="11"/>
      <c r="I765" s="11"/>
      <c r="J765" s="11"/>
      <c r="K765" s="57"/>
      <c r="L765" s="52">
        <f t="shared" si="169"/>
        <v>0</v>
      </c>
      <c r="M765" s="52">
        <f t="shared" si="170"/>
        <v>0</v>
      </c>
      <c r="N765" s="52">
        <f t="shared" si="171"/>
        <v>0</v>
      </c>
      <c r="O765" s="52">
        <f t="shared" si="172"/>
        <v>0</v>
      </c>
    </row>
    <row r="766" spans="1:15" ht="15.9" customHeight="1">
      <c r="A766" s="48"/>
      <c r="B766" s="49"/>
      <c r="C766" s="52"/>
      <c r="D766" s="52"/>
      <c r="E766" s="52"/>
      <c r="F766" s="11"/>
      <c r="G766" s="52">
        <f t="shared" si="110"/>
        <v>0</v>
      </c>
      <c r="H766" s="11"/>
      <c r="I766" s="11"/>
      <c r="J766" s="11"/>
      <c r="K766" s="57"/>
      <c r="L766" s="52">
        <f t="shared" si="169"/>
        <v>0</v>
      </c>
      <c r="M766" s="52">
        <f t="shared" si="170"/>
        <v>0</v>
      </c>
      <c r="N766" s="52">
        <f t="shared" si="171"/>
        <v>0</v>
      </c>
      <c r="O766" s="52">
        <f t="shared" si="172"/>
        <v>0</v>
      </c>
    </row>
    <row r="767" spans="1:15" ht="15.9" customHeight="1">
      <c r="A767" s="48"/>
      <c r="B767" s="49"/>
      <c r="C767" s="52"/>
      <c r="D767" s="52"/>
      <c r="E767" s="52"/>
      <c r="F767" s="11"/>
      <c r="G767" s="52">
        <f t="shared" si="110"/>
        <v>0</v>
      </c>
      <c r="H767" s="11"/>
      <c r="I767" s="11"/>
      <c r="J767" s="11"/>
      <c r="K767" s="57"/>
      <c r="L767" s="52">
        <f t="shared" si="169"/>
        <v>0</v>
      </c>
      <c r="M767" s="52">
        <f t="shared" si="170"/>
        <v>0</v>
      </c>
      <c r="N767" s="52">
        <f t="shared" si="171"/>
        <v>0</v>
      </c>
      <c r="O767" s="52">
        <f t="shared" si="172"/>
        <v>0</v>
      </c>
    </row>
    <row r="768" spans="1:15" ht="15.9" customHeight="1">
      <c r="A768" s="48"/>
      <c r="B768" s="49"/>
      <c r="C768" s="52"/>
      <c r="D768" s="52"/>
      <c r="E768" s="52"/>
      <c r="F768" s="11"/>
      <c r="G768" s="52">
        <f t="shared" si="110"/>
        <v>0</v>
      </c>
      <c r="H768" s="11"/>
      <c r="I768" s="11"/>
      <c r="J768" s="11"/>
      <c r="K768" s="57"/>
      <c r="L768" s="52">
        <f t="shared" si="169"/>
        <v>0</v>
      </c>
      <c r="M768" s="52">
        <f t="shared" si="170"/>
        <v>0</v>
      </c>
      <c r="N768" s="52">
        <f t="shared" si="171"/>
        <v>0</v>
      </c>
      <c r="O768" s="52">
        <f t="shared" si="172"/>
        <v>0</v>
      </c>
    </row>
    <row r="769" spans="1:15" ht="15.9" customHeight="1">
      <c r="A769" s="48"/>
      <c r="B769" s="49"/>
      <c r="C769" s="52"/>
      <c r="D769" s="52"/>
      <c r="E769" s="52"/>
      <c r="F769" s="11"/>
      <c r="G769" s="52">
        <f t="shared" ref="G769:G832" si="178">E769*(100-F769)/100</f>
        <v>0</v>
      </c>
      <c r="H769" s="11"/>
      <c r="I769" s="11"/>
      <c r="J769" s="11"/>
      <c r="K769" s="57"/>
      <c r="L769" s="52">
        <f t="shared" ref="L769:L823" si="179">G769*H769/100</f>
        <v>0</v>
      </c>
      <c r="M769" s="52">
        <f t="shared" ref="M769:M823" si="180">G769*I769/100</f>
        <v>0</v>
      </c>
      <c r="N769" s="52">
        <f t="shared" ref="N769:N823" si="181">G769*J769/100</f>
        <v>0</v>
      </c>
      <c r="O769" s="52">
        <f t="shared" ref="O769:O823" si="182">G769*K769/1000</f>
        <v>0</v>
      </c>
    </row>
    <row r="770" spans="1:15" ht="15.9" customHeight="1">
      <c r="A770" s="48"/>
      <c r="B770" s="49"/>
      <c r="C770" s="52"/>
      <c r="D770" s="52"/>
      <c r="E770" s="52"/>
      <c r="F770" s="11"/>
      <c r="G770" s="52">
        <f t="shared" si="178"/>
        <v>0</v>
      </c>
      <c r="H770" s="11"/>
      <c r="I770" s="11"/>
      <c r="J770" s="11"/>
      <c r="K770" s="57"/>
      <c r="L770" s="52">
        <f t="shared" si="179"/>
        <v>0</v>
      </c>
      <c r="M770" s="52">
        <f t="shared" si="180"/>
        <v>0</v>
      </c>
      <c r="N770" s="52">
        <f t="shared" si="181"/>
        <v>0</v>
      </c>
      <c r="O770" s="52">
        <f t="shared" si="182"/>
        <v>0</v>
      </c>
    </row>
    <row r="771" spans="1:15" ht="15.9" customHeight="1">
      <c r="A771" s="48"/>
      <c r="B771" s="49"/>
      <c r="C771" s="52"/>
      <c r="D771" s="52"/>
      <c r="E771" s="52"/>
      <c r="F771" s="11"/>
      <c r="G771" s="52">
        <f t="shared" si="178"/>
        <v>0</v>
      </c>
      <c r="H771" s="11"/>
      <c r="I771" s="11"/>
      <c r="J771" s="11"/>
      <c r="K771" s="57"/>
      <c r="L771" s="52">
        <f t="shared" si="179"/>
        <v>0</v>
      </c>
      <c r="M771" s="52">
        <f t="shared" si="180"/>
        <v>0</v>
      </c>
      <c r="N771" s="52">
        <f t="shared" si="181"/>
        <v>0</v>
      </c>
      <c r="O771" s="52">
        <f t="shared" si="182"/>
        <v>0</v>
      </c>
    </row>
    <row r="772" spans="1:15" ht="15.9" customHeight="1">
      <c r="A772" s="48"/>
      <c r="B772" s="49"/>
      <c r="C772" s="52"/>
      <c r="D772" s="52"/>
      <c r="E772" s="52"/>
      <c r="F772" s="11"/>
      <c r="G772" s="52">
        <f t="shared" si="178"/>
        <v>0</v>
      </c>
      <c r="H772" s="11"/>
      <c r="I772" s="11"/>
      <c r="J772" s="11"/>
      <c r="K772" s="57"/>
      <c r="L772" s="52">
        <f t="shared" si="179"/>
        <v>0</v>
      </c>
      <c r="M772" s="52">
        <f t="shared" si="180"/>
        <v>0</v>
      </c>
      <c r="N772" s="52">
        <f t="shared" si="181"/>
        <v>0</v>
      </c>
      <c r="O772" s="52">
        <f t="shared" si="182"/>
        <v>0</v>
      </c>
    </row>
    <row r="773" spans="1:15" ht="15.9" customHeight="1">
      <c r="A773" s="48"/>
      <c r="B773" s="49"/>
      <c r="C773" s="52"/>
      <c r="D773" s="52"/>
      <c r="E773" s="52"/>
      <c r="F773" s="11"/>
      <c r="G773" s="52">
        <f t="shared" si="178"/>
        <v>0</v>
      </c>
      <c r="H773" s="11"/>
      <c r="I773" s="11"/>
      <c r="J773" s="11"/>
      <c r="K773" s="57"/>
      <c r="L773" s="52">
        <f t="shared" si="179"/>
        <v>0</v>
      </c>
      <c r="M773" s="52">
        <f t="shared" si="180"/>
        <v>0</v>
      </c>
      <c r="N773" s="52">
        <f t="shared" si="181"/>
        <v>0</v>
      </c>
      <c r="O773" s="52">
        <f t="shared" si="182"/>
        <v>0</v>
      </c>
    </row>
    <row r="774" spans="1:15" ht="15.9" customHeight="1">
      <c r="A774" s="48"/>
      <c r="B774" s="49"/>
      <c r="C774" s="52"/>
      <c r="D774" s="52"/>
      <c r="E774" s="52"/>
      <c r="F774" s="11"/>
      <c r="G774" s="52">
        <f t="shared" si="178"/>
        <v>0</v>
      </c>
      <c r="H774" s="11"/>
      <c r="I774" s="11"/>
      <c r="J774" s="11"/>
      <c r="K774" s="57"/>
      <c r="L774" s="52">
        <f t="shared" si="179"/>
        <v>0</v>
      </c>
      <c r="M774" s="52">
        <f t="shared" si="180"/>
        <v>0</v>
      </c>
      <c r="N774" s="52">
        <f t="shared" si="181"/>
        <v>0</v>
      </c>
      <c r="O774" s="52">
        <f t="shared" si="182"/>
        <v>0</v>
      </c>
    </row>
    <row r="775" spans="1:15" ht="15.9" customHeight="1">
      <c r="A775" s="48"/>
      <c r="B775" s="49"/>
      <c r="C775" s="52"/>
      <c r="D775" s="52"/>
      <c r="E775" s="52"/>
      <c r="F775" s="11"/>
      <c r="G775" s="52">
        <f t="shared" si="178"/>
        <v>0</v>
      </c>
      <c r="H775" s="11"/>
      <c r="I775" s="11"/>
      <c r="J775" s="11"/>
      <c r="K775" s="57"/>
      <c r="L775" s="52">
        <f t="shared" si="179"/>
        <v>0</v>
      </c>
      <c r="M775" s="52">
        <f t="shared" si="180"/>
        <v>0</v>
      </c>
      <c r="N775" s="52">
        <f t="shared" si="181"/>
        <v>0</v>
      </c>
      <c r="O775" s="52">
        <f t="shared" si="182"/>
        <v>0</v>
      </c>
    </row>
    <row r="776" spans="1:15" ht="15.9" customHeight="1">
      <c r="A776" s="48"/>
      <c r="B776" s="49"/>
      <c r="C776" s="52"/>
      <c r="D776" s="52"/>
      <c r="E776" s="52"/>
      <c r="F776" s="11"/>
      <c r="G776" s="52">
        <f t="shared" si="178"/>
        <v>0</v>
      </c>
      <c r="H776" s="11"/>
      <c r="I776" s="11"/>
      <c r="J776" s="11"/>
      <c r="K776" s="57"/>
      <c r="L776" s="52">
        <f t="shared" si="179"/>
        <v>0</v>
      </c>
      <c r="M776" s="52">
        <f t="shared" si="180"/>
        <v>0</v>
      </c>
      <c r="N776" s="52">
        <f t="shared" si="181"/>
        <v>0</v>
      </c>
      <c r="O776" s="52">
        <f t="shared" si="182"/>
        <v>0</v>
      </c>
    </row>
    <row r="777" spans="1:15" ht="15.9" customHeight="1">
      <c r="A777" s="48"/>
      <c r="B777" s="49"/>
      <c r="C777" s="52"/>
      <c r="D777" s="52"/>
      <c r="E777" s="52"/>
      <c r="F777" s="11"/>
      <c r="G777" s="52">
        <f t="shared" si="178"/>
        <v>0</v>
      </c>
      <c r="H777" s="11"/>
      <c r="I777" s="11"/>
      <c r="J777" s="11"/>
      <c r="K777" s="57"/>
      <c r="L777" s="52">
        <f t="shared" si="179"/>
        <v>0</v>
      </c>
      <c r="M777" s="52">
        <f t="shared" si="180"/>
        <v>0</v>
      </c>
      <c r="N777" s="52">
        <f t="shared" si="181"/>
        <v>0</v>
      </c>
      <c r="O777" s="52">
        <f t="shared" si="182"/>
        <v>0</v>
      </c>
    </row>
    <row r="778" spans="1:15" ht="15.9" customHeight="1">
      <c r="A778" s="48"/>
      <c r="B778" s="49"/>
      <c r="C778" s="52"/>
      <c r="D778" s="52"/>
      <c r="E778" s="52"/>
      <c r="F778" s="11"/>
      <c r="G778" s="52">
        <f t="shared" si="178"/>
        <v>0</v>
      </c>
      <c r="H778" s="11"/>
      <c r="I778" s="11"/>
      <c r="J778" s="11"/>
      <c r="K778" s="57"/>
      <c r="L778" s="52">
        <f t="shared" si="179"/>
        <v>0</v>
      </c>
      <c r="M778" s="52">
        <f t="shared" si="180"/>
        <v>0</v>
      </c>
      <c r="N778" s="52">
        <f t="shared" si="181"/>
        <v>0</v>
      </c>
      <c r="O778" s="52">
        <f t="shared" si="182"/>
        <v>0</v>
      </c>
    </row>
    <row r="779" spans="1:15" ht="15.9" customHeight="1">
      <c r="A779" s="48"/>
      <c r="B779" s="49"/>
      <c r="C779" s="52"/>
      <c r="D779" s="52"/>
      <c r="E779" s="52"/>
      <c r="F779" s="11"/>
      <c r="G779" s="52">
        <f t="shared" si="178"/>
        <v>0</v>
      </c>
      <c r="H779" s="11"/>
      <c r="I779" s="11"/>
      <c r="J779" s="11"/>
      <c r="K779" s="57"/>
      <c r="L779" s="52">
        <f t="shared" si="179"/>
        <v>0</v>
      </c>
      <c r="M779" s="52">
        <f t="shared" si="180"/>
        <v>0</v>
      </c>
      <c r="N779" s="52">
        <f t="shared" si="181"/>
        <v>0</v>
      </c>
      <c r="O779" s="52">
        <f t="shared" si="182"/>
        <v>0</v>
      </c>
    </row>
    <row r="780" spans="1:15" ht="15.9" customHeight="1">
      <c r="A780" s="48"/>
      <c r="B780" s="49"/>
      <c r="C780" s="52"/>
      <c r="D780" s="52"/>
      <c r="E780" s="52"/>
      <c r="F780" s="11"/>
      <c r="G780" s="52">
        <f t="shared" si="178"/>
        <v>0</v>
      </c>
      <c r="H780" s="11"/>
      <c r="I780" s="11"/>
      <c r="J780" s="11"/>
      <c r="K780" s="57"/>
      <c r="L780" s="52">
        <f t="shared" si="179"/>
        <v>0</v>
      </c>
      <c r="M780" s="52">
        <f t="shared" si="180"/>
        <v>0</v>
      </c>
      <c r="N780" s="52">
        <f t="shared" si="181"/>
        <v>0</v>
      </c>
      <c r="O780" s="52">
        <f t="shared" si="182"/>
        <v>0</v>
      </c>
    </row>
    <row r="781" spans="1:15" ht="15.9" customHeight="1">
      <c r="A781" s="48"/>
      <c r="B781" s="49"/>
      <c r="C781" s="52"/>
      <c r="D781" s="52"/>
      <c r="E781" s="52"/>
      <c r="F781" s="11"/>
      <c r="G781" s="52">
        <f t="shared" si="178"/>
        <v>0</v>
      </c>
      <c r="H781" s="11"/>
      <c r="I781" s="11"/>
      <c r="J781" s="11"/>
      <c r="K781" s="57"/>
      <c r="L781" s="52">
        <f t="shared" si="179"/>
        <v>0</v>
      </c>
      <c r="M781" s="52">
        <f t="shared" si="180"/>
        <v>0</v>
      </c>
      <c r="N781" s="52">
        <f t="shared" si="181"/>
        <v>0</v>
      </c>
      <c r="O781" s="52">
        <f t="shared" si="182"/>
        <v>0</v>
      </c>
    </row>
    <row r="782" spans="1:15" ht="15.9" customHeight="1">
      <c r="A782" s="48"/>
      <c r="B782" s="49"/>
      <c r="C782" s="52"/>
      <c r="D782" s="52"/>
      <c r="E782" s="52"/>
      <c r="F782" s="11"/>
      <c r="G782" s="52">
        <f t="shared" si="178"/>
        <v>0</v>
      </c>
      <c r="H782" s="11"/>
      <c r="I782" s="11"/>
      <c r="J782" s="11"/>
      <c r="K782" s="57"/>
      <c r="L782" s="52">
        <f t="shared" si="179"/>
        <v>0</v>
      </c>
      <c r="M782" s="52">
        <f t="shared" si="180"/>
        <v>0</v>
      </c>
      <c r="N782" s="52">
        <f t="shared" si="181"/>
        <v>0</v>
      </c>
      <c r="O782" s="52">
        <f t="shared" si="182"/>
        <v>0</v>
      </c>
    </row>
    <row r="783" spans="1:15" ht="15.9" customHeight="1">
      <c r="A783" s="48"/>
      <c r="B783" s="49"/>
      <c r="C783" s="52"/>
      <c r="D783" s="52"/>
      <c r="E783" s="52"/>
      <c r="F783" s="11"/>
      <c r="G783" s="52">
        <f t="shared" si="178"/>
        <v>0</v>
      </c>
      <c r="H783" s="11"/>
      <c r="I783" s="11"/>
      <c r="J783" s="11"/>
      <c r="K783" s="57"/>
      <c r="L783" s="52">
        <f t="shared" si="179"/>
        <v>0</v>
      </c>
      <c r="M783" s="52">
        <f t="shared" si="180"/>
        <v>0</v>
      </c>
      <c r="N783" s="52">
        <f t="shared" si="181"/>
        <v>0</v>
      </c>
      <c r="O783" s="52">
        <f t="shared" si="182"/>
        <v>0</v>
      </c>
    </row>
    <row r="784" spans="1:15" ht="15.9" customHeight="1">
      <c r="A784" s="48"/>
      <c r="B784" s="49"/>
      <c r="C784" s="52"/>
      <c r="D784" s="52"/>
      <c r="E784" s="52"/>
      <c r="F784" s="11"/>
      <c r="G784" s="52">
        <f t="shared" si="178"/>
        <v>0</v>
      </c>
      <c r="H784" s="11"/>
      <c r="I784" s="11"/>
      <c r="J784" s="11"/>
      <c r="K784" s="57"/>
      <c r="L784" s="52">
        <f t="shared" si="179"/>
        <v>0</v>
      </c>
      <c r="M784" s="52">
        <f t="shared" si="180"/>
        <v>0</v>
      </c>
      <c r="N784" s="52">
        <f t="shared" si="181"/>
        <v>0</v>
      </c>
      <c r="O784" s="52">
        <f t="shared" si="182"/>
        <v>0</v>
      </c>
    </row>
    <row r="785" spans="1:15" ht="15.9" customHeight="1">
      <c r="A785" s="48"/>
      <c r="B785" s="49"/>
      <c r="C785" s="52"/>
      <c r="D785" s="52"/>
      <c r="E785" s="52"/>
      <c r="F785" s="11"/>
      <c r="G785" s="52">
        <f t="shared" si="178"/>
        <v>0</v>
      </c>
      <c r="H785" s="11"/>
      <c r="I785" s="11"/>
      <c r="J785" s="11"/>
      <c r="K785" s="57"/>
      <c r="L785" s="52">
        <f t="shared" si="179"/>
        <v>0</v>
      </c>
      <c r="M785" s="52">
        <f t="shared" si="180"/>
        <v>0</v>
      </c>
      <c r="N785" s="52">
        <f t="shared" si="181"/>
        <v>0</v>
      </c>
      <c r="O785" s="52">
        <f t="shared" si="182"/>
        <v>0</v>
      </c>
    </row>
    <row r="786" spans="1:15" ht="15.9" customHeight="1">
      <c r="A786" s="48"/>
      <c r="B786" s="49"/>
      <c r="C786" s="52"/>
      <c r="D786" s="52"/>
      <c r="E786" s="52"/>
      <c r="F786" s="11"/>
      <c r="G786" s="52">
        <f t="shared" si="178"/>
        <v>0</v>
      </c>
      <c r="H786" s="11"/>
      <c r="I786" s="11"/>
      <c r="J786" s="11"/>
      <c r="K786" s="57"/>
      <c r="L786" s="52">
        <f t="shared" si="179"/>
        <v>0</v>
      </c>
      <c r="M786" s="52">
        <f t="shared" si="180"/>
        <v>0</v>
      </c>
      <c r="N786" s="52">
        <f t="shared" si="181"/>
        <v>0</v>
      </c>
      <c r="O786" s="52">
        <f t="shared" si="182"/>
        <v>0</v>
      </c>
    </row>
    <row r="787" spans="1:15" ht="15.9" customHeight="1">
      <c r="A787" s="48"/>
      <c r="B787" s="49"/>
      <c r="C787" s="52"/>
      <c r="D787" s="52"/>
      <c r="E787" s="52"/>
      <c r="F787" s="11"/>
      <c r="G787" s="52">
        <f t="shared" si="178"/>
        <v>0</v>
      </c>
      <c r="H787" s="11"/>
      <c r="I787" s="11"/>
      <c r="J787" s="11"/>
      <c r="K787" s="57"/>
      <c r="L787" s="52">
        <f t="shared" si="179"/>
        <v>0</v>
      </c>
      <c r="M787" s="52">
        <f t="shared" si="180"/>
        <v>0</v>
      </c>
      <c r="N787" s="52">
        <f t="shared" si="181"/>
        <v>0</v>
      </c>
      <c r="O787" s="52">
        <f t="shared" si="182"/>
        <v>0</v>
      </c>
    </row>
    <row r="788" spans="1:15" ht="15.9" customHeight="1">
      <c r="A788" s="48"/>
      <c r="B788" s="49"/>
      <c r="C788" s="52"/>
      <c r="D788" s="52"/>
      <c r="E788" s="52"/>
      <c r="F788" s="11"/>
      <c r="G788" s="52">
        <f t="shared" si="178"/>
        <v>0</v>
      </c>
      <c r="H788" s="11"/>
      <c r="I788" s="11"/>
      <c r="J788" s="11"/>
      <c r="K788" s="57"/>
      <c r="L788" s="52">
        <f t="shared" si="179"/>
        <v>0</v>
      </c>
      <c r="M788" s="52">
        <f t="shared" si="180"/>
        <v>0</v>
      </c>
      <c r="N788" s="52">
        <f t="shared" si="181"/>
        <v>0</v>
      </c>
      <c r="O788" s="52">
        <f t="shared" si="182"/>
        <v>0</v>
      </c>
    </row>
    <row r="789" spans="1:15" ht="15.9" customHeight="1">
      <c r="A789" s="48"/>
      <c r="B789" s="49"/>
      <c r="C789" s="52"/>
      <c r="D789" s="52"/>
      <c r="E789" s="52"/>
      <c r="F789" s="11"/>
      <c r="G789" s="52">
        <f t="shared" si="178"/>
        <v>0</v>
      </c>
      <c r="H789" s="11"/>
      <c r="I789" s="11"/>
      <c r="J789" s="11"/>
      <c r="K789" s="57"/>
      <c r="L789" s="52">
        <f t="shared" si="179"/>
        <v>0</v>
      </c>
      <c r="M789" s="52">
        <f t="shared" si="180"/>
        <v>0</v>
      </c>
      <c r="N789" s="52">
        <f t="shared" si="181"/>
        <v>0</v>
      </c>
      <c r="O789" s="52">
        <f t="shared" si="182"/>
        <v>0</v>
      </c>
    </row>
    <row r="790" spans="1:15" ht="15.9" customHeight="1">
      <c r="A790" s="48"/>
      <c r="B790" s="49"/>
      <c r="C790" s="52"/>
      <c r="D790" s="52"/>
      <c r="E790" s="52"/>
      <c r="F790" s="11"/>
      <c r="G790" s="52">
        <f t="shared" si="178"/>
        <v>0</v>
      </c>
      <c r="H790" s="11"/>
      <c r="I790" s="11"/>
      <c r="J790" s="11"/>
      <c r="K790" s="57"/>
      <c r="L790" s="52">
        <f t="shared" si="179"/>
        <v>0</v>
      </c>
      <c r="M790" s="52">
        <f t="shared" si="180"/>
        <v>0</v>
      </c>
      <c r="N790" s="52">
        <f t="shared" si="181"/>
        <v>0</v>
      </c>
      <c r="O790" s="52">
        <f t="shared" si="182"/>
        <v>0</v>
      </c>
    </row>
    <row r="791" spans="1:15" ht="15.9" customHeight="1">
      <c r="A791" s="48"/>
      <c r="B791" s="49"/>
      <c r="C791" s="52"/>
      <c r="D791" s="52"/>
      <c r="E791" s="52"/>
      <c r="F791" s="11"/>
      <c r="G791" s="52">
        <f t="shared" si="178"/>
        <v>0</v>
      </c>
      <c r="H791" s="11"/>
      <c r="I791" s="11"/>
      <c r="J791" s="11"/>
      <c r="K791" s="57"/>
      <c r="L791" s="52">
        <f t="shared" si="179"/>
        <v>0</v>
      </c>
      <c r="M791" s="52">
        <f t="shared" si="180"/>
        <v>0</v>
      </c>
      <c r="N791" s="52">
        <f t="shared" si="181"/>
        <v>0</v>
      </c>
      <c r="O791" s="52">
        <f t="shared" si="182"/>
        <v>0</v>
      </c>
    </row>
    <row r="792" spans="1:15" ht="15.9" customHeight="1">
      <c r="A792" s="48"/>
      <c r="B792" s="49"/>
      <c r="C792" s="52"/>
      <c r="D792" s="52"/>
      <c r="E792" s="52"/>
      <c r="F792" s="11"/>
      <c r="G792" s="52">
        <f t="shared" si="178"/>
        <v>0</v>
      </c>
      <c r="H792" s="11"/>
      <c r="I792" s="11"/>
      <c r="J792" s="11"/>
      <c r="K792" s="57"/>
      <c r="L792" s="52">
        <f t="shared" si="179"/>
        <v>0</v>
      </c>
      <c r="M792" s="52">
        <f t="shared" si="180"/>
        <v>0</v>
      </c>
      <c r="N792" s="52">
        <f t="shared" si="181"/>
        <v>0</v>
      </c>
      <c r="O792" s="52">
        <f t="shared" si="182"/>
        <v>0</v>
      </c>
    </row>
    <row r="793" spans="1:15" ht="15.9" customHeight="1">
      <c r="A793" s="48"/>
      <c r="B793" s="49"/>
      <c r="C793" s="52"/>
      <c r="D793" s="52"/>
      <c r="E793" s="52"/>
      <c r="F793" s="11"/>
      <c r="G793" s="52">
        <f t="shared" si="178"/>
        <v>0</v>
      </c>
      <c r="H793" s="11"/>
      <c r="I793" s="11"/>
      <c r="J793" s="11"/>
      <c r="K793" s="57"/>
      <c r="L793" s="52">
        <f t="shared" si="179"/>
        <v>0</v>
      </c>
      <c r="M793" s="52">
        <f t="shared" si="180"/>
        <v>0</v>
      </c>
      <c r="N793" s="52">
        <f t="shared" si="181"/>
        <v>0</v>
      </c>
      <c r="O793" s="52">
        <f t="shared" si="182"/>
        <v>0</v>
      </c>
    </row>
    <row r="794" spans="1:15" ht="15.9" customHeight="1">
      <c r="A794" s="48"/>
      <c r="B794" s="49"/>
      <c r="C794" s="52"/>
      <c r="D794" s="52"/>
      <c r="E794" s="52"/>
      <c r="F794" s="11"/>
      <c r="G794" s="52">
        <f t="shared" si="178"/>
        <v>0</v>
      </c>
      <c r="H794" s="11"/>
      <c r="I794" s="11"/>
      <c r="J794" s="11"/>
      <c r="K794" s="57"/>
      <c r="L794" s="52">
        <f t="shared" si="179"/>
        <v>0</v>
      </c>
      <c r="M794" s="52">
        <f t="shared" si="180"/>
        <v>0</v>
      </c>
      <c r="N794" s="52">
        <f t="shared" si="181"/>
        <v>0</v>
      </c>
      <c r="O794" s="52">
        <f t="shared" si="182"/>
        <v>0</v>
      </c>
    </row>
    <row r="795" spans="1:15" ht="15.9" customHeight="1">
      <c r="A795" s="48"/>
      <c r="B795" s="49"/>
      <c r="C795" s="52"/>
      <c r="D795" s="52"/>
      <c r="E795" s="52"/>
      <c r="F795" s="11"/>
      <c r="G795" s="52">
        <f t="shared" si="178"/>
        <v>0</v>
      </c>
      <c r="H795" s="11"/>
      <c r="I795" s="11"/>
      <c r="J795" s="11"/>
      <c r="K795" s="57"/>
      <c r="L795" s="52">
        <f t="shared" si="179"/>
        <v>0</v>
      </c>
      <c r="M795" s="52">
        <f t="shared" si="180"/>
        <v>0</v>
      </c>
      <c r="N795" s="52">
        <f t="shared" si="181"/>
        <v>0</v>
      </c>
      <c r="O795" s="52">
        <f t="shared" si="182"/>
        <v>0</v>
      </c>
    </row>
    <row r="796" spans="1:15" ht="15.9" customHeight="1">
      <c r="A796" s="48"/>
      <c r="B796" s="49"/>
      <c r="C796" s="52"/>
      <c r="D796" s="52"/>
      <c r="E796" s="52"/>
      <c r="F796" s="11"/>
      <c r="G796" s="52">
        <f t="shared" si="178"/>
        <v>0</v>
      </c>
      <c r="H796" s="11"/>
      <c r="I796" s="11"/>
      <c r="J796" s="11"/>
      <c r="K796" s="57"/>
      <c r="L796" s="52">
        <f t="shared" si="179"/>
        <v>0</v>
      </c>
      <c r="M796" s="52">
        <f t="shared" si="180"/>
        <v>0</v>
      </c>
      <c r="N796" s="52">
        <f t="shared" si="181"/>
        <v>0</v>
      </c>
      <c r="O796" s="52">
        <f t="shared" si="182"/>
        <v>0</v>
      </c>
    </row>
    <row r="797" spans="1:15" ht="15.9" customHeight="1">
      <c r="A797" s="48"/>
      <c r="B797" s="49"/>
      <c r="C797" s="52"/>
      <c r="D797" s="52"/>
      <c r="E797" s="52"/>
      <c r="F797" s="11"/>
      <c r="G797" s="52">
        <f t="shared" si="178"/>
        <v>0</v>
      </c>
      <c r="H797" s="11"/>
      <c r="I797" s="11"/>
      <c r="J797" s="11"/>
      <c r="K797" s="57"/>
      <c r="L797" s="52">
        <f t="shared" si="179"/>
        <v>0</v>
      </c>
      <c r="M797" s="52">
        <f t="shared" si="180"/>
        <v>0</v>
      </c>
      <c r="N797" s="52">
        <f t="shared" si="181"/>
        <v>0</v>
      </c>
      <c r="O797" s="52">
        <f t="shared" si="182"/>
        <v>0</v>
      </c>
    </row>
    <row r="798" spans="1:15" ht="15.9" customHeight="1">
      <c r="A798" s="48"/>
      <c r="B798" s="49"/>
      <c r="C798" s="52"/>
      <c r="D798" s="52"/>
      <c r="E798" s="52"/>
      <c r="F798" s="11"/>
      <c r="G798" s="52">
        <f t="shared" si="178"/>
        <v>0</v>
      </c>
      <c r="H798" s="11"/>
      <c r="I798" s="11"/>
      <c r="J798" s="11"/>
      <c r="K798" s="57"/>
      <c r="L798" s="52">
        <f t="shared" si="179"/>
        <v>0</v>
      </c>
      <c r="M798" s="52">
        <f t="shared" si="180"/>
        <v>0</v>
      </c>
      <c r="N798" s="52">
        <f t="shared" si="181"/>
        <v>0</v>
      </c>
      <c r="O798" s="52">
        <f t="shared" si="182"/>
        <v>0</v>
      </c>
    </row>
    <row r="799" spans="1:15" ht="15.9" customHeight="1">
      <c r="A799" s="48"/>
      <c r="B799" s="49"/>
      <c r="C799" s="52"/>
      <c r="D799" s="52"/>
      <c r="E799" s="52"/>
      <c r="F799" s="11"/>
      <c r="G799" s="52">
        <f t="shared" si="178"/>
        <v>0</v>
      </c>
      <c r="H799" s="11"/>
      <c r="I799" s="11"/>
      <c r="J799" s="11"/>
      <c r="K799" s="57"/>
      <c r="L799" s="52">
        <f t="shared" si="179"/>
        <v>0</v>
      </c>
      <c r="M799" s="52">
        <f t="shared" si="180"/>
        <v>0</v>
      </c>
      <c r="N799" s="52">
        <f t="shared" si="181"/>
        <v>0</v>
      </c>
      <c r="O799" s="52">
        <f t="shared" si="182"/>
        <v>0</v>
      </c>
    </row>
    <row r="800" spans="1:15" ht="15.9" customHeight="1">
      <c r="A800" s="48"/>
      <c r="B800" s="49"/>
      <c r="C800" s="52"/>
      <c r="D800" s="52"/>
      <c r="E800" s="52"/>
      <c r="F800" s="11"/>
      <c r="G800" s="52">
        <f t="shared" si="178"/>
        <v>0</v>
      </c>
      <c r="H800" s="11"/>
      <c r="I800" s="11"/>
      <c r="J800" s="11"/>
      <c r="K800" s="57"/>
      <c r="L800" s="52">
        <f t="shared" ref="L800:L815" si="183">G800*H800/100</f>
        <v>0</v>
      </c>
      <c r="M800" s="52">
        <f t="shared" ref="M800:M815" si="184">G800*I800/100</f>
        <v>0</v>
      </c>
      <c r="N800" s="52">
        <f t="shared" ref="N800:N815" si="185">G800*J800/100</f>
        <v>0</v>
      </c>
      <c r="O800" s="52">
        <f t="shared" ref="O800:O815" si="186">G800*K800/1000</f>
        <v>0</v>
      </c>
    </row>
    <row r="801" spans="1:15" ht="15.9" customHeight="1">
      <c r="A801" s="48"/>
      <c r="B801" s="49"/>
      <c r="C801" s="52"/>
      <c r="D801" s="52"/>
      <c r="E801" s="52"/>
      <c r="F801" s="11"/>
      <c r="G801" s="52">
        <f t="shared" si="178"/>
        <v>0</v>
      </c>
      <c r="H801" s="11"/>
      <c r="I801" s="11"/>
      <c r="J801" s="11"/>
      <c r="K801" s="57"/>
      <c r="L801" s="52">
        <f t="shared" si="183"/>
        <v>0</v>
      </c>
      <c r="M801" s="52">
        <f t="shared" si="184"/>
        <v>0</v>
      </c>
      <c r="N801" s="52">
        <f t="shared" si="185"/>
        <v>0</v>
      </c>
      <c r="O801" s="52">
        <f t="shared" si="186"/>
        <v>0</v>
      </c>
    </row>
    <row r="802" spans="1:15" ht="15.9" customHeight="1">
      <c r="A802" s="48"/>
      <c r="B802" s="49"/>
      <c r="C802" s="52"/>
      <c r="D802" s="52"/>
      <c r="E802" s="52"/>
      <c r="F802" s="11"/>
      <c r="G802" s="52">
        <f t="shared" si="178"/>
        <v>0</v>
      </c>
      <c r="H802" s="11"/>
      <c r="I802" s="11"/>
      <c r="J802" s="11"/>
      <c r="K802" s="57"/>
      <c r="L802" s="52">
        <f t="shared" si="183"/>
        <v>0</v>
      </c>
      <c r="M802" s="52">
        <f t="shared" si="184"/>
        <v>0</v>
      </c>
      <c r="N802" s="52">
        <f t="shared" si="185"/>
        <v>0</v>
      </c>
      <c r="O802" s="52">
        <f t="shared" si="186"/>
        <v>0</v>
      </c>
    </row>
    <row r="803" spans="1:15" ht="15.9" customHeight="1">
      <c r="A803" s="48"/>
      <c r="B803" s="49"/>
      <c r="C803" s="52"/>
      <c r="D803" s="52"/>
      <c r="E803" s="52"/>
      <c r="F803" s="11"/>
      <c r="G803" s="52">
        <f t="shared" si="178"/>
        <v>0</v>
      </c>
      <c r="H803" s="11"/>
      <c r="I803" s="11"/>
      <c r="J803" s="11"/>
      <c r="K803" s="57"/>
      <c r="L803" s="52">
        <f t="shared" si="183"/>
        <v>0</v>
      </c>
      <c r="M803" s="52">
        <f t="shared" si="184"/>
        <v>0</v>
      </c>
      <c r="N803" s="52">
        <f t="shared" si="185"/>
        <v>0</v>
      </c>
      <c r="O803" s="52">
        <f t="shared" si="186"/>
        <v>0</v>
      </c>
    </row>
    <row r="804" spans="1:15" ht="15.9" customHeight="1">
      <c r="A804" s="48"/>
      <c r="B804" s="49"/>
      <c r="C804" s="52"/>
      <c r="D804" s="52"/>
      <c r="E804" s="52"/>
      <c r="F804" s="11"/>
      <c r="G804" s="52">
        <f t="shared" si="178"/>
        <v>0</v>
      </c>
      <c r="H804" s="11"/>
      <c r="I804" s="11"/>
      <c r="J804" s="11"/>
      <c r="K804" s="57"/>
      <c r="L804" s="52">
        <f t="shared" si="183"/>
        <v>0</v>
      </c>
      <c r="M804" s="52">
        <f t="shared" si="184"/>
        <v>0</v>
      </c>
      <c r="N804" s="52">
        <f t="shared" si="185"/>
        <v>0</v>
      </c>
      <c r="O804" s="52">
        <f t="shared" si="186"/>
        <v>0</v>
      </c>
    </row>
    <row r="805" spans="1:15" ht="15.9" customHeight="1">
      <c r="A805" s="48"/>
      <c r="B805" s="49"/>
      <c r="C805" s="52"/>
      <c r="D805" s="52"/>
      <c r="E805" s="52"/>
      <c r="F805" s="11"/>
      <c r="G805" s="52">
        <f t="shared" si="178"/>
        <v>0</v>
      </c>
      <c r="H805" s="11"/>
      <c r="I805" s="11"/>
      <c r="J805" s="11"/>
      <c r="K805" s="57"/>
      <c r="L805" s="52">
        <f t="shared" si="183"/>
        <v>0</v>
      </c>
      <c r="M805" s="52">
        <f t="shared" si="184"/>
        <v>0</v>
      </c>
      <c r="N805" s="52">
        <f t="shared" si="185"/>
        <v>0</v>
      </c>
      <c r="O805" s="52">
        <f t="shared" si="186"/>
        <v>0</v>
      </c>
    </row>
    <row r="806" spans="1:15" ht="15.9" customHeight="1">
      <c r="A806" s="48"/>
      <c r="B806" s="49"/>
      <c r="C806" s="52"/>
      <c r="D806" s="52"/>
      <c r="E806" s="52"/>
      <c r="F806" s="11"/>
      <c r="G806" s="52">
        <f t="shared" si="178"/>
        <v>0</v>
      </c>
      <c r="H806" s="11"/>
      <c r="I806" s="11"/>
      <c r="J806" s="11"/>
      <c r="K806" s="57"/>
      <c r="L806" s="52">
        <f t="shared" si="183"/>
        <v>0</v>
      </c>
      <c r="M806" s="52">
        <f t="shared" si="184"/>
        <v>0</v>
      </c>
      <c r="N806" s="52">
        <f t="shared" si="185"/>
        <v>0</v>
      </c>
      <c r="O806" s="52">
        <f t="shared" si="186"/>
        <v>0</v>
      </c>
    </row>
    <row r="807" spans="1:15" ht="15.9" customHeight="1">
      <c r="A807" s="48"/>
      <c r="B807" s="49"/>
      <c r="C807" s="52"/>
      <c r="D807" s="52"/>
      <c r="E807" s="52"/>
      <c r="F807" s="11"/>
      <c r="G807" s="52">
        <f t="shared" si="178"/>
        <v>0</v>
      </c>
      <c r="H807" s="11"/>
      <c r="I807" s="11"/>
      <c r="J807" s="11"/>
      <c r="K807" s="57"/>
      <c r="L807" s="52">
        <f t="shared" si="183"/>
        <v>0</v>
      </c>
      <c r="M807" s="52">
        <f t="shared" si="184"/>
        <v>0</v>
      </c>
      <c r="N807" s="52">
        <f t="shared" si="185"/>
        <v>0</v>
      </c>
      <c r="O807" s="52">
        <f t="shared" si="186"/>
        <v>0</v>
      </c>
    </row>
    <row r="808" spans="1:15" ht="15.9" customHeight="1">
      <c r="A808" s="48"/>
      <c r="B808" s="49"/>
      <c r="C808" s="52"/>
      <c r="D808" s="52"/>
      <c r="E808" s="52"/>
      <c r="F808" s="11"/>
      <c r="G808" s="52">
        <f t="shared" si="178"/>
        <v>0</v>
      </c>
      <c r="H808" s="11"/>
      <c r="I808" s="11"/>
      <c r="J808" s="11"/>
      <c r="K808" s="57"/>
      <c r="L808" s="52">
        <f t="shared" si="183"/>
        <v>0</v>
      </c>
      <c r="M808" s="52">
        <f t="shared" si="184"/>
        <v>0</v>
      </c>
      <c r="N808" s="52">
        <f t="shared" si="185"/>
        <v>0</v>
      </c>
      <c r="O808" s="52">
        <f t="shared" si="186"/>
        <v>0</v>
      </c>
    </row>
    <row r="809" spans="1:15" ht="15.9" customHeight="1">
      <c r="A809" s="48"/>
      <c r="B809" s="49"/>
      <c r="C809" s="52"/>
      <c r="D809" s="52"/>
      <c r="E809" s="52"/>
      <c r="F809" s="11"/>
      <c r="G809" s="52">
        <f t="shared" si="178"/>
        <v>0</v>
      </c>
      <c r="H809" s="11"/>
      <c r="I809" s="11"/>
      <c r="J809" s="11"/>
      <c r="K809" s="57"/>
      <c r="L809" s="52">
        <f t="shared" si="183"/>
        <v>0</v>
      </c>
      <c r="M809" s="52">
        <f t="shared" si="184"/>
        <v>0</v>
      </c>
      <c r="N809" s="52">
        <f t="shared" si="185"/>
        <v>0</v>
      </c>
      <c r="O809" s="52">
        <f t="shared" si="186"/>
        <v>0</v>
      </c>
    </row>
    <row r="810" spans="1:15" ht="15.9" customHeight="1">
      <c r="A810" s="48"/>
      <c r="B810" s="49"/>
      <c r="C810" s="52"/>
      <c r="D810" s="52"/>
      <c r="E810" s="52"/>
      <c r="F810" s="11"/>
      <c r="G810" s="52">
        <f t="shared" si="178"/>
        <v>0</v>
      </c>
      <c r="H810" s="11"/>
      <c r="I810" s="11"/>
      <c r="J810" s="11"/>
      <c r="K810" s="57"/>
      <c r="L810" s="52">
        <f t="shared" si="183"/>
        <v>0</v>
      </c>
      <c r="M810" s="52">
        <f t="shared" si="184"/>
        <v>0</v>
      </c>
      <c r="N810" s="52">
        <f t="shared" si="185"/>
        <v>0</v>
      </c>
      <c r="O810" s="52">
        <f t="shared" si="186"/>
        <v>0</v>
      </c>
    </row>
    <row r="811" spans="1:15" ht="15.9" customHeight="1">
      <c r="A811" s="48"/>
      <c r="B811" s="49"/>
      <c r="C811" s="52"/>
      <c r="D811" s="52"/>
      <c r="E811" s="52"/>
      <c r="F811" s="11"/>
      <c r="G811" s="52">
        <f t="shared" si="178"/>
        <v>0</v>
      </c>
      <c r="H811" s="11"/>
      <c r="I811" s="11"/>
      <c r="J811" s="11"/>
      <c r="K811" s="57"/>
      <c r="L811" s="52">
        <f t="shared" si="183"/>
        <v>0</v>
      </c>
      <c r="M811" s="52">
        <f t="shared" si="184"/>
        <v>0</v>
      </c>
      <c r="N811" s="52">
        <f t="shared" si="185"/>
        <v>0</v>
      </c>
      <c r="O811" s="52">
        <f t="shared" si="186"/>
        <v>0</v>
      </c>
    </row>
    <row r="812" spans="1:15" ht="15.9" customHeight="1">
      <c r="A812" s="48"/>
      <c r="B812" s="49"/>
      <c r="C812" s="52"/>
      <c r="D812" s="52"/>
      <c r="E812" s="52"/>
      <c r="F812" s="11"/>
      <c r="G812" s="52">
        <f t="shared" si="178"/>
        <v>0</v>
      </c>
      <c r="H812" s="11"/>
      <c r="I812" s="11"/>
      <c r="J812" s="11"/>
      <c r="K812" s="57"/>
      <c r="L812" s="52">
        <f t="shared" si="183"/>
        <v>0</v>
      </c>
      <c r="M812" s="52">
        <f t="shared" si="184"/>
        <v>0</v>
      </c>
      <c r="N812" s="52">
        <f t="shared" si="185"/>
        <v>0</v>
      </c>
      <c r="O812" s="52">
        <f t="shared" si="186"/>
        <v>0</v>
      </c>
    </row>
    <row r="813" spans="1:15" ht="15.9" customHeight="1">
      <c r="A813" s="48"/>
      <c r="B813" s="49"/>
      <c r="C813" s="52"/>
      <c r="D813" s="52"/>
      <c r="E813" s="52"/>
      <c r="F813" s="11"/>
      <c r="G813" s="52">
        <f t="shared" si="178"/>
        <v>0</v>
      </c>
      <c r="H813" s="11"/>
      <c r="I813" s="11"/>
      <c r="J813" s="11"/>
      <c r="K813" s="57"/>
      <c r="L813" s="52">
        <f t="shared" si="183"/>
        <v>0</v>
      </c>
      <c r="M813" s="52">
        <f t="shared" si="184"/>
        <v>0</v>
      </c>
      <c r="N813" s="52">
        <f t="shared" si="185"/>
        <v>0</v>
      </c>
      <c r="O813" s="52">
        <f t="shared" si="186"/>
        <v>0</v>
      </c>
    </row>
    <row r="814" spans="1:15" ht="15.9" customHeight="1">
      <c r="A814" s="48"/>
      <c r="B814" s="49"/>
      <c r="C814" s="52"/>
      <c r="D814" s="52"/>
      <c r="E814" s="52"/>
      <c r="F814" s="11"/>
      <c r="G814" s="52">
        <f t="shared" si="178"/>
        <v>0</v>
      </c>
      <c r="H814" s="11"/>
      <c r="I814" s="11"/>
      <c r="J814" s="11"/>
      <c r="K814" s="57"/>
      <c r="L814" s="52">
        <f t="shared" si="183"/>
        <v>0</v>
      </c>
      <c r="M814" s="52">
        <f t="shared" si="184"/>
        <v>0</v>
      </c>
      <c r="N814" s="52">
        <f t="shared" si="185"/>
        <v>0</v>
      </c>
      <c r="O814" s="52">
        <f t="shared" si="186"/>
        <v>0</v>
      </c>
    </row>
    <row r="815" spans="1:15" ht="15.9" customHeight="1">
      <c r="A815" s="48"/>
      <c r="B815" s="49"/>
      <c r="C815" s="52"/>
      <c r="D815" s="52"/>
      <c r="E815" s="52"/>
      <c r="F815" s="11"/>
      <c r="G815" s="52">
        <f t="shared" si="178"/>
        <v>0</v>
      </c>
      <c r="H815" s="11"/>
      <c r="I815" s="11"/>
      <c r="J815" s="11"/>
      <c r="K815" s="57"/>
      <c r="L815" s="52">
        <f t="shared" si="183"/>
        <v>0</v>
      </c>
      <c r="M815" s="52">
        <f t="shared" si="184"/>
        <v>0</v>
      </c>
      <c r="N815" s="52">
        <f t="shared" si="185"/>
        <v>0</v>
      </c>
      <c r="O815" s="52">
        <f t="shared" si="186"/>
        <v>0</v>
      </c>
    </row>
    <row r="816" spans="1:15" ht="15.9" customHeight="1">
      <c r="A816" s="48"/>
      <c r="B816" s="49"/>
      <c r="C816" s="52"/>
      <c r="D816" s="52"/>
      <c r="E816" s="52"/>
      <c r="F816" s="11"/>
      <c r="G816" s="52">
        <f t="shared" si="178"/>
        <v>0</v>
      </c>
      <c r="H816" s="11"/>
      <c r="I816" s="11"/>
      <c r="J816" s="11"/>
      <c r="K816" s="57"/>
      <c r="L816" s="52">
        <f t="shared" si="179"/>
        <v>0</v>
      </c>
      <c r="M816" s="52">
        <f t="shared" si="180"/>
        <v>0</v>
      </c>
      <c r="N816" s="52">
        <f t="shared" si="181"/>
        <v>0</v>
      </c>
      <c r="O816" s="52">
        <f t="shared" si="182"/>
        <v>0</v>
      </c>
    </row>
    <row r="817" spans="1:15" ht="15.9" customHeight="1">
      <c r="A817" s="48"/>
      <c r="B817" s="49"/>
      <c r="C817" s="52"/>
      <c r="D817" s="52"/>
      <c r="E817" s="52"/>
      <c r="F817" s="11"/>
      <c r="G817" s="52">
        <f t="shared" si="178"/>
        <v>0</v>
      </c>
      <c r="H817" s="11"/>
      <c r="I817" s="11"/>
      <c r="J817" s="11"/>
      <c r="K817" s="57"/>
      <c r="L817" s="52">
        <f t="shared" si="179"/>
        <v>0</v>
      </c>
      <c r="M817" s="52">
        <f t="shared" si="180"/>
        <v>0</v>
      </c>
      <c r="N817" s="52">
        <f t="shared" si="181"/>
        <v>0</v>
      </c>
      <c r="O817" s="52">
        <f t="shared" si="182"/>
        <v>0</v>
      </c>
    </row>
    <row r="818" spans="1:15" ht="15.9" customHeight="1">
      <c r="A818" s="48"/>
      <c r="B818" s="49"/>
      <c r="C818" s="52"/>
      <c r="D818" s="52"/>
      <c r="E818" s="52"/>
      <c r="F818" s="11"/>
      <c r="G818" s="52">
        <f t="shared" si="178"/>
        <v>0</v>
      </c>
      <c r="H818" s="11"/>
      <c r="I818" s="11"/>
      <c r="J818" s="11"/>
      <c r="K818" s="57"/>
      <c r="L818" s="52">
        <f t="shared" si="179"/>
        <v>0</v>
      </c>
      <c r="M818" s="52">
        <f t="shared" si="180"/>
        <v>0</v>
      </c>
      <c r="N818" s="52">
        <f t="shared" si="181"/>
        <v>0</v>
      </c>
      <c r="O818" s="52">
        <f t="shared" si="182"/>
        <v>0</v>
      </c>
    </row>
    <row r="819" spans="1:15" ht="15.9" customHeight="1">
      <c r="A819" s="48"/>
      <c r="B819" s="49"/>
      <c r="C819" s="52"/>
      <c r="D819" s="52"/>
      <c r="E819" s="52"/>
      <c r="F819" s="11"/>
      <c r="G819" s="52">
        <f t="shared" si="178"/>
        <v>0</v>
      </c>
      <c r="H819" s="11"/>
      <c r="I819" s="11"/>
      <c r="J819" s="11"/>
      <c r="K819" s="57"/>
      <c r="L819" s="52">
        <f t="shared" si="179"/>
        <v>0</v>
      </c>
      <c r="M819" s="52">
        <f t="shared" si="180"/>
        <v>0</v>
      </c>
      <c r="N819" s="52">
        <f t="shared" si="181"/>
        <v>0</v>
      </c>
      <c r="O819" s="52">
        <f t="shared" si="182"/>
        <v>0</v>
      </c>
    </row>
    <row r="820" spans="1:15" ht="15.9" customHeight="1">
      <c r="A820" s="48"/>
      <c r="B820" s="49"/>
      <c r="C820" s="52"/>
      <c r="D820" s="52"/>
      <c r="E820" s="52"/>
      <c r="F820" s="11"/>
      <c r="G820" s="52">
        <f t="shared" si="178"/>
        <v>0</v>
      </c>
      <c r="H820" s="11"/>
      <c r="I820" s="11"/>
      <c r="J820" s="11"/>
      <c r="K820" s="57"/>
      <c r="L820" s="52">
        <f t="shared" si="179"/>
        <v>0</v>
      </c>
      <c r="M820" s="52">
        <f t="shared" si="180"/>
        <v>0</v>
      </c>
      <c r="N820" s="52">
        <f t="shared" si="181"/>
        <v>0</v>
      </c>
      <c r="O820" s="52">
        <f t="shared" si="182"/>
        <v>0</v>
      </c>
    </row>
    <row r="821" spans="1:15" ht="15.9" customHeight="1">
      <c r="A821" s="48"/>
      <c r="B821" s="49"/>
      <c r="C821" s="52"/>
      <c r="D821" s="52"/>
      <c r="E821" s="52"/>
      <c r="F821" s="11"/>
      <c r="G821" s="52">
        <f t="shared" si="178"/>
        <v>0</v>
      </c>
      <c r="H821" s="11"/>
      <c r="I821" s="11"/>
      <c r="J821" s="11"/>
      <c r="K821" s="57"/>
      <c r="L821" s="52">
        <f t="shared" si="179"/>
        <v>0</v>
      </c>
      <c r="M821" s="52">
        <f t="shared" si="180"/>
        <v>0</v>
      </c>
      <c r="N821" s="52">
        <f t="shared" si="181"/>
        <v>0</v>
      </c>
      <c r="O821" s="52">
        <f t="shared" si="182"/>
        <v>0</v>
      </c>
    </row>
    <row r="822" spans="1:15" ht="15.9" customHeight="1">
      <c r="A822" s="48"/>
      <c r="B822" s="49"/>
      <c r="C822" s="52"/>
      <c r="D822" s="52"/>
      <c r="E822" s="52"/>
      <c r="F822" s="11"/>
      <c r="G822" s="52">
        <f t="shared" si="178"/>
        <v>0</v>
      </c>
      <c r="H822" s="11"/>
      <c r="I822" s="11"/>
      <c r="J822" s="11"/>
      <c r="K822" s="57"/>
      <c r="L822" s="52">
        <f t="shared" si="179"/>
        <v>0</v>
      </c>
      <c r="M822" s="52">
        <f t="shared" si="180"/>
        <v>0</v>
      </c>
      <c r="N822" s="52">
        <f t="shared" si="181"/>
        <v>0</v>
      </c>
      <c r="O822" s="52">
        <f t="shared" si="182"/>
        <v>0</v>
      </c>
    </row>
    <row r="823" spans="1:15" ht="15.9" customHeight="1">
      <c r="A823" s="48"/>
      <c r="B823" s="49"/>
      <c r="C823" s="52"/>
      <c r="D823" s="52"/>
      <c r="E823" s="52"/>
      <c r="F823" s="11"/>
      <c r="G823" s="52">
        <f t="shared" si="178"/>
        <v>0</v>
      </c>
      <c r="H823" s="11"/>
      <c r="I823" s="11"/>
      <c r="J823" s="11"/>
      <c r="K823" s="57"/>
      <c r="L823" s="52">
        <f t="shared" si="179"/>
        <v>0</v>
      </c>
      <c r="M823" s="52">
        <f t="shared" si="180"/>
        <v>0</v>
      </c>
      <c r="N823" s="52">
        <f t="shared" si="181"/>
        <v>0</v>
      </c>
      <c r="O823" s="52">
        <f t="shared" si="182"/>
        <v>0</v>
      </c>
    </row>
    <row r="824" spans="1:15" ht="15.9" customHeight="1">
      <c r="A824" s="48"/>
      <c r="B824" s="49"/>
      <c r="C824" s="66"/>
      <c r="D824" s="52"/>
      <c r="E824" s="52"/>
      <c r="F824" s="11"/>
      <c r="G824" s="52">
        <f t="shared" si="178"/>
        <v>0</v>
      </c>
      <c r="H824" s="11"/>
      <c r="I824" s="11"/>
      <c r="J824" s="11"/>
      <c r="K824" s="57"/>
      <c r="L824" s="52">
        <f t="shared" ref="L824:L844" si="187">G824*H824/100</f>
        <v>0</v>
      </c>
      <c r="M824" s="52">
        <f t="shared" ref="M824:M844" si="188">G824*I824/100</f>
        <v>0</v>
      </c>
      <c r="N824" s="52">
        <f t="shared" ref="N824:N844" si="189">G824*J824/100</f>
        <v>0</v>
      </c>
      <c r="O824" s="52">
        <f t="shared" ref="O824:O844" si="190">G824*K824/1000</f>
        <v>0</v>
      </c>
    </row>
    <row r="825" spans="1:15" ht="15.9" customHeight="1">
      <c r="A825" s="48"/>
      <c r="B825" s="49"/>
      <c r="C825" s="51"/>
      <c r="D825" s="52"/>
      <c r="E825" s="52"/>
      <c r="F825" s="11"/>
      <c r="G825" s="52">
        <f t="shared" si="178"/>
        <v>0</v>
      </c>
      <c r="H825" s="11"/>
      <c r="I825" s="11"/>
      <c r="J825" s="11"/>
      <c r="K825" s="57"/>
      <c r="L825" s="52">
        <f t="shared" si="187"/>
        <v>0</v>
      </c>
      <c r="M825" s="52">
        <f t="shared" si="188"/>
        <v>0</v>
      </c>
      <c r="N825" s="52">
        <f t="shared" si="189"/>
        <v>0</v>
      </c>
      <c r="O825" s="52">
        <f t="shared" si="190"/>
        <v>0</v>
      </c>
    </row>
    <row r="826" spans="1:15" ht="15.9" customHeight="1">
      <c r="A826" s="48"/>
      <c r="B826" s="49"/>
      <c r="C826" s="51"/>
      <c r="D826" s="52"/>
      <c r="E826" s="52"/>
      <c r="F826" s="11"/>
      <c r="G826" s="52">
        <f t="shared" si="178"/>
        <v>0</v>
      </c>
      <c r="H826" s="11"/>
      <c r="I826" s="11"/>
      <c r="J826" s="11"/>
      <c r="K826" s="57"/>
      <c r="L826" s="52">
        <f t="shared" si="187"/>
        <v>0</v>
      </c>
      <c r="M826" s="52">
        <f t="shared" si="188"/>
        <v>0</v>
      </c>
      <c r="N826" s="52">
        <f t="shared" si="189"/>
        <v>0</v>
      </c>
      <c r="O826" s="52">
        <f t="shared" si="190"/>
        <v>0</v>
      </c>
    </row>
    <row r="827" spans="1:15" ht="15.9" customHeight="1">
      <c r="A827" s="48"/>
      <c r="B827" s="49"/>
      <c r="C827" s="51"/>
      <c r="D827" s="52"/>
      <c r="E827" s="52"/>
      <c r="F827" s="11"/>
      <c r="G827" s="52">
        <f t="shared" si="178"/>
        <v>0</v>
      </c>
      <c r="H827" s="11"/>
      <c r="I827" s="11"/>
      <c r="J827" s="11"/>
      <c r="K827" s="57"/>
      <c r="L827" s="52">
        <f t="shared" si="187"/>
        <v>0</v>
      </c>
      <c r="M827" s="52">
        <f t="shared" si="188"/>
        <v>0</v>
      </c>
      <c r="N827" s="52">
        <f t="shared" si="189"/>
        <v>0</v>
      </c>
      <c r="O827" s="52">
        <f t="shared" si="190"/>
        <v>0</v>
      </c>
    </row>
    <row r="828" spans="1:15" ht="15.9" customHeight="1">
      <c r="A828" s="48"/>
      <c r="B828" s="49"/>
      <c r="C828" s="51"/>
      <c r="D828" s="52"/>
      <c r="E828" s="52"/>
      <c r="F828" s="11"/>
      <c r="G828" s="52">
        <f t="shared" si="178"/>
        <v>0</v>
      </c>
      <c r="H828" s="11"/>
      <c r="I828" s="11"/>
      <c r="J828" s="11"/>
      <c r="K828" s="57"/>
      <c r="L828" s="52">
        <f t="shared" si="187"/>
        <v>0</v>
      </c>
      <c r="M828" s="52">
        <f t="shared" si="188"/>
        <v>0</v>
      </c>
      <c r="N828" s="52">
        <f t="shared" si="189"/>
        <v>0</v>
      </c>
      <c r="O828" s="52">
        <f t="shared" si="190"/>
        <v>0</v>
      </c>
    </row>
    <row r="829" spans="1:15" ht="15.9" customHeight="1">
      <c r="A829" s="48"/>
      <c r="B829" s="49"/>
      <c r="C829" s="51"/>
      <c r="D829" s="52"/>
      <c r="E829" s="52"/>
      <c r="F829" s="11"/>
      <c r="G829" s="52">
        <f t="shared" si="178"/>
        <v>0</v>
      </c>
      <c r="H829" s="11"/>
      <c r="I829" s="11"/>
      <c r="J829" s="11"/>
      <c r="K829" s="57"/>
      <c r="L829" s="52">
        <f t="shared" si="187"/>
        <v>0</v>
      </c>
      <c r="M829" s="52">
        <f t="shared" si="188"/>
        <v>0</v>
      </c>
      <c r="N829" s="52">
        <f t="shared" si="189"/>
        <v>0</v>
      </c>
      <c r="O829" s="52">
        <f t="shared" si="190"/>
        <v>0</v>
      </c>
    </row>
    <row r="830" spans="1:15" ht="15.9" customHeight="1">
      <c r="A830" s="48"/>
      <c r="B830" s="49"/>
      <c r="C830" s="51"/>
      <c r="D830" s="52"/>
      <c r="E830" s="52"/>
      <c r="F830" s="11"/>
      <c r="G830" s="52">
        <f t="shared" si="178"/>
        <v>0</v>
      </c>
      <c r="H830" s="11"/>
      <c r="I830" s="11"/>
      <c r="J830" s="11"/>
      <c r="K830" s="57"/>
      <c r="L830" s="52">
        <f t="shared" si="187"/>
        <v>0</v>
      </c>
      <c r="M830" s="52">
        <f t="shared" si="188"/>
        <v>0</v>
      </c>
      <c r="N830" s="52">
        <f t="shared" si="189"/>
        <v>0</v>
      </c>
      <c r="O830" s="52">
        <f t="shared" si="190"/>
        <v>0</v>
      </c>
    </row>
    <row r="831" spans="1:15" ht="15.9" customHeight="1">
      <c r="A831" s="48"/>
      <c r="B831" s="49"/>
      <c r="C831" s="51"/>
      <c r="D831" s="52"/>
      <c r="E831" s="52"/>
      <c r="F831" s="11"/>
      <c r="G831" s="52">
        <f t="shared" si="178"/>
        <v>0</v>
      </c>
      <c r="H831" s="11"/>
      <c r="I831" s="11"/>
      <c r="J831" s="11"/>
      <c r="K831" s="57"/>
      <c r="L831" s="52">
        <f t="shared" si="187"/>
        <v>0</v>
      </c>
      <c r="M831" s="52">
        <f t="shared" si="188"/>
        <v>0</v>
      </c>
      <c r="N831" s="52">
        <f t="shared" si="189"/>
        <v>0</v>
      </c>
      <c r="O831" s="52">
        <f t="shared" si="190"/>
        <v>0</v>
      </c>
    </row>
    <row r="832" spans="1:15" ht="15.9" customHeight="1">
      <c r="A832" s="48"/>
      <c r="B832" s="49"/>
      <c r="C832" s="51"/>
      <c r="D832" s="52"/>
      <c r="E832" s="52"/>
      <c r="F832" s="11"/>
      <c r="G832" s="52">
        <f t="shared" si="178"/>
        <v>0</v>
      </c>
      <c r="H832" s="11"/>
      <c r="I832" s="11"/>
      <c r="J832" s="11"/>
      <c r="K832" s="57"/>
      <c r="L832" s="52">
        <f t="shared" si="187"/>
        <v>0</v>
      </c>
      <c r="M832" s="52">
        <f t="shared" si="188"/>
        <v>0</v>
      </c>
      <c r="N832" s="52">
        <f t="shared" si="189"/>
        <v>0</v>
      </c>
      <c r="O832" s="52">
        <f t="shared" si="190"/>
        <v>0</v>
      </c>
    </row>
    <row r="833" spans="1:15" ht="15.9" customHeight="1">
      <c r="A833" s="48"/>
      <c r="B833" s="49"/>
      <c r="C833" s="51"/>
      <c r="D833" s="52"/>
      <c r="E833" s="52"/>
      <c r="F833" s="11"/>
      <c r="G833" s="52">
        <f t="shared" ref="G833:G843" si="191">E833*(100-F833)/100</f>
        <v>0</v>
      </c>
      <c r="H833" s="11"/>
      <c r="I833" s="11"/>
      <c r="J833" s="11"/>
      <c r="K833" s="57"/>
      <c r="L833" s="52">
        <f t="shared" si="187"/>
        <v>0</v>
      </c>
      <c r="M833" s="52">
        <f t="shared" si="188"/>
        <v>0</v>
      </c>
      <c r="N833" s="52">
        <f t="shared" si="189"/>
        <v>0</v>
      </c>
      <c r="O833" s="52">
        <f t="shared" si="190"/>
        <v>0</v>
      </c>
    </row>
    <row r="834" spans="1:15" ht="15.9" customHeight="1">
      <c r="A834" s="48"/>
      <c r="B834" s="49"/>
      <c r="C834" s="51"/>
      <c r="D834" s="52"/>
      <c r="E834" s="52"/>
      <c r="F834" s="11"/>
      <c r="G834" s="52">
        <f t="shared" si="191"/>
        <v>0</v>
      </c>
      <c r="H834" s="11"/>
      <c r="I834" s="11"/>
      <c r="J834" s="11"/>
      <c r="K834" s="57"/>
      <c r="L834" s="52">
        <f t="shared" si="187"/>
        <v>0</v>
      </c>
      <c r="M834" s="52">
        <f t="shared" si="188"/>
        <v>0</v>
      </c>
      <c r="N834" s="52">
        <f t="shared" si="189"/>
        <v>0</v>
      </c>
      <c r="O834" s="52">
        <f t="shared" si="190"/>
        <v>0</v>
      </c>
    </row>
    <row r="835" spans="1:15" ht="15.9" customHeight="1">
      <c r="A835" s="48"/>
      <c r="B835" s="49"/>
      <c r="C835" s="51"/>
      <c r="D835" s="52"/>
      <c r="E835" s="52"/>
      <c r="F835" s="11"/>
      <c r="G835" s="52">
        <f t="shared" si="191"/>
        <v>0</v>
      </c>
      <c r="H835" s="11"/>
      <c r="I835" s="11"/>
      <c r="J835" s="11"/>
      <c r="K835" s="57"/>
      <c r="L835" s="52">
        <f t="shared" si="187"/>
        <v>0</v>
      </c>
      <c r="M835" s="52">
        <f t="shared" si="188"/>
        <v>0</v>
      </c>
      <c r="N835" s="52">
        <f t="shared" si="189"/>
        <v>0</v>
      </c>
      <c r="O835" s="52">
        <f t="shared" si="190"/>
        <v>0</v>
      </c>
    </row>
    <row r="836" spans="1:15" ht="15.9" customHeight="1">
      <c r="A836" s="48"/>
      <c r="B836" s="49"/>
      <c r="C836" s="51"/>
      <c r="D836" s="52"/>
      <c r="E836" s="52"/>
      <c r="F836" s="11"/>
      <c r="G836" s="52">
        <f t="shared" si="191"/>
        <v>0</v>
      </c>
      <c r="H836" s="11"/>
      <c r="I836" s="11"/>
      <c r="J836" s="11"/>
      <c r="K836" s="57"/>
      <c r="L836" s="52">
        <f t="shared" si="187"/>
        <v>0</v>
      </c>
      <c r="M836" s="52">
        <f t="shared" si="188"/>
        <v>0</v>
      </c>
      <c r="N836" s="52">
        <f t="shared" si="189"/>
        <v>0</v>
      </c>
      <c r="O836" s="52">
        <f t="shared" si="190"/>
        <v>0</v>
      </c>
    </row>
    <row r="837" spans="1:15" ht="15.9" customHeight="1">
      <c r="A837" s="48"/>
      <c r="B837" s="49"/>
      <c r="C837" s="51"/>
      <c r="D837" s="52"/>
      <c r="E837" s="52"/>
      <c r="F837" s="11"/>
      <c r="G837" s="52">
        <f t="shared" si="191"/>
        <v>0</v>
      </c>
      <c r="H837" s="11"/>
      <c r="I837" s="11"/>
      <c r="J837" s="11"/>
      <c r="K837" s="57"/>
      <c r="L837" s="52">
        <f t="shared" si="187"/>
        <v>0</v>
      </c>
      <c r="M837" s="52">
        <f t="shared" si="188"/>
        <v>0</v>
      </c>
      <c r="N837" s="52">
        <f t="shared" si="189"/>
        <v>0</v>
      </c>
      <c r="O837" s="52">
        <f t="shared" si="190"/>
        <v>0</v>
      </c>
    </row>
    <row r="838" spans="1:15" ht="15.9" customHeight="1">
      <c r="A838" s="48"/>
      <c r="B838" s="49"/>
      <c r="C838" s="51"/>
      <c r="D838" s="52"/>
      <c r="E838" s="52"/>
      <c r="F838" s="11"/>
      <c r="G838" s="52">
        <f t="shared" si="191"/>
        <v>0</v>
      </c>
      <c r="H838" s="11"/>
      <c r="I838" s="11"/>
      <c r="J838" s="11"/>
      <c r="K838" s="57"/>
      <c r="L838" s="52">
        <f t="shared" si="187"/>
        <v>0</v>
      </c>
      <c r="M838" s="52">
        <f t="shared" si="188"/>
        <v>0</v>
      </c>
      <c r="N838" s="52">
        <f t="shared" si="189"/>
        <v>0</v>
      </c>
      <c r="O838" s="52">
        <f t="shared" si="190"/>
        <v>0</v>
      </c>
    </row>
    <row r="839" spans="1:15" ht="15.9" customHeight="1">
      <c r="A839" s="48"/>
      <c r="B839" s="49"/>
      <c r="C839" s="51"/>
      <c r="D839" s="52"/>
      <c r="E839" s="52"/>
      <c r="F839" s="11"/>
      <c r="G839" s="52">
        <f t="shared" si="191"/>
        <v>0</v>
      </c>
      <c r="H839" s="11"/>
      <c r="I839" s="11"/>
      <c r="J839" s="11"/>
      <c r="K839" s="57"/>
      <c r="L839" s="52">
        <f t="shared" si="187"/>
        <v>0</v>
      </c>
      <c r="M839" s="52">
        <f t="shared" si="188"/>
        <v>0</v>
      </c>
      <c r="N839" s="52">
        <f t="shared" si="189"/>
        <v>0</v>
      </c>
      <c r="O839" s="52">
        <f t="shared" si="190"/>
        <v>0</v>
      </c>
    </row>
    <row r="840" spans="1:15" ht="15.9" customHeight="1">
      <c r="A840" s="48"/>
      <c r="B840" s="49"/>
      <c r="C840" s="51"/>
      <c r="D840" s="52"/>
      <c r="E840" s="52"/>
      <c r="F840" s="11"/>
      <c r="G840" s="52">
        <f t="shared" si="191"/>
        <v>0</v>
      </c>
      <c r="H840" s="11"/>
      <c r="I840" s="11"/>
      <c r="J840" s="11"/>
      <c r="K840" s="57"/>
      <c r="L840" s="52">
        <f t="shared" si="187"/>
        <v>0</v>
      </c>
      <c r="M840" s="52">
        <f t="shared" si="188"/>
        <v>0</v>
      </c>
      <c r="N840" s="52">
        <f t="shared" si="189"/>
        <v>0</v>
      </c>
      <c r="O840" s="52">
        <f t="shared" si="190"/>
        <v>0</v>
      </c>
    </row>
    <row r="841" spans="1:15" ht="15.9" customHeight="1">
      <c r="A841" s="48"/>
      <c r="B841" s="49"/>
      <c r="C841" s="51"/>
      <c r="D841" s="52"/>
      <c r="E841" s="52"/>
      <c r="F841" s="11"/>
      <c r="G841" s="52">
        <f t="shared" si="191"/>
        <v>0</v>
      </c>
      <c r="H841" s="11"/>
      <c r="I841" s="11"/>
      <c r="J841" s="11"/>
      <c r="K841" s="57"/>
      <c r="L841" s="52">
        <f t="shared" si="187"/>
        <v>0</v>
      </c>
      <c r="M841" s="52">
        <f t="shared" si="188"/>
        <v>0</v>
      </c>
      <c r="N841" s="52">
        <f t="shared" si="189"/>
        <v>0</v>
      </c>
      <c r="O841" s="52">
        <f t="shared" si="190"/>
        <v>0</v>
      </c>
    </row>
    <row r="842" spans="1:15" ht="15.9" customHeight="1">
      <c r="A842" s="48"/>
      <c r="B842" s="49"/>
      <c r="C842" s="51"/>
      <c r="D842" s="52"/>
      <c r="E842" s="52"/>
      <c r="F842" s="11"/>
      <c r="G842" s="52">
        <f t="shared" si="191"/>
        <v>0</v>
      </c>
      <c r="H842" s="11"/>
      <c r="I842" s="11"/>
      <c r="J842" s="11"/>
      <c r="K842" s="57"/>
      <c r="L842" s="52">
        <f t="shared" si="187"/>
        <v>0</v>
      </c>
      <c r="M842" s="52">
        <f t="shared" si="188"/>
        <v>0</v>
      </c>
      <c r="N842" s="52">
        <f t="shared" si="189"/>
        <v>0</v>
      </c>
      <c r="O842" s="52">
        <f t="shared" si="190"/>
        <v>0</v>
      </c>
    </row>
    <row r="843" spans="1:15" ht="15.9" customHeight="1">
      <c r="A843" s="48"/>
      <c r="B843" s="49"/>
      <c r="C843" s="51"/>
      <c r="D843" s="52"/>
      <c r="E843" s="52"/>
      <c r="F843" s="11"/>
      <c r="G843" s="52">
        <f t="shared" si="191"/>
        <v>0</v>
      </c>
      <c r="H843" s="11"/>
      <c r="I843" s="11"/>
      <c r="J843" s="11"/>
      <c r="K843" s="57"/>
      <c r="L843" s="52">
        <f t="shared" si="187"/>
        <v>0</v>
      </c>
      <c r="M843" s="52">
        <f t="shared" si="188"/>
        <v>0</v>
      </c>
      <c r="N843" s="52">
        <f t="shared" si="189"/>
        <v>0</v>
      </c>
      <c r="O843" s="52">
        <f t="shared" si="190"/>
        <v>0</v>
      </c>
    </row>
    <row r="844" spans="1:15" ht="15.9" customHeight="1">
      <c r="A844" s="48"/>
      <c r="B844" s="49"/>
      <c r="C844" s="51"/>
      <c r="D844" s="52"/>
      <c r="E844" s="52"/>
      <c r="F844" s="52"/>
      <c r="G844" s="52">
        <f t="shared" si="110"/>
        <v>0</v>
      </c>
      <c r="H844" s="52"/>
      <c r="I844" s="52"/>
      <c r="J844" s="52"/>
      <c r="K844" s="67"/>
      <c r="L844" s="52">
        <f t="shared" si="187"/>
        <v>0</v>
      </c>
      <c r="M844" s="52">
        <f t="shared" si="188"/>
        <v>0</v>
      </c>
      <c r="N844" s="52">
        <f t="shared" si="189"/>
        <v>0</v>
      </c>
      <c r="O844" s="52">
        <f t="shared" si="190"/>
        <v>0</v>
      </c>
    </row>
    <row r="845" spans="1:15" ht="15.9" customHeight="1">
      <c r="A845" s="48"/>
      <c r="B845" s="49"/>
      <c r="C845" s="51"/>
      <c r="D845" s="52"/>
      <c r="E845" s="52"/>
      <c r="F845" s="52"/>
      <c r="G845" s="52">
        <f t="shared" si="110"/>
        <v>0</v>
      </c>
      <c r="H845" s="52"/>
      <c r="I845" s="52"/>
      <c r="J845" s="52"/>
      <c r="K845" s="67"/>
      <c r="L845" s="52">
        <f t="shared" si="169"/>
        <v>0</v>
      </c>
      <c r="M845" s="52">
        <f t="shared" si="170"/>
        <v>0</v>
      </c>
      <c r="N845" s="52">
        <f t="shared" si="171"/>
        <v>0</v>
      </c>
      <c r="O845" s="52">
        <f t="shared" si="172"/>
        <v>0</v>
      </c>
    </row>
    <row r="846" spans="1:15" ht="15.9" customHeight="1">
      <c r="A846" s="48"/>
      <c r="B846" s="49"/>
      <c r="C846" s="51"/>
      <c r="D846" s="52"/>
      <c r="E846" s="52"/>
      <c r="F846" s="52"/>
      <c r="G846" s="52">
        <f t="shared" ref="G846:G946" si="192">E846*(100-F846)/100</f>
        <v>0</v>
      </c>
      <c r="H846" s="52"/>
      <c r="I846" s="52"/>
      <c r="J846" s="52"/>
      <c r="K846" s="67"/>
      <c r="L846" s="52">
        <f t="shared" si="169"/>
        <v>0</v>
      </c>
      <c r="M846" s="52">
        <f t="shared" si="170"/>
        <v>0</v>
      </c>
      <c r="N846" s="52">
        <f t="shared" si="171"/>
        <v>0</v>
      </c>
      <c r="O846" s="52">
        <f t="shared" si="172"/>
        <v>0</v>
      </c>
    </row>
    <row r="847" spans="1:15" ht="15.9" customHeight="1">
      <c r="A847" s="48"/>
      <c r="B847" s="49"/>
      <c r="C847" s="51"/>
      <c r="D847" s="52"/>
      <c r="E847" s="52"/>
      <c r="F847" s="52"/>
      <c r="G847" s="52">
        <f t="shared" si="192"/>
        <v>0</v>
      </c>
      <c r="H847" s="52"/>
      <c r="I847" s="52"/>
      <c r="J847" s="52"/>
      <c r="K847" s="67"/>
      <c r="L847" s="52">
        <f t="shared" ref="L847:L946" si="193">G847*H847/100</f>
        <v>0</v>
      </c>
      <c r="M847" s="52">
        <f t="shared" ref="M847:M946" si="194">G847*I847/100</f>
        <v>0</v>
      </c>
      <c r="N847" s="52">
        <f t="shared" ref="N847:N946" si="195">G847*J847/100</f>
        <v>0</v>
      </c>
      <c r="O847" s="52">
        <f t="shared" ref="O847:O946" si="196">G847*K847/1000</f>
        <v>0</v>
      </c>
    </row>
    <row r="848" spans="1:15" ht="15.9" customHeight="1">
      <c r="A848" s="48"/>
      <c r="B848" s="49"/>
      <c r="C848" s="51"/>
      <c r="D848" s="52"/>
      <c r="E848" s="52"/>
      <c r="F848" s="52"/>
      <c r="G848" s="52">
        <f t="shared" si="192"/>
        <v>0</v>
      </c>
      <c r="H848" s="52"/>
      <c r="I848" s="52"/>
      <c r="J848" s="52"/>
      <c r="K848" s="67"/>
      <c r="L848" s="52">
        <f t="shared" si="193"/>
        <v>0</v>
      </c>
      <c r="M848" s="52">
        <f t="shared" si="194"/>
        <v>0</v>
      </c>
      <c r="N848" s="52">
        <f t="shared" si="195"/>
        <v>0</v>
      </c>
      <c r="O848" s="52">
        <f t="shared" si="196"/>
        <v>0</v>
      </c>
    </row>
    <row r="849" spans="1:15" ht="15.9" customHeight="1">
      <c r="A849" s="48"/>
      <c r="B849" s="49"/>
      <c r="C849" s="51"/>
      <c r="D849" s="52"/>
      <c r="E849" s="52"/>
      <c r="F849" s="52"/>
      <c r="G849" s="52">
        <f t="shared" si="192"/>
        <v>0</v>
      </c>
      <c r="H849" s="52"/>
      <c r="I849" s="52"/>
      <c r="J849" s="52"/>
      <c r="K849" s="67"/>
      <c r="L849" s="52">
        <f t="shared" si="193"/>
        <v>0</v>
      </c>
      <c r="M849" s="52">
        <f t="shared" si="194"/>
        <v>0</v>
      </c>
      <c r="N849" s="52">
        <f t="shared" si="195"/>
        <v>0</v>
      </c>
      <c r="O849" s="52">
        <f t="shared" si="196"/>
        <v>0</v>
      </c>
    </row>
    <row r="850" spans="1:15" ht="15.9" customHeight="1">
      <c r="A850" s="48"/>
      <c r="B850" s="49"/>
      <c r="C850" s="51"/>
      <c r="D850" s="52"/>
      <c r="E850" s="52"/>
      <c r="F850" s="52"/>
      <c r="G850" s="52">
        <f t="shared" si="192"/>
        <v>0</v>
      </c>
      <c r="H850" s="52"/>
      <c r="I850" s="52"/>
      <c r="J850" s="52"/>
      <c r="K850" s="67"/>
      <c r="L850" s="52">
        <f t="shared" si="193"/>
        <v>0</v>
      </c>
      <c r="M850" s="52">
        <f t="shared" si="194"/>
        <v>0</v>
      </c>
      <c r="N850" s="52">
        <f t="shared" si="195"/>
        <v>0</v>
      </c>
      <c r="O850" s="52">
        <f t="shared" si="196"/>
        <v>0</v>
      </c>
    </row>
    <row r="851" spans="1:15" ht="15.9" customHeight="1">
      <c r="A851" s="48"/>
      <c r="B851" s="49"/>
      <c r="C851" s="51"/>
      <c r="D851" s="52"/>
      <c r="E851" s="52"/>
      <c r="F851" s="52"/>
      <c r="G851" s="52">
        <f t="shared" si="192"/>
        <v>0</v>
      </c>
      <c r="H851" s="52"/>
      <c r="I851" s="52"/>
      <c r="J851" s="52"/>
      <c r="K851" s="67"/>
      <c r="L851" s="52">
        <f t="shared" si="193"/>
        <v>0</v>
      </c>
      <c r="M851" s="52">
        <f t="shared" si="194"/>
        <v>0</v>
      </c>
      <c r="N851" s="52">
        <f t="shared" si="195"/>
        <v>0</v>
      </c>
      <c r="O851" s="52">
        <f t="shared" si="196"/>
        <v>0</v>
      </c>
    </row>
    <row r="852" spans="1:15" ht="15.9" customHeight="1">
      <c r="A852" s="48"/>
      <c r="B852" s="49"/>
      <c r="C852" s="51"/>
      <c r="D852" s="52"/>
      <c r="E852" s="52"/>
      <c r="F852" s="52"/>
      <c r="G852" s="52">
        <f t="shared" si="192"/>
        <v>0</v>
      </c>
      <c r="H852" s="52"/>
      <c r="I852" s="52"/>
      <c r="J852" s="52"/>
      <c r="K852" s="67"/>
      <c r="L852" s="52">
        <f t="shared" si="193"/>
        <v>0</v>
      </c>
      <c r="M852" s="52">
        <f t="shared" si="194"/>
        <v>0</v>
      </c>
      <c r="N852" s="52">
        <f t="shared" si="195"/>
        <v>0</v>
      </c>
      <c r="O852" s="52">
        <f t="shared" si="196"/>
        <v>0</v>
      </c>
    </row>
    <row r="853" spans="1:15" ht="15.9" customHeight="1">
      <c r="A853" s="48"/>
      <c r="B853" s="49"/>
      <c r="C853" s="51"/>
      <c r="D853" s="52"/>
      <c r="E853" s="52"/>
      <c r="F853" s="52"/>
      <c r="G853" s="52">
        <f t="shared" si="192"/>
        <v>0</v>
      </c>
      <c r="H853" s="52"/>
      <c r="I853" s="52"/>
      <c r="J853" s="52"/>
      <c r="K853" s="67"/>
      <c r="L853" s="52">
        <f t="shared" si="193"/>
        <v>0</v>
      </c>
      <c r="M853" s="52">
        <f t="shared" si="194"/>
        <v>0</v>
      </c>
      <c r="N853" s="52">
        <f t="shared" si="195"/>
        <v>0</v>
      </c>
      <c r="O853" s="52">
        <f t="shared" si="196"/>
        <v>0</v>
      </c>
    </row>
    <row r="854" spans="1:15" ht="15.9" customHeight="1">
      <c r="A854" s="48"/>
      <c r="B854" s="49"/>
      <c r="C854" s="51"/>
      <c r="D854" s="52"/>
      <c r="E854" s="52"/>
      <c r="F854" s="52"/>
      <c r="G854" s="52">
        <f t="shared" si="192"/>
        <v>0</v>
      </c>
      <c r="H854" s="52"/>
      <c r="I854" s="52"/>
      <c r="J854" s="52"/>
      <c r="K854" s="67"/>
      <c r="L854" s="52">
        <f t="shared" si="193"/>
        <v>0</v>
      </c>
      <c r="M854" s="52">
        <f t="shared" si="194"/>
        <v>0</v>
      </c>
      <c r="N854" s="52">
        <f t="shared" si="195"/>
        <v>0</v>
      </c>
      <c r="O854" s="52">
        <f t="shared" si="196"/>
        <v>0</v>
      </c>
    </row>
    <row r="855" spans="1:15" ht="15.9" customHeight="1">
      <c r="A855" s="48"/>
      <c r="B855" s="49"/>
      <c r="C855" s="51"/>
      <c r="D855" s="52"/>
      <c r="E855" s="52"/>
      <c r="F855" s="52"/>
      <c r="G855" s="52">
        <f t="shared" si="192"/>
        <v>0</v>
      </c>
      <c r="H855" s="52"/>
      <c r="I855" s="52"/>
      <c r="J855" s="52"/>
      <c r="K855" s="67"/>
      <c r="L855" s="52">
        <f t="shared" si="193"/>
        <v>0</v>
      </c>
      <c r="M855" s="52">
        <f t="shared" si="194"/>
        <v>0</v>
      </c>
      <c r="N855" s="52">
        <f t="shared" si="195"/>
        <v>0</v>
      </c>
      <c r="O855" s="52">
        <f t="shared" si="196"/>
        <v>0</v>
      </c>
    </row>
    <row r="856" spans="1:15" ht="15.9" customHeight="1">
      <c r="A856" s="48"/>
      <c r="B856" s="49"/>
      <c r="C856" s="51"/>
      <c r="D856" s="52"/>
      <c r="E856" s="52"/>
      <c r="F856" s="52"/>
      <c r="G856" s="52">
        <f t="shared" si="192"/>
        <v>0</v>
      </c>
      <c r="H856" s="52"/>
      <c r="I856" s="52"/>
      <c r="J856" s="52"/>
      <c r="K856" s="67"/>
      <c r="L856" s="52">
        <f t="shared" si="193"/>
        <v>0</v>
      </c>
      <c r="M856" s="52">
        <f t="shared" si="194"/>
        <v>0</v>
      </c>
      <c r="N856" s="52">
        <f t="shared" si="195"/>
        <v>0</v>
      </c>
      <c r="O856" s="52">
        <f t="shared" si="196"/>
        <v>0</v>
      </c>
    </row>
    <row r="857" spans="1:15" ht="15.9" customHeight="1">
      <c r="A857" s="48"/>
      <c r="B857" s="49"/>
      <c r="C857" s="51"/>
      <c r="D857" s="52"/>
      <c r="E857" s="52"/>
      <c r="F857" s="52"/>
      <c r="G857" s="52">
        <f t="shared" si="192"/>
        <v>0</v>
      </c>
      <c r="H857" s="52"/>
      <c r="I857" s="52"/>
      <c r="J857" s="52"/>
      <c r="K857" s="67"/>
      <c r="L857" s="52">
        <f t="shared" si="193"/>
        <v>0</v>
      </c>
      <c r="M857" s="52">
        <f t="shared" si="194"/>
        <v>0</v>
      </c>
      <c r="N857" s="52">
        <f t="shared" si="195"/>
        <v>0</v>
      </c>
      <c r="O857" s="52">
        <f t="shared" si="196"/>
        <v>0</v>
      </c>
    </row>
    <row r="858" spans="1:15" ht="15.9" customHeight="1">
      <c r="A858" s="48"/>
      <c r="B858" s="49"/>
      <c r="C858" s="51"/>
      <c r="D858" s="52"/>
      <c r="E858" s="52"/>
      <c r="F858" s="52"/>
      <c r="G858" s="52">
        <f t="shared" si="192"/>
        <v>0</v>
      </c>
      <c r="H858" s="52"/>
      <c r="I858" s="52"/>
      <c r="J858" s="52"/>
      <c r="K858" s="67"/>
      <c r="L858" s="52">
        <f t="shared" si="193"/>
        <v>0</v>
      </c>
      <c r="M858" s="52">
        <f t="shared" si="194"/>
        <v>0</v>
      </c>
      <c r="N858" s="52">
        <f t="shared" si="195"/>
        <v>0</v>
      </c>
      <c r="O858" s="52">
        <f t="shared" si="196"/>
        <v>0</v>
      </c>
    </row>
    <row r="859" spans="1:15" ht="15.9" customHeight="1">
      <c r="A859" s="48"/>
      <c r="B859" s="49"/>
      <c r="C859" s="51"/>
      <c r="D859" s="52"/>
      <c r="E859" s="52"/>
      <c r="F859" s="52"/>
      <c r="G859" s="52">
        <f t="shared" si="192"/>
        <v>0</v>
      </c>
      <c r="H859" s="52"/>
      <c r="I859" s="52"/>
      <c r="J859" s="52"/>
      <c r="K859" s="67"/>
      <c r="L859" s="52">
        <f t="shared" si="193"/>
        <v>0</v>
      </c>
      <c r="M859" s="52">
        <f t="shared" si="194"/>
        <v>0</v>
      </c>
      <c r="N859" s="52">
        <f t="shared" si="195"/>
        <v>0</v>
      </c>
      <c r="O859" s="52">
        <f t="shared" si="196"/>
        <v>0</v>
      </c>
    </row>
    <row r="860" spans="1:15" ht="15.9" customHeight="1">
      <c r="A860" s="48"/>
      <c r="B860" s="49"/>
      <c r="C860" s="51"/>
      <c r="D860" s="52"/>
      <c r="E860" s="52"/>
      <c r="F860" s="52"/>
      <c r="G860" s="52">
        <f t="shared" si="192"/>
        <v>0</v>
      </c>
      <c r="H860" s="52"/>
      <c r="I860" s="52"/>
      <c r="J860" s="52"/>
      <c r="K860" s="67"/>
      <c r="L860" s="52">
        <f t="shared" si="193"/>
        <v>0</v>
      </c>
      <c r="M860" s="52">
        <f t="shared" si="194"/>
        <v>0</v>
      </c>
      <c r="N860" s="52">
        <f t="shared" si="195"/>
        <v>0</v>
      </c>
      <c r="O860" s="52">
        <f t="shared" si="196"/>
        <v>0</v>
      </c>
    </row>
    <row r="861" spans="1:15" ht="15.9" customHeight="1">
      <c r="A861" s="48"/>
      <c r="B861" s="49"/>
      <c r="C861" s="51"/>
      <c r="D861" s="52"/>
      <c r="E861" s="52"/>
      <c r="F861" s="52"/>
      <c r="G861" s="52">
        <f t="shared" si="192"/>
        <v>0</v>
      </c>
      <c r="H861" s="52"/>
      <c r="I861" s="52"/>
      <c r="J861" s="52"/>
      <c r="K861" s="67"/>
      <c r="L861" s="52">
        <f t="shared" si="193"/>
        <v>0</v>
      </c>
      <c r="M861" s="52">
        <f t="shared" si="194"/>
        <v>0</v>
      </c>
      <c r="N861" s="52">
        <f t="shared" si="195"/>
        <v>0</v>
      </c>
      <c r="O861" s="52">
        <f t="shared" si="196"/>
        <v>0</v>
      </c>
    </row>
    <row r="862" spans="1:15" ht="15.9" customHeight="1">
      <c r="A862" s="48"/>
      <c r="B862" s="49"/>
      <c r="C862" s="51"/>
      <c r="D862" s="52"/>
      <c r="E862" s="52"/>
      <c r="F862" s="52"/>
      <c r="G862" s="52">
        <f t="shared" si="192"/>
        <v>0</v>
      </c>
      <c r="H862" s="52"/>
      <c r="I862" s="52"/>
      <c r="J862" s="52"/>
      <c r="K862" s="67"/>
      <c r="L862" s="52">
        <f t="shared" si="193"/>
        <v>0</v>
      </c>
      <c r="M862" s="52">
        <f t="shared" si="194"/>
        <v>0</v>
      </c>
      <c r="N862" s="52">
        <f t="shared" si="195"/>
        <v>0</v>
      </c>
      <c r="O862" s="52">
        <f t="shared" si="196"/>
        <v>0</v>
      </c>
    </row>
    <row r="863" spans="1:15" ht="15.9" customHeight="1">
      <c r="A863" s="48"/>
      <c r="B863" s="49"/>
      <c r="C863" s="51"/>
      <c r="D863" s="52"/>
      <c r="E863" s="52"/>
      <c r="F863" s="52"/>
      <c r="G863" s="52">
        <f t="shared" si="192"/>
        <v>0</v>
      </c>
      <c r="H863" s="52"/>
      <c r="I863" s="52"/>
      <c r="J863" s="52"/>
      <c r="K863" s="67"/>
      <c r="L863" s="52">
        <f t="shared" si="193"/>
        <v>0</v>
      </c>
      <c r="M863" s="52">
        <f t="shared" si="194"/>
        <v>0</v>
      </c>
      <c r="N863" s="52">
        <f t="shared" si="195"/>
        <v>0</v>
      </c>
      <c r="O863" s="52">
        <f t="shared" si="196"/>
        <v>0</v>
      </c>
    </row>
    <row r="864" spans="1:15" ht="15.9" customHeight="1">
      <c r="A864" s="48"/>
      <c r="B864" s="49"/>
      <c r="C864" s="51"/>
      <c r="D864" s="52"/>
      <c r="E864" s="52"/>
      <c r="F864" s="52"/>
      <c r="G864" s="52">
        <f t="shared" si="192"/>
        <v>0</v>
      </c>
      <c r="H864" s="52"/>
      <c r="I864" s="52"/>
      <c r="J864" s="52"/>
      <c r="K864" s="67"/>
      <c r="L864" s="52">
        <f t="shared" si="193"/>
        <v>0</v>
      </c>
      <c r="M864" s="52">
        <f t="shared" si="194"/>
        <v>0</v>
      </c>
      <c r="N864" s="52">
        <f t="shared" si="195"/>
        <v>0</v>
      </c>
      <c r="O864" s="52">
        <f t="shared" si="196"/>
        <v>0</v>
      </c>
    </row>
    <row r="865" spans="1:15" ht="15.9" customHeight="1">
      <c r="A865" s="48"/>
      <c r="B865" s="49"/>
      <c r="C865" s="51"/>
      <c r="D865" s="52"/>
      <c r="E865" s="52"/>
      <c r="F865" s="52"/>
      <c r="G865" s="52">
        <f t="shared" si="192"/>
        <v>0</v>
      </c>
      <c r="H865" s="52"/>
      <c r="I865" s="52"/>
      <c r="J865" s="52"/>
      <c r="K865" s="67"/>
      <c r="L865" s="52">
        <f t="shared" si="193"/>
        <v>0</v>
      </c>
      <c r="M865" s="52">
        <f t="shared" si="194"/>
        <v>0</v>
      </c>
      <c r="N865" s="52">
        <f t="shared" si="195"/>
        <v>0</v>
      </c>
      <c r="O865" s="52">
        <f t="shared" si="196"/>
        <v>0</v>
      </c>
    </row>
    <row r="866" spans="1:15" ht="15.9" customHeight="1">
      <c r="A866" s="48"/>
      <c r="B866" s="49"/>
      <c r="C866" s="51"/>
      <c r="D866" s="52"/>
      <c r="E866" s="52"/>
      <c r="F866" s="52"/>
      <c r="G866" s="52">
        <f t="shared" si="192"/>
        <v>0</v>
      </c>
      <c r="H866" s="52"/>
      <c r="I866" s="52"/>
      <c r="J866" s="52"/>
      <c r="K866" s="67"/>
      <c r="L866" s="52">
        <f t="shared" si="193"/>
        <v>0</v>
      </c>
      <c r="M866" s="52">
        <f t="shared" si="194"/>
        <v>0</v>
      </c>
      <c r="N866" s="52">
        <f t="shared" si="195"/>
        <v>0</v>
      </c>
      <c r="O866" s="52">
        <f t="shared" si="196"/>
        <v>0</v>
      </c>
    </row>
    <row r="867" spans="1:15" ht="15.9" customHeight="1">
      <c r="A867" s="48"/>
      <c r="B867" s="49"/>
      <c r="C867" s="51"/>
      <c r="D867" s="52"/>
      <c r="E867" s="52"/>
      <c r="F867" s="52"/>
      <c r="G867" s="52">
        <f t="shared" si="192"/>
        <v>0</v>
      </c>
      <c r="H867" s="52"/>
      <c r="I867" s="52"/>
      <c r="J867" s="52"/>
      <c r="K867" s="67"/>
      <c r="L867" s="52">
        <f t="shared" si="193"/>
        <v>0</v>
      </c>
      <c r="M867" s="52">
        <f t="shared" si="194"/>
        <v>0</v>
      </c>
      <c r="N867" s="52">
        <f t="shared" si="195"/>
        <v>0</v>
      </c>
      <c r="O867" s="52">
        <f t="shared" si="196"/>
        <v>0</v>
      </c>
    </row>
    <row r="868" spans="1:15" ht="15.9" customHeight="1">
      <c r="A868" s="48"/>
      <c r="B868" s="49"/>
      <c r="C868" s="51"/>
      <c r="D868" s="52"/>
      <c r="E868" s="52"/>
      <c r="F868" s="52"/>
      <c r="G868" s="52">
        <f t="shared" si="192"/>
        <v>0</v>
      </c>
      <c r="H868" s="52"/>
      <c r="I868" s="52"/>
      <c r="J868" s="52"/>
      <c r="K868" s="67"/>
      <c r="L868" s="52">
        <f t="shared" si="193"/>
        <v>0</v>
      </c>
      <c r="M868" s="52">
        <f t="shared" si="194"/>
        <v>0</v>
      </c>
      <c r="N868" s="52">
        <f t="shared" si="195"/>
        <v>0</v>
      </c>
      <c r="O868" s="52">
        <f t="shared" si="196"/>
        <v>0</v>
      </c>
    </row>
    <row r="869" spans="1:15" ht="15.9" customHeight="1">
      <c r="A869" s="48"/>
      <c r="B869" s="49"/>
      <c r="C869" s="51"/>
      <c r="D869" s="52"/>
      <c r="E869" s="52"/>
      <c r="F869" s="52"/>
      <c r="G869" s="52">
        <f t="shared" si="192"/>
        <v>0</v>
      </c>
      <c r="H869" s="52"/>
      <c r="I869" s="52"/>
      <c r="J869" s="52"/>
      <c r="K869" s="67"/>
      <c r="L869" s="52">
        <f t="shared" si="193"/>
        <v>0</v>
      </c>
      <c r="M869" s="52">
        <f t="shared" si="194"/>
        <v>0</v>
      </c>
      <c r="N869" s="52">
        <f t="shared" si="195"/>
        <v>0</v>
      </c>
      <c r="O869" s="52">
        <f t="shared" si="196"/>
        <v>0</v>
      </c>
    </row>
    <row r="870" spans="1:15" ht="15.9" customHeight="1">
      <c r="A870" s="48"/>
      <c r="B870" s="49"/>
      <c r="C870" s="51"/>
      <c r="D870" s="52"/>
      <c r="E870" s="52"/>
      <c r="F870" s="52"/>
      <c r="G870" s="52">
        <f t="shared" si="192"/>
        <v>0</v>
      </c>
      <c r="H870" s="52"/>
      <c r="I870" s="52"/>
      <c r="J870" s="52"/>
      <c r="K870" s="67"/>
      <c r="L870" s="52">
        <f t="shared" si="193"/>
        <v>0</v>
      </c>
      <c r="M870" s="52">
        <f t="shared" si="194"/>
        <v>0</v>
      </c>
      <c r="N870" s="52">
        <f t="shared" si="195"/>
        <v>0</v>
      </c>
      <c r="O870" s="52">
        <f t="shared" si="196"/>
        <v>0</v>
      </c>
    </row>
    <row r="871" spans="1:15" ht="15.9" customHeight="1">
      <c r="A871" s="48"/>
      <c r="B871" s="49"/>
      <c r="C871" s="51"/>
      <c r="D871" s="52"/>
      <c r="E871" s="52"/>
      <c r="F871" s="52"/>
      <c r="G871" s="52">
        <f t="shared" si="192"/>
        <v>0</v>
      </c>
      <c r="H871" s="52"/>
      <c r="I871" s="52"/>
      <c r="J871" s="52"/>
      <c r="K871" s="67"/>
      <c r="L871" s="52">
        <f t="shared" si="193"/>
        <v>0</v>
      </c>
      <c r="M871" s="52">
        <f t="shared" si="194"/>
        <v>0</v>
      </c>
      <c r="N871" s="52">
        <f t="shared" si="195"/>
        <v>0</v>
      </c>
      <c r="O871" s="52">
        <f t="shared" si="196"/>
        <v>0</v>
      </c>
    </row>
    <row r="872" spans="1:15" ht="15.9" customHeight="1">
      <c r="A872" s="48"/>
      <c r="B872" s="49"/>
      <c r="C872" s="51"/>
      <c r="D872" s="52"/>
      <c r="E872" s="52"/>
      <c r="F872" s="52"/>
      <c r="G872" s="52">
        <f t="shared" si="192"/>
        <v>0</v>
      </c>
      <c r="H872" s="52"/>
      <c r="I872" s="52"/>
      <c r="J872" s="52"/>
      <c r="K872" s="67"/>
      <c r="L872" s="52">
        <f t="shared" si="193"/>
        <v>0</v>
      </c>
      <c r="M872" s="52">
        <f t="shared" si="194"/>
        <v>0</v>
      </c>
      <c r="N872" s="52">
        <f t="shared" si="195"/>
        <v>0</v>
      </c>
      <c r="O872" s="52">
        <f t="shared" si="196"/>
        <v>0</v>
      </c>
    </row>
    <row r="873" spans="1:15" ht="15.9" customHeight="1">
      <c r="A873" s="48"/>
      <c r="B873" s="49"/>
      <c r="C873" s="51"/>
      <c r="D873" s="52"/>
      <c r="E873" s="52"/>
      <c r="F873" s="52"/>
      <c r="G873" s="52">
        <f t="shared" si="192"/>
        <v>0</v>
      </c>
      <c r="H873" s="52"/>
      <c r="I873" s="52"/>
      <c r="J873" s="52"/>
      <c r="K873" s="67"/>
      <c r="L873" s="52">
        <f t="shared" si="193"/>
        <v>0</v>
      </c>
      <c r="M873" s="52">
        <f t="shared" si="194"/>
        <v>0</v>
      </c>
      <c r="N873" s="52">
        <f t="shared" si="195"/>
        <v>0</v>
      </c>
      <c r="O873" s="52">
        <f t="shared" si="196"/>
        <v>0</v>
      </c>
    </row>
    <row r="874" spans="1:15" ht="15.9" customHeight="1">
      <c r="A874" s="48"/>
      <c r="B874" s="49"/>
      <c r="C874" s="51"/>
      <c r="D874" s="52"/>
      <c r="E874" s="52"/>
      <c r="F874" s="52"/>
      <c r="G874" s="52">
        <f t="shared" si="192"/>
        <v>0</v>
      </c>
      <c r="H874" s="52"/>
      <c r="I874" s="52"/>
      <c r="J874" s="52"/>
      <c r="K874" s="67"/>
      <c r="L874" s="52">
        <f t="shared" si="193"/>
        <v>0</v>
      </c>
      <c r="M874" s="52">
        <f t="shared" si="194"/>
        <v>0</v>
      </c>
      <c r="N874" s="52">
        <f t="shared" si="195"/>
        <v>0</v>
      </c>
      <c r="O874" s="52">
        <f t="shared" si="196"/>
        <v>0</v>
      </c>
    </row>
    <row r="875" spans="1:15" ht="15.9" customHeight="1">
      <c r="A875" s="48"/>
      <c r="B875" s="49"/>
      <c r="C875" s="51"/>
      <c r="D875" s="52"/>
      <c r="E875" s="52"/>
      <c r="F875" s="52"/>
      <c r="G875" s="52">
        <f t="shared" si="192"/>
        <v>0</v>
      </c>
      <c r="H875" s="52"/>
      <c r="I875" s="52"/>
      <c r="J875" s="52"/>
      <c r="K875" s="67"/>
      <c r="L875" s="52">
        <f t="shared" si="193"/>
        <v>0</v>
      </c>
      <c r="M875" s="52">
        <f t="shared" si="194"/>
        <v>0</v>
      </c>
      <c r="N875" s="52">
        <f t="shared" si="195"/>
        <v>0</v>
      </c>
      <c r="O875" s="52">
        <f t="shared" si="196"/>
        <v>0</v>
      </c>
    </row>
    <row r="876" spans="1:15" ht="15.9" customHeight="1">
      <c r="A876" s="48"/>
      <c r="B876" s="49"/>
      <c r="C876" s="51"/>
      <c r="D876" s="52"/>
      <c r="E876" s="52"/>
      <c r="F876" s="52"/>
      <c r="G876" s="52">
        <f t="shared" si="192"/>
        <v>0</v>
      </c>
      <c r="H876" s="52"/>
      <c r="I876" s="52"/>
      <c r="J876" s="52"/>
      <c r="K876" s="67"/>
      <c r="L876" s="52">
        <f t="shared" si="193"/>
        <v>0</v>
      </c>
      <c r="M876" s="52">
        <f t="shared" si="194"/>
        <v>0</v>
      </c>
      <c r="N876" s="52">
        <f t="shared" si="195"/>
        <v>0</v>
      </c>
      <c r="O876" s="52">
        <f t="shared" si="196"/>
        <v>0</v>
      </c>
    </row>
    <row r="877" spans="1:15" ht="15.9" customHeight="1">
      <c r="A877" s="48"/>
      <c r="B877" s="49"/>
      <c r="C877" s="51"/>
      <c r="D877" s="52"/>
      <c r="E877" s="52"/>
      <c r="F877" s="52"/>
      <c r="G877" s="52">
        <f t="shared" si="192"/>
        <v>0</v>
      </c>
      <c r="H877" s="52"/>
      <c r="I877" s="52"/>
      <c r="J877" s="52"/>
      <c r="K877" s="67"/>
      <c r="L877" s="52">
        <f t="shared" si="193"/>
        <v>0</v>
      </c>
      <c r="M877" s="52">
        <f t="shared" si="194"/>
        <v>0</v>
      </c>
      <c r="N877" s="52">
        <f t="shared" si="195"/>
        <v>0</v>
      </c>
      <c r="O877" s="52">
        <f t="shared" si="196"/>
        <v>0</v>
      </c>
    </row>
    <row r="878" spans="1:15" ht="15.9" customHeight="1">
      <c r="A878" s="48"/>
      <c r="B878" s="49"/>
      <c r="C878" s="51"/>
      <c r="D878" s="52"/>
      <c r="E878" s="52"/>
      <c r="F878" s="52"/>
      <c r="G878" s="52">
        <f t="shared" si="192"/>
        <v>0</v>
      </c>
      <c r="H878" s="52"/>
      <c r="I878" s="52"/>
      <c r="J878" s="52"/>
      <c r="K878" s="67"/>
      <c r="L878" s="52">
        <f t="shared" si="193"/>
        <v>0</v>
      </c>
      <c r="M878" s="52">
        <f t="shared" si="194"/>
        <v>0</v>
      </c>
      <c r="N878" s="52">
        <f t="shared" si="195"/>
        <v>0</v>
      </c>
      <c r="O878" s="52">
        <f t="shared" si="196"/>
        <v>0</v>
      </c>
    </row>
    <row r="879" spans="1:15" ht="15.9" customHeight="1">
      <c r="A879" s="48"/>
      <c r="B879" s="49"/>
      <c r="C879" s="51"/>
      <c r="D879" s="52"/>
      <c r="E879" s="52"/>
      <c r="F879" s="52"/>
      <c r="G879" s="52">
        <f t="shared" si="192"/>
        <v>0</v>
      </c>
      <c r="H879" s="52"/>
      <c r="I879" s="52"/>
      <c r="J879" s="52"/>
      <c r="K879" s="67"/>
      <c r="L879" s="52">
        <f t="shared" si="193"/>
        <v>0</v>
      </c>
      <c r="M879" s="52">
        <f t="shared" si="194"/>
        <v>0</v>
      </c>
      <c r="N879" s="52">
        <f t="shared" si="195"/>
        <v>0</v>
      </c>
      <c r="O879" s="52">
        <f t="shared" si="196"/>
        <v>0</v>
      </c>
    </row>
    <row r="880" spans="1:15" ht="15.9" customHeight="1">
      <c r="A880" s="48"/>
      <c r="B880" s="49"/>
      <c r="C880" s="51"/>
      <c r="D880" s="52"/>
      <c r="E880" s="52"/>
      <c r="F880" s="52"/>
      <c r="G880" s="52">
        <f t="shared" si="192"/>
        <v>0</v>
      </c>
      <c r="H880" s="52"/>
      <c r="I880" s="52"/>
      <c r="J880" s="52"/>
      <c r="K880" s="67"/>
      <c r="L880" s="52">
        <f t="shared" si="193"/>
        <v>0</v>
      </c>
      <c r="M880" s="52">
        <f t="shared" si="194"/>
        <v>0</v>
      </c>
      <c r="N880" s="52">
        <f t="shared" si="195"/>
        <v>0</v>
      </c>
      <c r="O880" s="52">
        <f t="shared" si="196"/>
        <v>0</v>
      </c>
    </row>
    <row r="881" spans="1:15" ht="15.9" customHeight="1">
      <c r="A881" s="48"/>
      <c r="B881" s="49"/>
      <c r="C881" s="51"/>
      <c r="D881" s="52"/>
      <c r="E881" s="52"/>
      <c r="F881" s="52"/>
      <c r="G881" s="52">
        <f t="shared" si="192"/>
        <v>0</v>
      </c>
      <c r="H881" s="52"/>
      <c r="I881" s="52"/>
      <c r="J881" s="52"/>
      <c r="K881" s="67"/>
      <c r="L881" s="52">
        <f t="shared" si="193"/>
        <v>0</v>
      </c>
      <c r="M881" s="52">
        <f t="shared" si="194"/>
        <v>0</v>
      </c>
      <c r="N881" s="52">
        <f t="shared" si="195"/>
        <v>0</v>
      </c>
      <c r="O881" s="52">
        <f t="shared" si="196"/>
        <v>0</v>
      </c>
    </row>
    <row r="882" spans="1:15" ht="15.9" customHeight="1">
      <c r="A882" s="48"/>
      <c r="B882" s="49"/>
      <c r="C882" s="51"/>
      <c r="D882" s="52"/>
      <c r="E882" s="52"/>
      <c r="F882" s="52"/>
      <c r="G882" s="52">
        <f t="shared" si="192"/>
        <v>0</v>
      </c>
      <c r="H882" s="52"/>
      <c r="I882" s="52"/>
      <c r="J882" s="52"/>
      <c r="K882" s="67"/>
      <c r="L882" s="52">
        <f t="shared" si="193"/>
        <v>0</v>
      </c>
      <c r="M882" s="52">
        <f t="shared" si="194"/>
        <v>0</v>
      </c>
      <c r="N882" s="52">
        <f t="shared" si="195"/>
        <v>0</v>
      </c>
      <c r="O882" s="52">
        <f t="shared" si="196"/>
        <v>0</v>
      </c>
    </row>
    <row r="883" spans="1:15" ht="15.9" customHeight="1">
      <c r="A883" s="48"/>
      <c r="B883" s="49"/>
      <c r="C883" s="51"/>
      <c r="D883" s="52"/>
      <c r="E883" s="52"/>
      <c r="F883" s="52"/>
      <c r="G883" s="52">
        <f t="shared" si="192"/>
        <v>0</v>
      </c>
      <c r="H883" s="52"/>
      <c r="I883" s="52"/>
      <c r="J883" s="52"/>
      <c r="K883" s="67"/>
      <c r="L883" s="52">
        <f t="shared" si="193"/>
        <v>0</v>
      </c>
      <c r="M883" s="52">
        <f t="shared" si="194"/>
        <v>0</v>
      </c>
      <c r="N883" s="52">
        <f t="shared" si="195"/>
        <v>0</v>
      </c>
      <c r="O883" s="52">
        <f t="shared" si="196"/>
        <v>0</v>
      </c>
    </row>
    <row r="884" spans="1:15" ht="15.9" customHeight="1">
      <c r="A884" s="48"/>
      <c r="B884" s="49"/>
      <c r="C884" s="52"/>
      <c r="D884" s="52"/>
      <c r="E884" s="52"/>
      <c r="F884" s="52"/>
      <c r="G884" s="52">
        <f t="shared" si="192"/>
        <v>0</v>
      </c>
      <c r="H884" s="52"/>
      <c r="I884" s="52"/>
      <c r="J884" s="52"/>
      <c r="K884" s="67"/>
      <c r="L884" s="52">
        <f t="shared" si="193"/>
        <v>0</v>
      </c>
      <c r="M884" s="52">
        <f t="shared" si="194"/>
        <v>0</v>
      </c>
      <c r="N884" s="52">
        <f t="shared" si="195"/>
        <v>0</v>
      </c>
      <c r="O884" s="52">
        <f t="shared" si="196"/>
        <v>0</v>
      </c>
    </row>
    <row r="885" spans="1:15" ht="15.9" customHeight="1">
      <c r="A885" s="48"/>
      <c r="B885" s="49"/>
      <c r="C885" s="52"/>
      <c r="D885" s="52"/>
      <c r="E885" s="52"/>
      <c r="F885" s="52"/>
      <c r="G885" s="52">
        <f t="shared" si="192"/>
        <v>0</v>
      </c>
      <c r="H885" s="52"/>
      <c r="I885" s="52"/>
      <c r="J885" s="52"/>
      <c r="K885" s="67"/>
      <c r="L885" s="52">
        <f t="shared" si="193"/>
        <v>0</v>
      </c>
      <c r="M885" s="52">
        <f t="shared" si="194"/>
        <v>0</v>
      </c>
      <c r="N885" s="52">
        <f t="shared" si="195"/>
        <v>0</v>
      </c>
      <c r="O885" s="52">
        <f t="shared" si="196"/>
        <v>0</v>
      </c>
    </row>
    <row r="886" spans="1:15" ht="15.9" customHeight="1">
      <c r="A886" s="48"/>
      <c r="B886" s="49"/>
      <c r="C886" s="52"/>
      <c r="D886" s="52"/>
      <c r="E886" s="52"/>
      <c r="F886" s="52"/>
      <c r="G886" s="52">
        <f t="shared" si="192"/>
        <v>0</v>
      </c>
      <c r="H886" s="52"/>
      <c r="I886" s="52"/>
      <c r="J886" s="52"/>
      <c r="K886" s="67"/>
      <c r="L886" s="52">
        <f t="shared" si="193"/>
        <v>0</v>
      </c>
      <c r="M886" s="52">
        <f t="shared" si="194"/>
        <v>0</v>
      </c>
      <c r="N886" s="52">
        <f t="shared" si="195"/>
        <v>0</v>
      </c>
      <c r="O886" s="52">
        <f t="shared" si="196"/>
        <v>0</v>
      </c>
    </row>
    <row r="887" spans="1:15" ht="15.9" customHeight="1">
      <c r="A887" s="48"/>
      <c r="B887" s="49"/>
      <c r="C887" s="52"/>
      <c r="D887" s="52"/>
      <c r="E887" s="52"/>
      <c r="F887" s="52"/>
      <c r="G887" s="52">
        <f t="shared" si="192"/>
        <v>0</v>
      </c>
      <c r="H887" s="52"/>
      <c r="I887" s="52"/>
      <c r="J887" s="52"/>
      <c r="K887" s="67"/>
      <c r="L887" s="52">
        <f t="shared" si="193"/>
        <v>0</v>
      </c>
      <c r="M887" s="52">
        <f t="shared" si="194"/>
        <v>0</v>
      </c>
      <c r="N887" s="52">
        <f t="shared" si="195"/>
        <v>0</v>
      </c>
      <c r="O887" s="52">
        <f t="shared" si="196"/>
        <v>0</v>
      </c>
    </row>
    <row r="888" spans="1:15" ht="15.9" customHeight="1">
      <c r="A888" s="48"/>
      <c r="B888" s="49"/>
      <c r="C888" s="52"/>
      <c r="D888" s="52"/>
      <c r="E888" s="52"/>
      <c r="F888" s="52"/>
      <c r="G888" s="52">
        <f t="shared" si="192"/>
        <v>0</v>
      </c>
      <c r="H888" s="52"/>
      <c r="I888" s="52"/>
      <c r="J888" s="52"/>
      <c r="K888" s="67"/>
      <c r="L888" s="52">
        <f t="shared" si="193"/>
        <v>0</v>
      </c>
      <c r="M888" s="52">
        <f t="shared" si="194"/>
        <v>0</v>
      </c>
      <c r="N888" s="52">
        <f t="shared" si="195"/>
        <v>0</v>
      </c>
      <c r="O888" s="52">
        <f t="shared" si="196"/>
        <v>0</v>
      </c>
    </row>
    <row r="889" spans="1:15" ht="15.9" customHeight="1">
      <c r="A889" s="48"/>
      <c r="B889" s="49"/>
      <c r="C889" s="52"/>
      <c r="D889" s="52"/>
      <c r="E889" s="52"/>
      <c r="F889" s="52"/>
      <c r="G889" s="52">
        <f t="shared" si="192"/>
        <v>0</v>
      </c>
      <c r="H889" s="52"/>
      <c r="I889" s="52"/>
      <c r="J889" s="52"/>
      <c r="K889" s="67"/>
      <c r="L889" s="52">
        <f t="shared" si="193"/>
        <v>0</v>
      </c>
      <c r="M889" s="52">
        <f t="shared" si="194"/>
        <v>0</v>
      </c>
      <c r="N889" s="52">
        <f t="shared" si="195"/>
        <v>0</v>
      </c>
      <c r="O889" s="52">
        <f t="shared" si="196"/>
        <v>0</v>
      </c>
    </row>
    <row r="890" spans="1:15" ht="15.9" customHeight="1">
      <c r="A890" s="48"/>
      <c r="B890" s="49"/>
      <c r="C890" s="52"/>
      <c r="D890" s="52"/>
      <c r="E890" s="52"/>
      <c r="F890" s="52"/>
      <c r="G890" s="52">
        <f t="shared" si="192"/>
        <v>0</v>
      </c>
      <c r="H890" s="52"/>
      <c r="I890" s="52"/>
      <c r="J890" s="52"/>
      <c r="K890" s="67"/>
      <c r="L890" s="52">
        <f t="shared" si="193"/>
        <v>0</v>
      </c>
      <c r="M890" s="52">
        <f t="shared" si="194"/>
        <v>0</v>
      </c>
      <c r="N890" s="52">
        <f t="shared" si="195"/>
        <v>0</v>
      </c>
      <c r="O890" s="52">
        <f t="shared" si="196"/>
        <v>0</v>
      </c>
    </row>
    <row r="891" spans="1:15" ht="15.9" customHeight="1">
      <c r="A891" s="48"/>
      <c r="B891" s="49"/>
      <c r="C891" s="52"/>
      <c r="D891" s="52"/>
      <c r="E891" s="52"/>
      <c r="F891" s="52"/>
      <c r="G891" s="52">
        <f t="shared" si="192"/>
        <v>0</v>
      </c>
      <c r="H891" s="52"/>
      <c r="I891" s="52"/>
      <c r="J891" s="52"/>
      <c r="K891" s="67"/>
      <c r="L891" s="52">
        <f t="shared" si="193"/>
        <v>0</v>
      </c>
      <c r="M891" s="52">
        <f t="shared" si="194"/>
        <v>0</v>
      </c>
      <c r="N891" s="52">
        <f t="shared" si="195"/>
        <v>0</v>
      </c>
      <c r="O891" s="52">
        <f t="shared" si="196"/>
        <v>0</v>
      </c>
    </row>
    <row r="892" spans="1:15" ht="15.9" customHeight="1">
      <c r="A892" s="48"/>
      <c r="B892" s="49"/>
      <c r="C892" s="52"/>
      <c r="D892" s="52"/>
      <c r="E892" s="52"/>
      <c r="F892" s="52"/>
      <c r="G892" s="52">
        <f t="shared" si="192"/>
        <v>0</v>
      </c>
      <c r="H892" s="52"/>
      <c r="I892" s="52"/>
      <c r="J892" s="52"/>
      <c r="K892" s="67"/>
      <c r="L892" s="52">
        <f t="shared" si="193"/>
        <v>0</v>
      </c>
      <c r="M892" s="52">
        <f t="shared" si="194"/>
        <v>0</v>
      </c>
      <c r="N892" s="52">
        <f t="shared" si="195"/>
        <v>0</v>
      </c>
      <c r="O892" s="52">
        <f t="shared" si="196"/>
        <v>0</v>
      </c>
    </row>
    <row r="893" spans="1:15" ht="15.9" customHeight="1">
      <c r="A893" s="48"/>
      <c r="B893" s="49"/>
      <c r="C893" s="52"/>
      <c r="D893" s="52"/>
      <c r="E893" s="52"/>
      <c r="F893" s="52"/>
      <c r="G893" s="52">
        <f t="shared" si="192"/>
        <v>0</v>
      </c>
      <c r="H893" s="52"/>
      <c r="I893" s="52"/>
      <c r="J893" s="52"/>
      <c r="K893" s="67"/>
      <c r="L893" s="52">
        <f t="shared" si="193"/>
        <v>0</v>
      </c>
      <c r="M893" s="52">
        <f t="shared" si="194"/>
        <v>0</v>
      </c>
      <c r="N893" s="52">
        <f t="shared" si="195"/>
        <v>0</v>
      </c>
      <c r="O893" s="52">
        <f t="shared" si="196"/>
        <v>0</v>
      </c>
    </row>
    <row r="894" spans="1:15" ht="15.9" customHeight="1">
      <c r="A894" s="48"/>
      <c r="B894" s="49"/>
      <c r="C894" s="52"/>
      <c r="D894" s="52"/>
      <c r="E894" s="52"/>
      <c r="F894" s="52"/>
      <c r="G894" s="52">
        <f t="shared" si="192"/>
        <v>0</v>
      </c>
      <c r="H894" s="52"/>
      <c r="I894" s="52"/>
      <c r="J894" s="52"/>
      <c r="K894" s="67"/>
      <c r="L894" s="52">
        <f t="shared" si="193"/>
        <v>0</v>
      </c>
      <c r="M894" s="52">
        <f t="shared" si="194"/>
        <v>0</v>
      </c>
      <c r="N894" s="52">
        <f t="shared" si="195"/>
        <v>0</v>
      </c>
      <c r="O894" s="52">
        <f t="shared" si="196"/>
        <v>0</v>
      </c>
    </row>
    <row r="895" spans="1:15" ht="15.9" customHeight="1">
      <c r="A895" s="48"/>
      <c r="B895" s="49"/>
      <c r="C895" s="52"/>
      <c r="D895" s="52"/>
      <c r="E895" s="52"/>
      <c r="F895" s="52"/>
      <c r="G895" s="52">
        <f t="shared" si="192"/>
        <v>0</v>
      </c>
      <c r="H895" s="52"/>
      <c r="I895" s="52"/>
      <c r="J895" s="52"/>
      <c r="K895" s="67"/>
      <c r="L895" s="52">
        <f t="shared" si="193"/>
        <v>0</v>
      </c>
      <c r="M895" s="52">
        <f t="shared" si="194"/>
        <v>0</v>
      </c>
      <c r="N895" s="52">
        <f t="shared" si="195"/>
        <v>0</v>
      </c>
      <c r="O895" s="52">
        <f t="shared" si="196"/>
        <v>0</v>
      </c>
    </row>
    <row r="896" spans="1:15" ht="15.9" customHeight="1">
      <c r="A896" s="48"/>
      <c r="B896" s="49"/>
      <c r="C896" s="52"/>
      <c r="D896" s="52"/>
      <c r="E896" s="52"/>
      <c r="F896" s="52"/>
      <c r="G896" s="52">
        <f t="shared" si="192"/>
        <v>0</v>
      </c>
      <c r="H896" s="52"/>
      <c r="I896" s="52"/>
      <c r="J896" s="52"/>
      <c r="K896" s="67"/>
      <c r="L896" s="52">
        <f t="shared" si="193"/>
        <v>0</v>
      </c>
      <c r="M896" s="52">
        <f t="shared" si="194"/>
        <v>0</v>
      </c>
      <c r="N896" s="52">
        <f t="shared" si="195"/>
        <v>0</v>
      </c>
      <c r="O896" s="52">
        <f t="shared" si="196"/>
        <v>0</v>
      </c>
    </row>
    <row r="897" spans="1:15" ht="15.9" customHeight="1">
      <c r="A897" s="48"/>
      <c r="B897" s="49"/>
      <c r="C897" s="52"/>
      <c r="D897" s="52"/>
      <c r="E897" s="52"/>
      <c r="F897" s="52"/>
      <c r="G897" s="52">
        <f t="shared" si="192"/>
        <v>0</v>
      </c>
      <c r="H897" s="52"/>
      <c r="I897" s="52"/>
      <c r="J897" s="52"/>
      <c r="K897" s="67"/>
      <c r="L897" s="52">
        <f t="shared" si="193"/>
        <v>0</v>
      </c>
      <c r="M897" s="52">
        <f t="shared" si="194"/>
        <v>0</v>
      </c>
      <c r="N897" s="52">
        <f t="shared" si="195"/>
        <v>0</v>
      </c>
      <c r="O897" s="52">
        <f t="shared" si="196"/>
        <v>0</v>
      </c>
    </row>
    <row r="898" spans="1:15" ht="15.9" customHeight="1">
      <c r="A898" s="48"/>
      <c r="B898" s="49"/>
      <c r="C898" s="52"/>
      <c r="D898" s="52"/>
      <c r="E898" s="52"/>
      <c r="F898" s="52"/>
      <c r="G898" s="52">
        <f t="shared" si="192"/>
        <v>0</v>
      </c>
      <c r="H898" s="52"/>
      <c r="I898" s="52"/>
      <c r="J898" s="52"/>
      <c r="K898" s="67"/>
      <c r="L898" s="52">
        <f t="shared" si="193"/>
        <v>0</v>
      </c>
      <c r="M898" s="52">
        <f t="shared" si="194"/>
        <v>0</v>
      </c>
      <c r="N898" s="52">
        <f t="shared" si="195"/>
        <v>0</v>
      </c>
      <c r="O898" s="52">
        <f t="shared" si="196"/>
        <v>0</v>
      </c>
    </row>
    <row r="899" spans="1:15" ht="15.9" customHeight="1">
      <c r="A899" s="48"/>
      <c r="B899" s="49"/>
      <c r="C899" s="52"/>
      <c r="D899" s="52"/>
      <c r="E899" s="52"/>
      <c r="F899" s="52"/>
      <c r="G899" s="52">
        <f t="shared" si="192"/>
        <v>0</v>
      </c>
      <c r="H899" s="52"/>
      <c r="I899" s="52"/>
      <c r="J899" s="52"/>
      <c r="K899" s="67"/>
      <c r="L899" s="52">
        <f t="shared" si="193"/>
        <v>0</v>
      </c>
      <c r="M899" s="52">
        <f t="shared" si="194"/>
        <v>0</v>
      </c>
      <c r="N899" s="52">
        <f t="shared" si="195"/>
        <v>0</v>
      </c>
      <c r="O899" s="52">
        <f t="shared" si="196"/>
        <v>0</v>
      </c>
    </row>
    <row r="900" spans="1:15" ht="15.9" customHeight="1">
      <c r="A900" s="48"/>
      <c r="B900" s="49"/>
      <c r="C900" s="52"/>
      <c r="D900" s="52"/>
      <c r="E900" s="52"/>
      <c r="F900" s="52"/>
      <c r="G900" s="52">
        <f t="shared" si="192"/>
        <v>0</v>
      </c>
      <c r="H900" s="52"/>
      <c r="I900" s="52"/>
      <c r="J900" s="52"/>
      <c r="K900" s="67"/>
      <c r="L900" s="52">
        <f t="shared" si="193"/>
        <v>0</v>
      </c>
      <c r="M900" s="52">
        <f t="shared" si="194"/>
        <v>0</v>
      </c>
      <c r="N900" s="52">
        <f t="shared" si="195"/>
        <v>0</v>
      </c>
      <c r="O900" s="52">
        <f t="shared" si="196"/>
        <v>0</v>
      </c>
    </row>
    <row r="901" spans="1:15" ht="15.9" customHeight="1">
      <c r="A901" s="48"/>
      <c r="B901" s="49"/>
      <c r="C901" s="52"/>
      <c r="D901" s="52"/>
      <c r="E901" s="52"/>
      <c r="F901" s="52"/>
      <c r="G901" s="52">
        <f t="shared" si="192"/>
        <v>0</v>
      </c>
      <c r="H901" s="52"/>
      <c r="I901" s="52"/>
      <c r="J901" s="52"/>
      <c r="K901" s="67"/>
      <c r="L901" s="52">
        <f t="shared" si="193"/>
        <v>0</v>
      </c>
      <c r="M901" s="52">
        <f t="shared" si="194"/>
        <v>0</v>
      </c>
      <c r="N901" s="52">
        <f t="shared" si="195"/>
        <v>0</v>
      </c>
      <c r="O901" s="52">
        <f t="shared" si="196"/>
        <v>0</v>
      </c>
    </row>
    <row r="902" spans="1:15" ht="15.9" customHeight="1">
      <c r="A902" s="48"/>
      <c r="B902" s="49"/>
      <c r="C902" s="68"/>
      <c r="D902" s="52"/>
      <c r="E902" s="52"/>
      <c r="F902" s="64"/>
      <c r="G902" s="52">
        <f t="shared" si="192"/>
        <v>0</v>
      </c>
      <c r="H902" s="64"/>
      <c r="I902" s="64"/>
      <c r="J902" s="64"/>
      <c r="K902" s="65"/>
      <c r="L902" s="52">
        <f t="shared" ref="L902:L945" si="197">G902*H902/100</f>
        <v>0</v>
      </c>
      <c r="M902" s="52">
        <f t="shared" ref="M902:M945" si="198">G902*I902/100</f>
        <v>0</v>
      </c>
      <c r="N902" s="52">
        <f t="shared" ref="N902:N945" si="199">G902*J902/100</f>
        <v>0</v>
      </c>
      <c r="O902" s="52">
        <f t="shared" ref="O902:O945" si="200">G902*K902/1000</f>
        <v>0</v>
      </c>
    </row>
    <row r="903" spans="1:15" ht="15.9" customHeight="1">
      <c r="A903" s="48"/>
      <c r="B903" s="49"/>
      <c r="C903" s="68"/>
      <c r="D903" s="52"/>
      <c r="E903" s="52"/>
      <c r="F903" s="64"/>
      <c r="G903" s="52">
        <f t="shared" si="192"/>
        <v>0</v>
      </c>
      <c r="H903" s="64"/>
      <c r="I903" s="64"/>
      <c r="J903" s="64"/>
      <c r="K903" s="65"/>
      <c r="L903" s="52">
        <f t="shared" si="197"/>
        <v>0</v>
      </c>
      <c r="M903" s="52">
        <f t="shared" si="198"/>
        <v>0</v>
      </c>
      <c r="N903" s="52">
        <f t="shared" si="199"/>
        <v>0</v>
      </c>
      <c r="O903" s="52">
        <f t="shared" si="200"/>
        <v>0</v>
      </c>
    </row>
    <row r="904" spans="1:15" ht="15.9" customHeight="1">
      <c r="A904" s="48"/>
      <c r="B904" s="49"/>
      <c r="C904" s="68"/>
      <c r="D904" s="52"/>
      <c r="E904" s="52"/>
      <c r="F904" s="64"/>
      <c r="G904" s="52">
        <f t="shared" si="192"/>
        <v>0</v>
      </c>
      <c r="H904" s="64"/>
      <c r="I904" s="64"/>
      <c r="J904" s="64"/>
      <c r="K904" s="65"/>
      <c r="L904" s="52">
        <f t="shared" si="197"/>
        <v>0</v>
      </c>
      <c r="M904" s="52">
        <f t="shared" si="198"/>
        <v>0</v>
      </c>
      <c r="N904" s="52">
        <f t="shared" si="199"/>
        <v>0</v>
      </c>
      <c r="O904" s="52">
        <f t="shared" si="200"/>
        <v>0</v>
      </c>
    </row>
    <row r="905" spans="1:15" ht="15.9" customHeight="1">
      <c r="A905" s="48"/>
      <c r="B905" s="49"/>
      <c r="C905" s="68"/>
      <c r="D905" s="52"/>
      <c r="E905" s="52"/>
      <c r="F905" s="64"/>
      <c r="G905" s="52">
        <f t="shared" si="192"/>
        <v>0</v>
      </c>
      <c r="H905" s="64"/>
      <c r="I905" s="64"/>
      <c r="J905" s="64"/>
      <c r="K905" s="65"/>
      <c r="L905" s="52">
        <f t="shared" si="197"/>
        <v>0</v>
      </c>
      <c r="M905" s="52">
        <f t="shared" si="198"/>
        <v>0</v>
      </c>
      <c r="N905" s="52">
        <f t="shared" si="199"/>
        <v>0</v>
      </c>
      <c r="O905" s="52">
        <f t="shared" si="200"/>
        <v>0</v>
      </c>
    </row>
    <row r="906" spans="1:15" ht="15.9" customHeight="1">
      <c r="A906" s="48"/>
      <c r="B906" s="49"/>
      <c r="C906" s="68"/>
      <c r="D906" s="52"/>
      <c r="E906" s="52"/>
      <c r="F906" s="64"/>
      <c r="G906" s="52">
        <f t="shared" si="192"/>
        <v>0</v>
      </c>
      <c r="H906" s="64"/>
      <c r="I906" s="64"/>
      <c r="J906" s="64"/>
      <c r="K906" s="65"/>
      <c r="L906" s="52">
        <f t="shared" si="197"/>
        <v>0</v>
      </c>
      <c r="M906" s="52">
        <f t="shared" si="198"/>
        <v>0</v>
      </c>
      <c r="N906" s="52">
        <f t="shared" si="199"/>
        <v>0</v>
      </c>
      <c r="O906" s="52">
        <f t="shared" si="200"/>
        <v>0</v>
      </c>
    </row>
    <row r="907" spans="1:15" ht="15.9" customHeight="1">
      <c r="A907" s="48"/>
      <c r="B907" s="49"/>
      <c r="C907" s="68"/>
      <c r="D907" s="52"/>
      <c r="E907" s="52"/>
      <c r="F907" s="64"/>
      <c r="G907" s="52">
        <f t="shared" si="192"/>
        <v>0</v>
      </c>
      <c r="H907" s="64"/>
      <c r="I907" s="64"/>
      <c r="J907" s="64"/>
      <c r="K907" s="65"/>
      <c r="L907" s="52">
        <f t="shared" si="197"/>
        <v>0</v>
      </c>
      <c r="M907" s="52">
        <f t="shared" si="198"/>
        <v>0</v>
      </c>
      <c r="N907" s="52">
        <f t="shared" si="199"/>
        <v>0</v>
      </c>
      <c r="O907" s="52">
        <f t="shared" si="200"/>
        <v>0</v>
      </c>
    </row>
    <row r="908" spans="1:15" ht="15.9" customHeight="1">
      <c r="A908" s="48"/>
      <c r="B908" s="49"/>
      <c r="C908" s="68"/>
      <c r="D908" s="52"/>
      <c r="E908" s="52"/>
      <c r="F908" s="64"/>
      <c r="G908" s="52">
        <f t="shared" si="192"/>
        <v>0</v>
      </c>
      <c r="H908" s="64"/>
      <c r="I908" s="64"/>
      <c r="J908" s="64"/>
      <c r="K908" s="65"/>
      <c r="L908" s="52">
        <f t="shared" si="197"/>
        <v>0</v>
      </c>
      <c r="M908" s="52">
        <f t="shared" si="198"/>
        <v>0</v>
      </c>
      <c r="N908" s="52">
        <f t="shared" si="199"/>
        <v>0</v>
      </c>
      <c r="O908" s="52">
        <f t="shared" si="200"/>
        <v>0</v>
      </c>
    </row>
    <row r="909" spans="1:15" ht="15.9" customHeight="1">
      <c r="A909" s="48"/>
      <c r="B909" s="49"/>
      <c r="C909" s="68"/>
      <c r="D909" s="52"/>
      <c r="E909" s="52"/>
      <c r="F909" s="64"/>
      <c r="G909" s="52">
        <f t="shared" si="192"/>
        <v>0</v>
      </c>
      <c r="H909" s="64"/>
      <c r="I909" s="64"/>
      <c r="J909" s="64"/>
      <c r="K909" s="65"/>
      <c r="L909" s="52">
        <f t="shared" si="197"/>
        <v>0</v>
      </c>
      <c r="M909" s="52">
        <f t="shared" si="198"/>
        <v>0</v>
      </c>
      <c r="N909" s="52">
        <f t="shared" si="199"/>
        <v>0</v>
      </c>
      <c r="O909" s="52">
        <f t="shared" si="200"/>
        <v>0</v>
      </c>
    </row>
    <row r="910" spans="1:15" ht="15.9" customHeight="1">
      <c r="A910" s="48"/>
      <c r="B910" s="49"/>
      <c r="C910" s="68"/>
      <c r="D910" s="52"/>
      <c r="E910" s="52"/>
      <c r="F910" s="64"/>
      <c r="G910" s="52">
        <f t="shared" si="192"/>
        <v>0</v>
      </c>
      <c r="H910" s="64"/>
      <c r="I910" s="64"/>
      <c r="J910" s="64"/>
      <c r="K910" s="65"/>
      <c r="L910" s="52">
        <f t="shared" si="197"/>
        <v>0</v>
      </c>
      <c r="M910" s="52">
        <f t="shared" si="198"/>
        <v>0</v>
      </c>
      <c r="N910" s="52">
        <f t="shared" si="199"/>
        <v>0</v>
      </c>
      <c r="O910" s="52">
        <f t="shared" si="200"/>
        <v>0</v>
      </c>
    </row>
    <row r="911" spans="1:15" ht="15.9" customHeight="1">
      <c r="A911" s="48"/>
      <c r="B911" s="49"/>
      <c r="C911" s="68"/>
      <c r="D911" s="52"/>
      <c r="E911" s="52"/>
      <c r="F911" s="64"/>
      <c r="G911" s="52">
        <f t="shared" si="192"/>
        <v>0</v>
      </c>
      <c r="H911" s="64"/>
      <c r="I911" s="64"/>
      <c r="J911" s="64"/>
      <c r="K911" s="65"/>
      <c r="L911" s="52">
        <f t="shared" si="197"/>
        <v>0</v>
      </c>
      <c r="M911" s="52">
        <f t="shared" si="198"/>
        <v>0</v>
      </c>
      <c r="N911" s="52">
        <f t="shared" si="199"/>
        <v>0</v>
      </c>
      <c r="O911" s="52">
        <f t="shared" si="200"/>
        <v>0</v>
      </c>
    </row>
    <row r="912" spans="1:15" ht="15.9" customHeight="1">
      <c r="A912" s="48"/>
      <c r="B912" s="49"/>
      <c r="C912" s="69"/>
      <c r="D912" s="52"/>
      <c r="E912" s="52"/>
      <c r="F912" s="64"/>
      <c r="G912" s="52">
        <f t="shared" si="192"/>
        <v>0</v>
      </c>
      <c r="H912" s="64"/>
      <c r="I912" s="64"/>
      <c r="J912" s="64"/>
      <c r="K912" s="65"/>
      <c r="L912" s="52">
        <f t="shared" si="197"/>
        <v>0</v>
      </c>
      <c r="M912" s="52">
        <f t="shared" si="198"/>
        <v>0</v>
      </c>
      <c r="N912" s="52">
        <f t="shared" si="199"/>
        <v>0</v>
      </c>
      <c r="O912" s="52">
        <f t="shared" si="200"/>
        <v>0</v>
      </c>
    </row>
    <row r="913" spans="1:15" ht="15.9" customHeight="1">
      <c r="A913" s="48"/>
      <c r="B913" s="49"/>
      <c r="C913" s="69"/>
      <c r="D913" s="52"/>
      <c r="E913" s="52"/>
      <c r="F913" s="64"/>
      <c r="G913" s="52">
        <f t="shared" si="192"/>
        <v>0</v>
      </c>
      <c r="H913" s="64"/>
      <c r="I913" s="64"/>
      <c r="J913" s="64"/>
      <c r="K913" s="65"/>
      <c r="L913" s="52">
        <f t="shared" si="197"/>
        <v>0</v>
      </c>
      <c r="M913" s="52">
        <f t="shared" si="198"/>
        <v>0</v>
      </c>
      <c r="N913" s="52">
        <f t="shared" si="199"/>
        <v>0</v>
      </c>
      <c r="O913" s="52">
        <f t="shared" si="200"/>
        <v>0</v>
      </c>
    </row>
    <row r="914" spans="1:15" ht="15.9" customHeight="1">
      <c r="A914" s="48"/>
      <c r="B914" s="49"/>
      <c r="C914" s="69"/>
      <c r="D914" s="52"/>
      <c r="E914" s="52"/>
      <c r="F914" s="64"/>
      <c r="G914" s="52">
        <f t="shared" si="192"/>
        <v>0</v>
      </c>
      <c r="H914" s="64"/>
      <c r="I914" s="64"/>
      <c r="J914" s="64"/>
      <c r="K914" s="65"/>
      <c r="L914" s="52">
        <f t="shared" si="197"/>
        <v>0</v>
      </c>
      <c r="M914" s="52">
        <f t="shared" si="198"/>
        <v>0</v>
      </c>
      <c r="N914" s="52">
        <f t="shared" si="199"/>
        <v>0</v>
      </c>
      <c r="O914" s="52">
        <f t="shared" si="200"/>
        <v>0</v>
      </c>
    </row>
    <row r="915" spans="1:15" ht="15.9" customHeight="1">
      <c r="A915" s="48"/>
      <c r="B915" s="49"/>
      <c r="C915" s="69"/>
      <c r="D915" s="52"/>
      <c r="E915" s="52"/>
      <c r="F915" s="64"/>
      <c r="G915" s="52">
        <f t="shared" si="192"/>
        <v>0</v>
      </c>
      <c r="H915" s="64"/>
      <c r="I915" s="64"/>
      <c r="J915" s="64"/>
      <c r="K915" s="65"/>
      <c r="L915" s="52">
        <f t="shared" si="197"/>
        <v>0</v>
      </c>
      <c r="M915" s="52">
        <f t="shared" si="198"/>
        <v>0</v>
      </c>
      <c r="N915" s="52">
        <f t="shared" si="199"/>
        <v>0</v>
      </c>
      <c r="O915" s="52">
        <f t="shared" si="200"/>
        <v>0</v>
      </c>
    </row>
    <row r="916" spans="1:15" ht="15.9" customHeight="1">
      <c r="A916" s="48"/>
      <c r="B916" s="49"/>
      <c r="C916" s="68"/>
      <c r="D916" s="52"/>
      <c r="E916" s="52"/>
      <c r="F916" s="64"/>
      <c r="G916" s="52">
        <f t="shared" si="192"/>
        <v>0</v>
      </c>
      <c r="H916" s="64"/>
      <c r="I916" s="64"/>
      <c r="J916" s="64"/>
      <c r="K916" s="65"/>
      <c r="L916" s="52">
        <f t="shared" si="197"/>
        <v>0</v>
      </c>
      <c r="M916" s="52">
        <f t="shared" si="198"/>
        <v>0</v>
      </c>
      <c r="N916" s="52">
        <f t="shared" si="199"/>
        <v>0</v>
      </c>
      <c r="O916" s="52">
        <f t="shared" si="200"/>
        <v>0</v>
      </c>
    </row>
    <row r="917" spans="1:15" ht="15.9" customHeight="1">
      <c r="A917" s="48"/>
      <c r="B917" s="49"/>
      <c r="C917" s="68"/>
      <c r="D917" s="52"/>
      <c r="E917" s="52"/>
      <c r="F917" s="64"/>
      <c r="G917" s="52">
        <f t="shared" si="192"/>
        <v>0</v>
      </c>
      <c r="H917" s="64"/>
      <c r="I917" s="64"/>
      <c r="J917" s="64"/>
      <c r="K917" s="65"/>
      <c r="L917" s="52">
        <f t="shared" si="197"/>
        <v>0</v>
      </c>
      <c r="M917" s="52">
        <f t="shared" si="198"/>
        <v>0</v>
      </c>
      <c r="N917" s="52">
        <f t="shared" si="199"/>
        <v>0</v>
      </c>
      <c r="O917" s="52">
        <f t="shared" si="200"/>
        <v>0</v>
      </c>
    </row>
    <row r="918" spans="1:15" ht="15.9" customHeight="1">
      <c r="A918" s="48"/>
      <c r="B918" s="49"/>
      <c r="C918" s="68"/>
      <c r="D918" s="52"/>
      <c r="E918" s="52"/>
      <c r="F918" s="64"/>
      <c r="G918" s="52">
        <f t="shared" si="192"/>
        <v>0</v>
      </c>
      <c r="H918" s="64"/>
      <c r="I918" s="64"/>
      <c r="J918" s="64"/>
      <c r="K918" s="65"/>
      <c r="L918" s="52">
        <f t="shared" si="197"/>
        <v>0</v>
      </c>
      <c r="M918" s="52">
        <f t="shared" si="198"/>
        <v>0</v>
      </c>
      <c r="N918" s="52">
        <f t="shared" si="199"/>
        <v>0</v>
      </c>
      <c r="O918" s="52">
        <f t="shared" si="200"/>
        <v>0</v>
      </c>
    </row>
    <row r="919" spans="1:15" ht="15.9" customHeight="1">
      <c r="A919" s="48"/>
      <c r="B919" s="49"/>
      <c r="C919" s="68"/>
      <c r="D919" s="52"/>
      <c r="E919" s="52"/>
      <c r="F919" s="64"/>
      <c r="G919" s="52">
        <f t="shared" si="192"/>
        <v>0</v>
      </c>
      <c r="H919" s="64"/>
      <c r="I919" s="64"/>
      <c r="J919" s="64"/>
      <c r="K919" s="65"/>
      <c r="L919" s="52">
        <f t="shared" si="197"/>
        <v>0</v>
      </c>
      <c r="M919" s="52">
        <f t="shared" si="198"/>
        <v>0</v>
      </c>
      <c r="N919" s="52">
        <f t="shared" si="199"/>
        <v>0</v>
      </c>
      <c r="O919" s="52">
        <f t="shared" si="200"/>
        <v>0</v>
      </c>
    </row>
    <row r="920" spans="1:15" ht="15.9" customHeight="1">
      <c r="A920" s="48"/>
      <c r="B920" s="49"/>
      <c r="C920" s="68"/>
      <c r="D920" s="52"/>
      <c r="E920" s="52"/>
      <c r="F920" s="64"/>
      <c r="G920" s="52">
        <f t="shared" si="192"/>
        <v>0</v>
      </c>
      <c r="H920" s="64"/>
      <c r="I920" s="64"/>
      <c r="J920" s="64"/>
      <c r="K920" s="65"/>
      <c r="L920" s="52">
        <f t="shared" si="197"/>
        <v>0</v>
      </c>
      <c r="M920" s="52">
        <f t="shared" si="198"/>
        <v>0</v>
      </c>
      <c r="N920" s="52">
        <f t="shared" si="199"/>
        <v>0</v>
      </c>
      <c r="O920" s="52">
        <f t="shared" si="200"/>
        <v>0</v>
      </c>
    </row>
    <row r="921" spans="1:15" ht="15.9" customHeight="1">
      <c r="A921" s="48"/>
      <c r="B921" s="49"/>
      <c r="C921" s="68"/>
      <c r="D921" s="52"/>
      <c r="E921" s="52"/>
      <c r="F921" s="64"/>
      <c r="G921" s="52">
        <f t="shared" si="192"/>
        <v>0</v>
      </c>
      <c r="H921" s="64"/>
      <c r="I921" s="64"/>
      <c r="J921" s="64"/>
      <c r="K921" s="65"/>
      <c r="L921" s="52">
        <f t="shared" si="197"/>
        <v>0</v>
      </c>
      <c r="M921" s="52">
        <f t="shared" si="198"/>
        <v>0</v>
      </c>
      <c r="N921" s="52">
        <f t="shared" si="199"/>
        <v>0</v>
      </c>
      <c r="O921" s="52">
        <f t="shared" si="200"/>
        <v>0</v>
      </c>
    </row>
    <row r="922" spans="1:15" ht="15.9" customHeight="1">
      <c r="A922" s="48"/>
      <c r="B922" s="49"/>
      <c r="C922" s="68"/>
      <c r="D922" s="52"/>
      <c r="E922" s="52"/>
      <c r="F922" s="64"/>
      <c r="G922" s="52">
        <f t="shared" si="192"/>
        <v>0</v>
      </c>
      <c r="H922" s="64"/>
      <c r="I922" s="64"/>
      <c r="J922" s="64"/>
      <c r="K922" s="65"/>
      <c r="L922" s="52">
        <f t="shared" si="197"/>
        <v>0</v>
      </c>
      <c r="M922" s="52">
        <f t="shared" si="198"/>
        <v>0</v>
      </c>
      <c r="N922" s="52">
        <f t="shared" si="199"/>
        <v>0</v>
      </c>
      <c r="O922" s="52">
        <f t="shared" si="200"/>
        <v>0</v>
      </c>
    </row>
    <row r="923" spans="1:15" ht="15.9" customHeight="1">
      <c r="A923" s="48"/>
      <c r="B923" s="49"/>
      <c r="C923" s="68"/>
      <c r="D923" s="52"/>
      <c r="E923" s="52"/>
      <c r="F923" s="64"/>
      <c r="G923" s="52">
        <f t="shared" si="192"/>
        <v>0</v>
      </c>
      <c r="H923" s="64"/>
      <c r="I923" s="64"/>
      <c r="J923" s="64"/>
      <c r="K923" s="65"/>
      <c r="L923" s="52">
        <f t="shared" si="197"/>
        <v>0</v>
      </c>
      <c r="M923" s="52">
        <f t="shared" si="198"/>
        <v>0</v>
      </c>
      <c r="N923" s="52">
        <f t="shared" si="199"/>
        <v>0</v>
      </c>
      <c r="O923" s="52">
        <f t="shared" si="200"/>
        <v>0</v>
      </c>
    </row>
    <row r="924" spans="1:15" ht="15.9" customHeight="1">
      <c r="A924" s="48"/>
      <c r="B924" s="49"/>
      <c r="C924" s="68"/>
      <c r="D924" s="52"/>
      <c r="E924" s="52"/>
      <c r="F924" s="64"/>
      <c r="G924" s="52">
        <f t="shared" si="192"/>
        <v>0</v>
      </c>
      <c r="H924" s="64"/>
      <c r="I924" s="64"/>
      <c r="J924" s="64"/>
      <c r="K924" s="65"/>
      <c r="L924" s="52">
        <f t="shared" si="197"/>
        <v>0</v>
      </c>
      <c r="M924" s="52">
        <f t="shared" si="198"/>
        <v>0</v>
      </c>
      <c r="N924" s="52">
        <f t="shared" si="199"/>
        <v>0</v>
      </c>
      <c r="O924" s="52">
        <f t="shared" si="200"/>
        <v>0</v>
      </c>
    </row>
    <row r="925" spans="1:15" ht="15.9" customHeight="1">
      <c r="A925" s="48"/>
      <c r="B925" s="49"/>
      <c r="C925" s="68"/>
      <c r="D925" s="52"/>
      <c r="E925" s="52"/>
      <c r="F925" s="64"/>
      <c r="G925" s="52">
        <f t="shared" si="192"/>
        <v>0</v>
      </c>
      <c r="H925" s="64"/>
      <c r="I925" s="64"/>
      <c r="J925" s="64"/>
      <c r="K925" s="65"/>
      <c r="L925" s="52">
        <f t="shared" si="197"/>
        <v>0</v>
      </c>
      <c r="M925" s="52">
        <f t="shared" si="198"/>
        <v>0</v>
      </c>
      <c r="N925" s="52">
        <f t="shared" si="199"/>
        <v>0</v>
      </c>
      <c r="O925" s="52">
        <f t="shared" si="200"/>
        <v>0</v>
      </c>
    </row>
    <row r="926" spans="1:15" ht="15.9" customHeight="1">
      <c r="A926" s="48"/>
      <c r="B926" s="49"/>
      <c r="C926" s="69"/>
      <c r="D926" s="52"/>
      <c r="E926" s="52"/>
      <c r="F926" s="64"/>
      <c r="G926" s="52">
        <f t="shared" si="192"/>
        <v>0</v>
      </c>
      <c r="H926" s="64"/>
      <c r="I926" s="64"/>
      <c r="J926" s="64"/>
      <c r="K926" s="65"/>
      <c r="L926" s="52">
        <f t="shared" si="197"/>
        <v>0</v>
      </c>
      <c r="M926" s="52">
        <f t="shared" si="198"/>
        <v>0</v>
      </c>
      <c r="N926" s="52">
        <f t="shared" si="199"/>
        <v>0</v>
      </c>
      <c r="O926" s="52">
        <f t="shared" si="200"/>
        <v>0</v>
      </c>
    </row>
    <row r="927" spans="1:15" ht="15.9" customHeight="1">
      <c r="A927" s="48"/>
      <c r="B927" s="49"/>
      <c r="C927" s="69"/>
      <c r="D927" s="52"/>
      <c r="E927" s="52"/>
      <c r="F927" s="64"/>
      <c r="G927" s="52">
        <f t="shared" si="192"/>
        <v>0</v>
      </c>
      <c r="H927" s="64"/>
      <c r="I927" s="64"/>
      <c r="J927" s="64"/>
      <c r="K927" s="65"/>
      <c r="L927" s="52">
        <f t="shared" si="197"/>
        <v>0</v>
      </c>
      <c r="M927" s="52">
        <f t="shared" si="198"/>
        <v>0</v>
      </c>
      <c r="N927" s="52">
        <f t="shared" si="199"/>
        <v>0</v>
      </c>
      <c r="O927" s="52">
        <f t="shared" si="200"/>
        <v>0</v>
      </c>
    </row>
    <row r="928" spans="1:15" ht="15.9" customHeight="1">
      <c r="A928" s="48"/>
      <c r="B928" s="49"/>
      <c r="C928" s="69"/>
      <c r="D928" s="52"/>
      <c r="E928" s="52"/>
      <c r="F928" s="64"/>
      <c r="G928" s="52">
        <f t="shared" si="192"/>
        <v>0</v>
      </c>
      <c r="H928" s="64"/>
      <c r="I928" s="64"/>
      <c r="J928" s="64"/>
      <c r="K928" s="65"/>
      <c r="L928" s="52">
        <f t="shared" si="197"/>
        <v>0</v>
      </c>
      <c r="M928" s="52">
        <f t="shared" si="198"/>
        <v>0</v>
      </c>
      <c r="N928" s="52">
        <f t="shared" si="199"/>
        <v>0</v>
      </c>
      <c r="O928" s="52">
        <f t="shared" si="200"/>
        <v>0</v>
      </c>
    </row>
    <row r="929" spans="1:15" ht="15.9" customHeight="1">
      <c r="A929" s="48"/>
      <c r="B929" s="49"/>
      <c r="C929" s="69"/>
      <c r="D929" s="52"/>
      <c r="E929" s="52"/>
      <c r="F929" s="64"/>
      <c r="G929" s="52">
        <f t="shared" si="192"/>
        <v>0</v>
      </c>
      <c r="H929" s="64"/>
      <c r="I929" s="64"/>
      <c r="J929" s="64"/>
      <c r="K929" s="65"/>
      <c r="L929" s="52">
        <f t="shared" si="197"/>
        <v>0</v>
      </c>
      <c r="M929" s="52">
        <f t="shared" si="198"/>
        <v>0</v>
      </c>
      <c r="N929" s="52">
        <f t="shared" si="199"/>
        <v>0</v>
      </c>
      <c r="O929" s="52">
        <f t="shared" si="200"/>
        <v>0</v>
      </c>
    </row>
    <row r="930" spans="1:15" ht="15.9" customHeight="1">
      <c r="A930" s="48"/>
      <c r="B930" s="49"/>
      <c r="C930" s="68"/>
      <c r="D930" s="52"/>
      <c r="E930" s="52"/>
      <c r="F930" s="64"/>
      <c r="G930" s="52">
        <f t="shared" si="192"/>
        <v>0</v>
      </c>
      <c r="H930" s="64"/>
      <c r="I930" s="64"/>
      <c r="J930" s="64"/>
      <c r="K930" s="65"/>
      <c r="L930" s="52">
        <f t="shared" si="197"/>
        <v>0</v>
      </c>
      <c r="M930" s="52">
        <f t="shared" si="198"/>
        <v>0</v>
      </c>
      <c r="N930" s="52">
        <f t="shared" si="199"/>
        <v>0</v>
      </c>
      <c r="O930" s="52">
        <f t="shared" si="200"/>
        <v>0</v>
      </c>
    </row>
    <row r="931" spans="1:15" ht="15.9" customHeight="1">
      <c r="A931" s="48"/>
      <c r="B931" s="49"/>
      <c r="C931" s="68"/>
      <c r="D931" s="52"/>
      <c r="E931" s="52"/>
      <c r="F931" s="64"/>
      <c r="G931" s="52">
        <f t="shared" si="192"/>
        <v>0</v>
      </c>
      <c r="H931" s="64"/>
      <c r="I931" s="64"/>
      <c r="J931" s="64"/>
      <c r="K931" s="65"/>
      <c r="L931" s="52">
        <f t="shared" si="197"/>
        <v>0</v>
      </c>
      <c r="M931" s="52">
        <f t="shared" si="198"/>
        <v>0</v>
      </c>
      <c r="N931" s="52">
        <f t="shared" si="199"/>
        <v>0</v>
      </c>
      <c r="O931" s="52">
        <f t="shared" si="200"/>
        <v>0</v>
      </c>
    </row>
    <row r="932" spans="1:15" ht="15.9" customHeight="1">
      <c r="A932" s="48"/>
      <c r="B932" s="49"/>
      <c r="C932" s="68"/>
      <c r="D932" s="52"/>
      <c r="E932" s="52"/>
      <c r="F932" s="64"/>
      <c r="G932" s="52">
        <f t="shared" si="192"/>
        <v>0</v>
      </c>
      <c r="H932" s="64"/>
      <c r="I932" s="64"/>
      <c r="J932" s="64"/>
      <c r="K932" s="65"/>
      <c r="L932" s="52">
        <f t="shared" si="197"/>
        <v>0</v>
      </c>
      <c r="M932" s="52">
        <f t="shared" si="198"/>
        <v>0</v>
      </c>
      <c r="N932" s="52">
        <f t="shared" si="199"/>
        <v>0</v>
      </c>
      <c r="O932" s="52">
        <f t="shared" si="200"/>
        <v>0</v>
      </c>
    </row>
    <row r="933" spans="1:15" ht="15.9" customHeight="1">
      <c r="A933" s="48"/>
      <c r="B933" s="49"/>
      <c r="C933" s="68"/>
      <c r="D933" s="52"/>
      <c r="E933" s="52"/>
      <c r="F933" s="64"/>
      <c r="G933" s="52">
        <f t="shared" si="192"/>
        <v>0</v>
      </c>
      <c r="H933" s="64"/>
      <c r="I933" s="64"/>
      <c r="J933" s="64"/>
      <c r="K933" s="65"/>
      <c r="L933" s="52">
        <f t="shared" si="197"/>
        <v>0</v>
      </c>
      <c r="M933" s="52">
        <f t="shared" si="198"/>
        <v>0</v>
      </c>
      <c r="N933" s="52">
        <f t="shared" si="199"/>
        <v>0</v>
      </c>
      <c r="O933" s="52">
        <f t="shared" si="200"/>
        <v>0</v>
      </c>
    </row>
    <row r="934" spans="1:15" ht="15.9" customHeight="1">
      <c r="A934" s="48"/>
      <c r="B934" s="49"/>
      <c r="C934" s="68"/>
      <c r="D934" s="52"/>
      <c r="E934" s="52"/>
      <c r="F934" s="64"/>
      <c r="G934" s="52">
        <f t="shared" si="192"/>
        <v>0</v>
      </c>
      <c r="H934" s="64"/>
      <c r="I934" s="64"/>
      <c r="J934" s="64"/>
      <c r="K934" s="65"/>
      <c r="L934" s="52">
        <f t="shared" si="197"/>
        <v>0</v>
      </c>
      <c r="M934" s="52">
        <f t="shared" si="198"/>
        <v>0</v>
      </c>
      <c r="N934" s="52">
        <f t="shared" si="199"/>
        <v>0</v>
      </c>
      <c r="O934" s="52">
        <f t="shared" si="200"/>
        <v>0</v>
      </c>
    </row>
    <row r="935" spans="1:15" ht="15.9" customHeight="1">
      <c r="A935" s="48"/>
      <c r="B935" s="49"/>
      <c r="C935" s="68"/>
      <c r="D935" s="52"/>
      <c r="E935" s="52"/>
      <c r="F935" s="64"/>
      <c r="G935" s="52">
        <f t="shared" si="192"/>
        <v>0</v>
      </c>
      <c r="H935" s="64"/>
      <c r="I935" s="64"/>
      <c r="J935" s="64"/>
      <c r="K935" s="65"/>
      <c r="L935" s="52">
        <f t="shared" si="197"/>
        <v>0</v>
      </c>
      <c r="M935" s="52">
        <f t="shared" si="198"/>
        <v>0</v>
      </c>
      <c r="N935" s="52">
        <f t="shared" si="199"/>
        <v>0</v>
      </c>
      <c r="O935" s="52">
        <f t="shared" si="200"/>
        <v>0</v>
      </c>
    </row>
    <row r="936" spans="1:15" ht="15.9" customHeight="1">
      <c r="A936" s="48"/>
      <c r="B936" s="49"/>
      <c r="C936" s="68"/>
      <c r="D936" s="52"/>
      <c r="E936" s="52"/>
      <c r="F936" s="64"/>
      <c r="G936" s="52">
        <f t="shared" si="192"/>
        <v>0</v>
      </c>
      <c r="H936" s="64"/>
      <c r="I936" s="64"/>
      <c r="J936" s="64"/>
      <c r="K936" s="65"/>
      <c r="L936" s="52">
        <f t="shared" si="197"/>
        <v>0</v>
      </c>
      <c r="M936" s="52">
        <f t="shared" si="198"/>
        <v>0</v>
      </c>
      <c r="N936" s="52">
        <f t="shared" si="199"/>
        <v>0</v>
      </c>
      <c r="O936" s="52">
        <f t="shared" si="200"/>
        <v>0</v>
      </c>
    </row>
    <row r="937" spans="1:15" ht="15.9" customHeight="1">
      <c r="A937" s="48"/>
      <c r="B937" s="49"/>
      <c r="C937" s="68"/>
      <c r="D937" s="52"/>
      <c r="E937" s="52"/>
      <c r="F937" s="64"/>
      <c r="G937" s="52">
        <f t="shared" si="192"/>
        <v>0</v>
      </c>
      <c r="H937" s="64"/>
      <c r="I937" s="64"/>
      <c r="J937" s="64"/>
      <c r="K937" s="65"/>
      <c r="L937" s="52">
        <f t="shared" si="197"/>
        <v>0</v>
      </c>
      <c r="M937" s="52">
        <f t="shared" si="198"/>
        <v>0</v>
      </c>
      <c r="N937" s="52">
        <f t="shared" si="199"/>
        <v>0</v>
      </c>
      <c r="O937" s="52">
        <f t="shared" si="200"/>
        <v>0</v>
      </c>
    </row>
    <row r="938" spans="1:15" ht="15.9" customHeight="1">
      <c r="A938" s="48"/>
      <c r="B938" s="49"/>
      <c r="C938" s="68"/>
      <c r="D938" s="52"/>
      <c r="E938" s="52"/>
      <c r="F938" s="64"/>
      <c r="G938" s="52">
        <f t="shared" si="192"/>
        <v>0</v>
      </c>
      <c r="H938" s="64"/>
      <c r="I938" s="64"/>
      <c r="J938" s="64"/>
      <c r="K938" s="65"/>
      <c r="L938" s="52">
        <f t="shared" si="197"/>
        <v>0</v>
      </c>
      <c r="M938" s="52">
        <f t="shared" si="198"/>
        <v>0</v>
      </c>
      <c r="N938" s="52">
        <f t="shared" si="199"/>
        <v>0</v>
      </c>
      <c r="O938" s="52">
        <f t="shared" si="200"/>
        <v>0</v>
      </c>
    </row>
    <row r="939" spans="1:15" ht="15.9" customHeight="1">
      <c r="A939" s="48"/>
      <c r="B939" s="49"/>
      <c r="C939" s="68"/>
      <c r="D939" s="52"/>
      <c r="E939" s="52"/>
      <c r="F939" s="64"/>
      <c r="G939" s="52">
        <f t="shared" si="192"/>
        <v>0</v>
      </c>
      <c r="H939" s="64"/>
      <c r="I939" s="64"/>
      <c r="J939" s="64"/>
      <c r="K939" s="65"/>
      <c r="L939" s="52">
        <f t="shared" si="197"/>
        <v>0</v>
      </c>
      <c r="M939" s="52">
        <f t="shared" si="198"/>
        <v>0</v>
      </c>
      <c r="N939" s="52">
        <f t="shared" si="199"/>
        <v>0</v>
      </c>
      <c r="O939" s="52">
        <f t="shared" si="200"/>
        <v>0</v>
      </c>
    </row>
    <row r="940" spans="1:15" ht="15.9" customHeight="1">
      <c r="A940" s="48"/>
      <c r="B940" s="49"/>
      <c r="C940" s="69"/>
      <c r="D940" s="52"/>
      <c r="E940" s="52"/>
      <c r="F940" s="64"/>
      <c r="G940" s="52">
        <f t="shared" si="192"/>
        <v>0</v>
      </c>
      <c r="H940" s="64"/>
      <c r="I940" s="64"/>
      <c r="J940" s="64"/>
      <c r="K940" s="65"/>
      <c r="L940" s="52">
        <f t="shared" si="197"/>
        <v>0</v>
      </c>
      <c r="M940" s="52">
        <f t="shared" si="198"/>
        <v>0</v>
      </c>
      <c r="N940" s="52">
        <f t="shared" si="199"/>
        <v>0</v>
      </c>
      <c r="O940" s="52">
        <f t="shared" si="200"/>
        <v>0</v>
      </c>
    </row>
    <row r="941" spans="1:15" ht="15.9" customHeight="1">
      <c r="A941" s="48"/>
      <c r="B941" s="49"/>
      <c r="C941" s="69"/>
      <c r="D941" s="52"/>
      <c r="E941" s="52"/>
      <c r="F941" s="64"/>
      <c r="G941" s="52">
        <f t="shared" si="192"/>
        <v>0</v>
      </c>
      <c r="H941" s="64"/>
      <c r="I941" s="64"/>
      <c r="J941" s="64"/>
      <c r="K941" s="65"/>
      <c r="L941" s="52">
        <f t="shared" si="197"/>
        <v>0</v>
      </c>
      <c r="M941" s="52">
        <f t="shared" si="198"/>
        <v>0</v>
      </c>
      <c r="N941" s="52">
        <f t="shared" si="199"/>
        <v>0</v>
      </c>
      <c r="O941" s="52">
        <f t="shared" si="200"/>
        <v>0</v>
      </c>
    </row>
    <row r="942" spans="1:15" ht="15.9" customHeight="1">
      <c r="A942" s="48"/>
      <c r="B942" s="49"/>
      <c r="C942" s="69"/>
      <c r="D942" s="52"/>
      <c r="E942" s="52"/>
      <c r="F942" s="64"/>
      <c r="G942" s="52">
        <f t="shared" si="192"/>
        <v>0</v>
      </c>
      <c r="H942" s="64"/>
      <c r="I942" s="64"/>
      <c r="J942" s="64"/>
      <c r="K942" s="89"/>
      <c r="L942" s="52">
        <f t="shared" si="197"/>
        <v>0</v>
      </c>
      <c r="M942" s="52">
        <f t="shared" si="198"/>
        <v>0</v>
      </c>
      <c r="N942" s="52">
        <f t="shared" si="199"/>
        <v>0</v>
      </c>
      <c r="O942" s="52">
        <f t="shared" si="200"/>
        <v>0</v>
      </c>
    </row>
    <row r="943" spans="1:15" ht="15.9" customHeight="1">
      <c r="A943" s="48"/>
      <c r="B943" s="49"/>
      <c r="C943" s="69"/>
      <c r="D943" s="52"/>
      <c r="E943" s="52"/>
      <c r="F943" s="64"/>
      <c r="G943" s="52">
        <f t="shared" si="192"/>
        <v>0</v>
      </c>
      <c r="H943" s="64"/>
      <c r="I943" s="64"/>
      <c r="J943" s="64"/>
      <c r="K943" s="65"/>
      <c r="L943" s="52">
        <f t="shared" si="197"/>
        <v>0</v>
      </c>
      <c r="M943" s="52">
        <f t="shared" si="198"/>
        <v>0</v>
      </c>
      <c r="N943" s="52">
        <f t="shared" si="199"/>
        <v>0</v>
      </c>
      <c r="O943" s="52">
        <f t="shared" si="200"/>
        <v>0</v>
      </c>
    </row>
    <row r="944" spans="1:15" ht="15.9" customHeight="1">
      <c r="A944" s="48"/>
      <c r="B944" s="49"/>
      <c r="C944" s="69"/>
      <c r="D944" s="52"/>
      <c r="E944" s="52"/>
      <c r="F944" s="64"/>
      <c r="G944" s="52">
        <f t="shared" si="192"/>
        <v>0</v>
      </c>
      <c r="H944" s="64"/>
      <c r="I944" s="64"/>
      <c r="J944" s="64"/>
      <c r="K944" s="65"/>
      <c r="L944" s="52">
        <f t="shared" si="197"/>
        <v>0</v>
      </c>
      <c r="M944" s="52">
        <f t="shared" si="198"/>
        <v>0</v>
      </c>
      <c r="N944" s="52">
        <f t="shared" si="199"/>
        <v>0</v>
      </c>
      <c r="O944" s="52">
        <f t="shared" si="200"/>
        <v>0</v>
      </c>
    </row>
    <row r="945" spans="1:15" ht="15.9" customHeight="1">
      <c r="A945" s="48"/>
      <c r="B945" s="49"/>
      <c r="C945" s="68"/>
      <c r="D945" s="52"/>
      <c r="E945" s="52"/>
      <c r="F945" s="64"/>
      <c r="G945" s="52">
        <f t="shared" si="192"/>
        <v>0</v>
      </c>
      <c r="H945" s="64"/>
      <c r="I945" s="64"/>
      <c r="J945" s="64"/>
      <c r="K945" s="65"/>
      <c r="L945" s="52">
        <f t="shared" si="197"/>
        <v>0</v>
      </c>
      <c r="M945" s="52">
        <f t="shared" si="198"/>
        <v>0</v>
      </c>
      <c r="N945" s="52">
        <f t="shared" si="199"/>
        <v>0</v>
      </c>
      <c r="O945" s="52">
        <f t="shared" si="200"/>
        <v>0</v>
      </c>
    </row>
    <row r="946" spans="1:15" ht="15.9" customHeight="1">
      <c r="A946" s="48"/>
      <c r="B946" s="49"/>
      <c r="C946" s="68"/>
      <c r="D946" s="52"/>
      <c r="E946" s="52"/>
      <c r="F946" s="64"/>
      <c r="G946" s="52">
        <f t="shared" si="192"/>
        <v>0</v>
      </c>
      <c r="H946" s="64"/>
      <c r="I946" s="64"/>
      <c r="J946" s="64"/>
      <c r="K946" s="65"/>
      <c r="L946" s="52">
        <f t="shared" si="193"/>
        <v>0</v>
      </c>
      <c r="M946" s="52">
        <f t="shared" si="194"/>
        <v>0</v>
      </c>
      <c r="N946" s="52">
        <f t="shared" si="195"/>
        <v>0</v>
      </c>
      <c r="O946" s="52">
        <f t="shared" si="196"/>
        <v>0</v>
      </c>
    </row>
    <row r="947" spans="1:15" ht="15.9" customHeight="1">
      <c r="A947" s="824" t="s">
        <v>711</v>
      </c>
      <c r="B947" s="825"/>
      <c r="C947" s="825"/>
      <c r="D947" s="826"/>
      <c r="E947" s="70" t="e">
        <f>SUM(#REF!)</f>
        <v>#REF!</v>
      </c>
      <c r="F947" s="71" t="e">
        <f>(E947-G947)/E947*100</f>
        <v>#REF!</v>
      </c>
      <c r="G947" s="70" t="e">
        <f>SUM(#REF!)</f>
        <v>#REF!</v>
      </c>
      <c r="H947" s="70" t="e">
        <f>L947/G947*100</f>
        <v>#REF!</v>
      </c>
      <c r="I947" s="70" t="e">
        <f>M947/G947*100</f>
        <v>#REF!</v>
      </c>
      <c r="J947" s="70" t="e">
        <f>N947/G947*100</f>
        <v>#REF!</v>
      </c>
      <c r="K947" s="70" t="e">
        <f>O947/G947*1000</f>
        <v>#REF!</v>
      </c>
      <c r="L947" s="70" t="e">
        <f>SUM(#REF!)</f>
        <v>#REF!</v>
      </c>
      <c r="M947" s="70" t="e">
        <f>SUM(#REF!)</f>
        <v>#REF!</v>
      </c>
      <c r="N947" s="70" t="e">
        <f>SUM(#REF!)</f>
        <v>#REF!</v>
      </c>
      <c r="O947" s="70" t="e">
        <f>SUM(#REF!)</f>
        <v>#REF!</v>
      </c>
    </row>
    <row r="948" spans="1:15" ht="15.9" customHeight="1">
      <c r="A948" s="827" t="s">
        <v>546</v>
      </c>
      <c r="B948" s="828"/>
      <c r="C948" s="828"/>
      <c r="D948" s="829"/>
      <c r="E948" s="70">
        <f>SUM(E5:E946)</f>
        <v>0</v>
      </c>
      <c r="F948" s="71" t="e">
        <f>(E948-G948)/E948*100</f>
        <v>#DIV/0!</v>
      </c>
      <c r="G948" s="70">
        <f>SUM(G5:G946)</f>
        <v>0</v>
      </c>
      <c r="H948" s="70" t="e">
        <f>L948/G948*100</f>
        <v>#DIV/0!</v>
      </c>
      <c r="I948" s="70" t="e">
        <f>M948/G948*100</f>
        <v>#DIV/0!</v>
      </c>
      <c r="J948" s="70" t="e">
        <f>N948/G948*100</f>
        <v>#DIV/0!</v>
      </c>
      <c r="K948" s="70" t="e">
        <f>O948/G948*1000</f>
        <v>#DIV/0!</v>
      </c>
      <c r="L948" s="70">
        <f>SUM(L5:L946)</f>
        <v>0</v>
      </c>
      <c r="M948" s="70">
        <f>SUM(M5:M946)</f>
        <v>0</v>
      </c>
      <c r="N948" s="70">
        <f>SUM(N5:N946)</f>
        <v>0</v>
      </c>
      <c r="O948" s="70">
        <f>SUM(O5:O946)</f>
        <v>0</v>
      </c>
    </row>
    <row r="949" spans="1:15" ht="15.9" customHeight="1">
      <c r="A949" s="72" t="s">
        <v>712</v>
      </c>
      <c r="B949" s="73"/>
      <c r="C949" s="74"/>
      <c r="D949" s="75"/>
      <c r="E949" s="72"/>
      <c r="F949" s="76"/>
      <c r="N949" s="36" t="s">
        <v>713</v>
      </c>
    </row>
    <row r="950" spans="1:15">
      <c r="E950" s="77"/>
      <c r="F950" s="78"/>
      <c r="G950" s="77"/>
      <c r="H950" s="77"/>
      <c r="I950" s="77"/>
      <c r="J950" s="77"/>
      <c r="K950" s="77"/>
      <c r="L950" s="90"/>
      <c r="M950" s="90"/>
      <c r="N950" s="90"/>
      <c r="O950" s="90"/>
    </row>
    <row r="952" spans="1:15">
      <c r="E952" s="79" t="s">
        <v>296</v>
      </c>
      <c r="F952" s="80" t="s">
        <v>154</v>
      </c>
      <c r="G952" s="79" t="s">
        <v>297</v>
      </c>
      <c r="H952" s="81" t="s">
        <v>299</v>
      </c>
      <c r="I952" s="81" t="s">
        <v>300</v>
      </c>
      <c r="J952" s="81" t="s">
        <v>298</v>
      </c>
      <c r="K952" s="81" t="s">
        <v>301</v>
      </c>
      <c r="L952" s="81" t="s">
        <v>299</v>
      </c>
      <c r="M952" s="81" t="s">
        <v>300</v>
      </c>
      <c r="N952" s="81" t="s">
        <v>298</v>
      </c>
      <c r="O952" s="81" t="s">
        <v>301</v>
      </c>
    </row>
    <row r="953" spans="1:15">
      <c r="E953" s="82" t="e">
        <f>E947</f>
        <v>#REF!</v>
      </c>
      <c r="F953" s="80" t="e">
        <f>F947</f>
        <v>#REF!</v>
      </c>
      <c r="G953" s="82" t="e">
        <f>G947</f>
        <v>#REF!</v>
      </c>
      <c r="H953" s="82" t="e">
        <f>I947</f>
        <v>#REF!</v>
      </c>
      <c r="I953" s="82" t="e">
        <f>J947</f>
        <v>#REF!</v>
      </c>
      <c r="J953" s="82" t="e">
        <f>H947</f>
        <v>#REF!</v>
      </c>
      <c r="K953" s="82" t="e">
        <f>K947</f>
        <v>#REF!</v>
      </c>
      <c r="L953" s="82" t="e">
        <f>M947</f>
        <v>#REF!</v>
      </c>
      <c r="M953" s="91" t="e">
        <f>N947</f>
        <v>#REF!</v>
      </c>
      <c r="N953" s="82" t="e">
        <f>L947</f>
        <v>#REF!</v>
      </c>
      <c r="O953" s="82" t="e">
        <f>O947</f>
        <v>#REF!</v>
      </c>
    </row>
    <row r="955" spans="1:15">
      <c r="E955" s="83"/>
      <c r="G955" s="83"/>
      <c r="H955" s="83"/>
      <c r="I955" s="83"/>
      <c r="J955" s="83"/>
      <c r="K955" s="83"/>
      <c r="L955" s="83"/>
      <c r="M955" s="83"/>
      <c r="N955" s="83"/>
      <c r="O955" s="83"/>
    </row>
    <row r="956" spans="1:15">
      <c r="E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>
      <c r="E957" s="84"/>
    </row>
    <row r="958" spans="1:15">
      <c r="D958" s="85"/>
      <c r="E958" s="86"/>
      <c r="F958" s="86"/>
      <c r="G958" s="87"/>
      <c r="H958" s="88"/>
      <c r="I958" s="88"/>
      <c r="J958" s="88"/>
      <c r="K958" s="92"/>
      <c r="L958" s="93"/>
      <c r="M958" s="93"/>
      <c r="N958" s="93"/>
      <c r="O958" s="93"/>
    </row>
    <row r="959" spans="1:15">
      <c r="D959" s="85"/>
      <c r="E959" s="86"/>
      <c r="F959" s="86"/>
      <c r="G959" s="86"/>
      <c r="H959" s="88"/>
      <c r="I959" s="88"/>
      <c r="J959" s="88"/>
      <c r="K959" s="92"/>
      <c r="L959" s="93"/>
      <c r="M959" s="93"/>
      <c r="N959" s="93"/>
      <c r="O959" s="93"/>
    </row>
    <row r="960" spans="1:15">
      <c r="E960" s="86"/>
      <c r="F960" s="86"/>
      <c r="G960" s="86"/>
      <c r="H960" s="88"/>
      <c r="I960" s="88"/>
      <c r="J960" s="88"/>
      <c r="K960" s="92"/>
      <c r="L960" s="93"/>
      <c r="M960" s="93"/>
      <c r="N960" s="93"/>
      <c r="O960" s="93"/>
    </row>
    <row r="961" spans="5:15">
      <c r="E961" s="86"/>
      <c r="F961" s="86"/>
      <c r="G961" s="86"/>
      <c r="H961" s="88"/>
      <c r="I961" s="88"/>
      <c r="J961" s="88"/>
      <c r="K961" s="88"/>
      <c r="L961" s="93"/>
      <c r="M961" s="93"/>
      <c r="N961" s="93"/>
      <c r="O961" s="93"/>
    </row>
    <row r="962" spans="5:15">
      <c r="E962" s="86"/>
      <c r="F962" s="86"/>
      <c r="G962" s="86"/>
      <c r="H962" s="88"/>
      <c r="I962" s="88"/>
      <c r="J962" s="88"/>
      <c r="K962" s="88"/>
      <c r="L962" s="93"/>
      <c r="M962" s="93"/>
      <c r="N962" s="93"/>
      <c r="O962" s="93"/>
    </row>
    <row r="974" spans="5:15">
      <c r="H974" s="94"/>
      <c r="I974" s="94"/>
      <c r="J974" s="94"/>
      <c r="K974" s="94"/>
      <c r="L974" s="97"/>
      <c r="M974" s="97"/>
      <c r="N974" s="97"/>
      <c r="O974" s="97"/>
    </row>
    <row r="976" spans="5:15">
      <c r="E976" s="95"/>
      <c r="F976" s="96"/>
      <c r="G976" s="95"/>
      <c r="H976" s="95"/>
      <c r="I976" s="95"/>
      <c r="J976" s="95"/>
      <c r="K976" s="95"/>
      <c r="L976" s="98"/>
      <c r="M976" s="98"/>
      <c r="N976" s="98"/>
      <c r="O976" s="99"/>
    </row>
    <row r="978" spans="9:15">
      <c r="N978" s="94"/>
      <c r="O978" s="97"/>
    </row>
    <row r="979" spans="9:15">
      <c r="M979" s="97"/>
      <c r="N979" s="97"/>
      <c r="O979" s="97"/>
    </row>
    <row r="980" spans="9:15">
      <c r="I980" s="94"/>
      <c r="J980" s="94"/>
      <c r="M980" s="97"/>
      <c r="N980" s="97"/>
      <c r="O980" s="97"/>
    </row>
    <row r="981" spans="9:15">
      <c r="M981" s="97"/>
      <c r="N981" s="97"/>
      <c r="O981" s="97"/>
    </row>
    <row r="982" spans="9:15">
      <c r="I982" s="94"/>
      <c r="J982" s="94"/>
      <c r="K982" s="94"/>
      <c r="M982" s="97"/>
      <c r="N982" s="97"/>
      <c r="O982" s="97"/>
    </row>
  </sheetData>
  <mergeCells count="10">
    <mergeCell ref="A948:D948"/>
    <mergeCell ref="A3:A4"/>
    <mergeCell ref="B3:B4"/>
    <mergeCell ref="C3:C4"/>
    <mergeCell ref="D3:D4"/>
    <mergeCell ref="A1:O1"/>
    <mergeCell ref="E3:G3"/>
    <mergeCell ref="H3:K3"/>
    <mergeCell ref="L3:O3"/>
    <mergeCell ref="A947:D947"/>
  </mergeCells>
  <phoneticPr fontId="54" type="noConversion"/>
  <pageMargins left="0.69930555555555596" right="0.69930555555555596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7">
    <tabColor indexed="12"/>
  </sheetPr>
  <dimension ref="B2:BB30"/>
  <sheetViews>
    <sheetView topLeftCell="A12" workbookViewId="0">
      <selection activeCell="AQ30" sqref="AQ30"/>
    </sheetView>
  </sheetViews>
  <sheetFormatPr defaultColWidth="9" defaultRowHeight="15.6"/>
  <cols>
    <col min="1" max="1" width="4.6640625" style="18" customWidth="1"/>
    <col min="2" max="2" width="6.33203125" style="18" customWidth="1"/>
    <col min="3" max="3" width="7" style="18" customWidth="1"/>
    <col min="4" max="4" width="10.21875" style="18" customWidth="1"/>
    <col min="5" max="5" width="9.88671875" style="18" customWidth="1"/>
    <col min="6" max="6" width="11.6640625" style="18" customWidth="1"/>
    <col min="7" max="9" width="9" style="18"/>
    <col min="10" max="10" width="9.33203125" style="18" customWidth="1"/>
    <col min="11" max="11" width="11.21875" style="18" customWidth="1"/>
    <col min="12" max="12" width="11.6640625" style="18" customWidth="1"/>
    <col min="13" max="13" width="10.44140625" style="18" customWidth="1"/>
    <col min="14" max="14" width="12.21875" style="18" customWidth="1"/>
    <col min="15" max="15" width="9" style="33"/>
    <col min="16" max="18" width="9" style="33" hidden="1" customWidth="1"/>
    <col min="19" max="19" width="9.77734375" style="33" hidden="1" customWidth="1"/>
    <col min="20" max="20" width="9" style="33" hidden="1" customWidth="1"/>
    <col min="21" max="21" width="9.109375" style="33" hidden="1" customWidth="1"/>
    <col min="22" max="22" width="9.44140625" style="33" hidden="1" customWidth="1"/>
    <col min="23" max="23" width="10.77734375" style="33" hidden="1" customWidth="1"/>
    <col min="24" max="24" width="10.21875" style="33" hidden="1" customWidth="1"/>
    <col min="25" max="42" width="9" style="33" hidden="1" customWidth="1"/>
    <col min="43" max="44" width="9" style="33"/>
    <col min="45" max="49" width="9" style="35"/>
    <col min="50" max="54" width="9" style="33"/>
    <col min="55" max="256" width="9" style="18"/>
    <col min="257" max="257" width="4.6640625" style="18" customWidth="1"/>
    <col min="258" max="258" width="6.33203125" style="18" customWidth="1"/>
    <col min="259" max="259" width="7" style="18" customWidth="1"/>
    <col min="260" max="260" width="10.21875" style="18" customWidth="1"/>
    <col min="261" max="261" width="9.88671875" style="18" customWidth="1"/>
    <col min="262" max="262" width="11.6640625" style="18" customWidth="1"/>
    <col min="263" max="265" width="9" style="18"/>
    <col min="266" max="266" width="9.33203125" style="18" customWidth="1"/>
    <col min="267" max="267" width="11.21875" style="18" customWidth="1"/>
    <col min="268" max="269" width="9" style="18"/>
    <col min="270" max="270" width="10.109375" style="18" customWidth="1"/>
    <col min="271" max="274" width="9" style="18"/>
    <col min="275" max="275" width="9.77734375" style="18" customWidth="1"/>
    <col min="276" max="276" width="9" style="18"/>
    <col min="277" max="277" width="9.109375" style="18" customWidth="1"/>
    <col min="278" max="278" width="9.44140625" style="18" customWidth="1"/>
    <col min="279" max="279" width="10.77734375" style="18" customWidth="1"/>
    <col min="280" max="280" width="10.21875" style="18" customWidth="1"/>
    <col min="281" max="512" width="9" style="18"/>
    <col min="513" max="513" width="4.6640625" style="18" customWidth="1"/>
    <col min="514" max="514" width="6.33203125" style="18" customWidth="1"/>
    <col min="515" max="515" width="7" style="18" customWidth="1"/>
    <col min="516" max="516" width="10.21875" style="18" customWidth="1"/>
    <col min="517" max="517" width="9.88671875" style="18" customWidth="1"/>
    <col min="518" max="518" width="11.6640625" style="18" customWidth="1"/>
    <col min="519" max="521" width="9" style="18"/>
    <col min="522" max="522" width="9.33203125" style="18" customWidth="1"/>
    <col min="523" max="523" width="11.21875" style="18" customWidth="1"/>
    <col min="524" max="525" width="9" style="18"/>
    <col min="526" max="526" width="10.109375" style="18" customWidth="1"/>
    <col min="527" max="530" width="9" style="18"/>
    <col min="531" max="531" width="9.77734375" style="18" customWidth="1"/>
    <col min="532" max="532" width="9" style="18"/>
    <col min="533" max="533" width="9.109375" style="18" customWidth="1"/>
    <col min="534" max="534" width="9.44140625" style="18" customWidth="1"/>
    <col min="535" max="535" width="10.77734375" style="18" customWidth="1"/>
    <col min="536" max="536" width="10.21875" style="18" customWidth="1"/>
    <col min="537" max="768" width="9" style="18"/>
    <col min="769" max="769" width="4.6640625" style="18" customWidth="1"/>
    <col min="770" max="770" width="6.33203125" style="18" customWidth="1"/>
    <col min="771" max="771" width="7" style="18" customWidth="1"/>
    <col min="772" max="772" width="10.21875" style="18" customWidth="1"/>
    <col min="773" max="773" width="9.88671875" style="18" customWidth="1"/>
    <col min="774" max="774" width="11.6640625" style="18" customWidth="1"/>
    <col min="775" max="777" width="9" style="18"/>
    <col min="778" max="778" width="9.33203125" style="18" customWidth="1"/>
    <col min="779" max="779" width="11.21875" style="18" customWidth="1"/>
    <col min="780" max="781" width="9" style="18"/>
    <col min="782" max="782" width="10.109375" style="18" customWidth="1"/>
    <col min="783" max="786" width="9" style="18"/>
    <col min="787" max="787" width="9.77734375" style="18" customWidth="1"/>
    <col min="788" max="788" width="9" style="18"/>
    <col min="789" max="789" width="9.109375" style="18" customWidth="1"/>
    <col min="790" max="790" width="9.44140625" style="18" customWidth="1"/>
    <col min="791" max="791" width="10.77734375" style="18" customWidth="1"/>
    <col min="792" max="792" width="10.21875" style="18" customWidth="1"/>
    <col min="793" max="1024" width="9" style="18"/>
    <col min="1025" max="1025" width="4.6640625" style="18" customWidth="1"/>
    <col min="1026" max="1026" width="6.33203125" style="18" customWidth="1"/>
    <col min="1027" max="1027" width="7" style="18" customWidth="1"/>
    <col min="1028" max="1028" width="10.21875" style="18" customWidth="1"/>
    <col min="1029" max="1029" width="9.88671875" style="18" customWidth="1"/>
    <col min="1030" max="1030" width="11.6640625" style="18" customWidth="1"/>
    <col min="1031" max="1033" width="9" style="18"/>
    <col min="1034" max="1034" width="9.33203125" style="18" customWidth="1"/>
    <col min="1035" max="1035" width="11.21875" style="18" customWidth="1"/>
    <col min="1036" max="1037" width="9" style="18"/>
    <col min="1038" max="1038" width="10.109375" style="18" customWidth="1"/>
    <col min="1039" max="1042" width="9" style="18"/>
    <col min="1043" max="1043" width="9.77734375" style="18" customWidth="1"/>
    <col min="1044" max="1044" width="9" style="18"/>
    <col min="1045" max="1045" width="9.109375" style="18" customWidth="1"/>
    <col min="1046" max="1046" width="9.44140625" style="18" customWidth="1"/>
    <col min="1047" max="1047" width="10.77734375" style="18" customWidth="1"/>
    <col min="1048" max="1048" width="10.21875" style="18" customWidth="1"/>
    <col min="1049" max="1280" width="9" style="18"/>
    <col min="1281" max="1281" width="4.6640625" style="18" customWidth="1"/>
    <col min="1282" max="1282" width="6.33203125" style="18" customWidth="1"/>
    <col min="1283" max="1283" width="7" style="18" customWidth="1"/>
    <col min="1284" max="1284" width="10.21875" style="18" customWidth="1"/>
    <col min="1285" max="1285" width="9.88671875" style="18" customWidth="1"/>
    <col min="1286" max="1286" width="11.6640625" style="18" customWidth="1"/>
    <col min="1287" max="1289" width="9" style="18"/>
    <col min="1290" max="1290" width="9.33203125" style="18" customWidth="1"/>
    <col min="1291" max="1291" width="11.21875" style="18" customWidth="1"/>
    <col min="1292" max="1293" width="9" style="18"/>
    <col min="1294" max="1294" width="10.109375" style="18" customWidth="1"/>
    <col min="1295" max="1298" width="9" style="18"/>
    <col min="1299" max="1299" width="9.77734375" style="18" customWidth="1"/>
    <col min="1300" max="1300" width="9" style="18"/>
    <col min="1301" max="1301" width="9.109375" style="18" customWidth="1"/>
    <col min="1302" max="1302" width="9.44140625" style="18" customWidth="1"/>
    <col min="1303" max="1303" width="10.77734375" style="18" customWidth="1"/>
    <col min="1304" max="1304" width="10.21875" style="18" customWidth="1"/>
    <col min="1305" max="1536" width="9" style="18"/>
    <col min="1537" max="1537" width="4.6640625" style="18" customWidth="1"/>
    <col min="1538" max="1538" width="6.33203125" style="18" customWidth="1"/>
    <col min="1539" max="1539" width="7" style="18" customWidth="1"/>
    <col min="1540" max="1540" width="10.21875" style="18" customWidth="1"/>
    <col min="1541" max="1541" width="9.88671875" style="18" customWidth="1"/>
    <col min="1542" max="1542" width="11.6640625" style="18" customWidth="1"/>
    <col min="1543" max="1545" width="9" style="18"/>
    <col min="1546" max="1546" width="9.33203125" style="18" customWidth="1"/>
    <col min="1547" max="1547" width="11.21875" style="18" customWidth="1"/>
    <col min="1548" max="1549" width="9" style="18"/>
    <col min="1550" max="1550" width="10.109375" style="18" customWidth="1"/>
    <col min="1551" max="1554" width="9" style="18"/>
    <col min="1555" max="1555" width="9.77734375" style="18" customWidth="1"/>
    <col min="1556" max="1556" width="9" style="18"/>
    <col min="1557" max="1557" width="9.109375" style="18" customWidth="1"/>
    <col min="1558" max="1558" width="9.44140625" style="18" customWidth="1"/>
    <col min="1559" max="1559" width="10.77734375" style="18" customWidth="1"/>
    <col min="1560" max="1560" width="10.21875" style="18" customWidth="1"/>
    <col min="1561" max="1792" width="9" style="18"/>
    <col min="1793" max="1793" width="4.6640625" style="18" customWidth="1"/>
    <col min="1794" max="1794" width="6.33203125" style="18" customWidth="1"/>
    <col min="1795" max="1795" width="7" style="18" customWidth="1"/>
    <col min="1796" max="1796" width="10.21875" style="18" customWidth="1"/>
    <col min="1797" max="1797" width="9.88671875" style="18" customWidth="1"/>
    <col min="1798" max="1798" width="11.6640625" style="18" customWidth="1"/>
    <col min="1799" max="1801" width="9" style="18"/>
    <col min="1802" max="1802" width="9.33203125" style="18" customWidth="1"/>
    <col min="1803" max="1803" width="11.21875" style="18" customWidth="1"/>
    <col min="1804" max="1805" width="9" style="18"/>
    <col min="1806" max="1806" width="10.109375" style="18" customWidth="1"/>
    <col min="1807" max="1810" width="9" style="18"/>
    <col min="1811" max="1811" width="9.77734375" style="18" customWidth="1"/>
    <col min="1812" max="1812" width="9" style="18"/>
    <col min="1813" max="1813" width="9.109375" style="18" customWidth="1"/>
    <col min="1814" max="1814" width="9.44140625" style="18" customWidth="1"/>
    <col min="1815" max="1815" width="10.77734375" style="18" customWidth="1"/>
    <col min="1816" max="1816" width="10.21875" style="18" customWidth="1"/>
    <col min="1817" max="2048" width="9" style="18"/>
    <col min="2049" max="2049" width="4.6640625" style="18" customWidth="1"/>
    <col min="2050" max="2050" width="6.33203125" style="18" customWidth="1"/>
    <col min="2051" max="2051" width="7" style="18" customWidth="1"/>
    <col min="2052" max="2052" width="10.21875" style="18" customWidth="1"/>
    <col min="2053" max="2053" width="9.88671875" style="18" customWidth="1"/>
    <col min="2054" max="2054" width="11.6640625" style="18" customWidth="1"/>
    <col min="2055" max="2057" width="9" style="18"/>
    <col min="2058" max="2058" width="9.33203125" style="18" customWidth="1"/>
    <col min="2059" max="2059" width="11.21875" style="18" customWidth="1"/>
    <col min="2060" max="2061" width="9" style="18"/>
    <col min="2062" max="2062" width="10.109375" style="18" customWidth="1"/>
    <col min="2063" max="2066" width="9" style="18"/>
    <col min="2067" max="2067" width="9.77734375" style="18" customWidth="1"/>
    <col min="2068" max="2068" width="9" style="18"/>
    <col min="2069" max="2069" width="9.109375" style="18" customWidth="1"/>
    <col min="2070" max="2070" width="9.44140625" style="18" customWidth="1"/>
    <col min="2071" max="2071" width="10.77734375" style="18" customWidth="1"/>
    <col min="2072" max="2072" width="10.21875" style="18" customWidth="1"/>
    <col min="2073" max="2304" width="9" style="18"/>
    <col min="2305" max="2305" width="4.6640625" style="18" customWidth="1"/>
    <col min="2306" max="2306" width="6.33203125" style="18" customWidth="1"/>
    <col min="2307" max="2307" width="7" style="18" customWidth="1"/>
    <col min="2308" max="2308" width="10.21875" style="18" customWidth="1"/>
    <col min="2309" max="2309" width="9.88671875" style="18" customWidth="1"/>
    <col min="2310" max="2310" width="11.6640625" style="18" customWidth="1"/>
    <col min="2311" max="2313" width="9" style="18"/>
    <col min="2314" max="2314" width="9.33203125" style="18" customWidth="1"/>
    <col min="2315" max="2315" width="11.21875" style="18" customWidth="1"/>
    <col min="2316" max="2317" width="9" style="18"/>
    <col min="2318" max="2318" width="10.109375" style="18" customWidth="1"/>
    <col min="2319" max="2322" width="9" style="18"/>
    <col min="2323" max="2323" width="9.77734375" style="18" customWidth="1"/>
    <col min="2324" max="2324" width="9" style="18"/>
    <col min="2325" max="2325" width="9.109375" style="18" customWidth="1"/>
    <col min="2326" max="2326" width="9.44140625" style="18" customWidth="1"/>
    <col min="2327" max="2327" width="10.77734375" style="18" customWidth="1"/>
    <col min="2328" max="2328" width="10.21875" style="18" customWidth="1"/>
    <col min="2329" max="2560" width="9" style="18"/>
    <col min="2561" max="2561" width="4.6640625" style="18" customWidth="1"/>
    <col min="2562" max="2562" width="6.33203125" style="18" customWidth="1"/>
    <col min="2563" max="2563" width="7" style="18" customWidth="1"/>
    <col min="2564" max="2564" width="10.21875" style="18" customWidth="1"/>
    <col min="2565" max="2565" width="9.88671875" style="18" customWidth="1"/>
    <col min="2566" max="2566" width="11.6640625" style="18" customWidth="1"/>
    <col min="2567" max="2569" width="9" style="18"/>
    <col min="2570" max="2570" width="9.33203125" style="18" customWidth="1"/>
    <col min="2571" max="2571" width="11.21875" style="18" customWidth="1"/>
    <col min="2572" max="2573" width="9" style="18"/>
    <col min="2574" max="2574" width="10.109375" style="18" customWidth="1"/>
    <col min="2575" max="2578" width="9" style="18"/>
    <col min="2579" max="2579" width="9.77734375" style="18" customWidth="1"/>
    <col min="2580" max="2580" width="9" style="18"/>
    <col min="2581" max="2581" width="9.109375" style="18" customWidth="1"/>
    <col min="2582" max="2582" width="9.44140625" style="18" customWidth="1"/>
    <col min="2583" max="2583" width="10.77734375" style="18" customWidth="1"/>
    <col min="2584" max="2584" width="10.21875" style="18" customWidth="1"/>
    <col min="2585" max="2816" width="9" style="18"/>
    <col min="2817" max="2817" width="4.6640625" style="18" customWidth="1"/>
    <col min="2818" max="2818" width="6.33203125" style="18" customWidth="1"/>
    <col min="2819" max="2819" width="7" style="18" customWidth="1"/>
    <col min="2820" max="2820" width="10.21875" style="18" customWidth="1"/>
    <col min="2821" max="2821" width="9.88671875" style="18" customWidth="1"/>
    <col min="2822" max="2822" width="11.6640625" style="18" customWidth="1"/>
    <col min="2823" max="2825" width="9" style="18"/>
    <col min="2826" max="2826" width="9.33203125" style="18" customWidth="1"/>
    <col min="2827" max="2827" width="11.21875" style="18" customWidth="1"/>
    <col min="2828" max="2829" width="9" style="18"/>
    <col min="2830" max="2830" width="10.109375" style="18" customWidth="1"/>
    <col min="2831" max="2834" width="9" style="18"/>
    <col min="2835" max="2835" width="9.77734375" style="18" customWidth="1"/>
    <col min="2836" max="2836" width="9" style="18"/>
    <col min="2837" max="2837" width="9.109375" style="18" customWidth="1"/>
    <col min="2838" max="2838" width="9.44140625" style="18" customWidth="1"/>
    <col min="2839" max="2839" width="10.77734375" style="18" customWidth="1"/>
    <col min="2840" max="2840" width="10.21875" style="18" customWidth="1"/>
    <col min="2841" max="3072" width="9" style="18"/>
    <col min="3073" max="3073" width="4.6640625" style="18" customWidth="1"/>
    <col min="3074" max="3074" width="6.33203125" style="18" customWidth="1"/>
    <col min="3075" max="3075" width="7" style="18" customWidth="1"/>
    <col min="3076" max="3076" width="10.21875" style="18" customWidth="1"/>
    <col min="3077" max="3077" width="9.88671875" style="18" customWidth="1"/>
    <col min="3078" max="3078" width="11.6640625" style="18" customWidth="1"/>
    <col min="3079" max="3081" width="9" style="18"/>
    <col min="3082" max="3082" width="9.33203125" style="18" customWidth="1"/>
    <col min="3083" max="3083" width="11.21875" style="18" customWidth="1"/>
    <col min="3084" max="3085" width="9" style="18"/>
    <col min="3086" max="3086" width="10.109375" style="18" customWidth="1"/>
    <col min="3087" max="3090" width="9" style="18"/>
    <col min="3091" max="3091" width="9.77734375" style="18" customWidth="1"/>
    <col min="3092" max="3092" width="9" style="18"/>
    <col min="3093" max="3093" width="9.109375" style="18" customWidth="1"/>
    <col min="3094" max="3094" width="9.44140625" style="18" customWidth="1"/>
    <col min="3095" max="3095" width="10.77734375" style="18" customWidth="1"/>
    <col min="3096" max="3096" width="10.21875" style="18" customWidth="1"/>
    <col min="3097" max="3328" width="9" style="18"/>
    <col min="3329" max="3329" width="4.6640625" style="18" customWidth="1"/>
    <col min="3330" max="3330" width="6.33203125" style="18" customWidth="1"/>
    <col min="3331" max="3331" width="7" style="18" customWidth="1"/>
    <col min="3332" max="3332" width="10.21875" style="18" customWidth="1"/>
    <col min="3333" max="3333" width="9.88671875" style="18" customWidth="1"/>
    <col min="3334" max="3334" width="11.6640625" style="18" customWidth="1"/>
    <col min="3335" max="3337" width="9" style="18"/>
    <col min="3338" max="3338" width="9.33203125" style="18" customWidth="1"/>
    <col min="3339" max="3339" width="11.21875" style="18" customWidth="1"/>
    <col min="3340" max="3341" width="9" style="18"/>
    <col min="3342" max="3342" width="10.109375" style="18" customWidth="1"/>
    <col min="3343" max="3346" width="9" style="18"/>
    <col min="3347" max="3347" width="9.77734375" style="18" customWidth="1"/>
    <col min="3348" max="3348" width="9" style="18"/>
    <col min="3349" max="3349" width="9.109375" style="18" customWidth="1"/>
    <col min="3350" max="3350" width="9.44140625" style="18" customWidth="1"/>
    <col min="3351" max="3351" width="10.77734375" style="18" customWidth="1"/>
    <col min="3352" max="3352" width="10.21875" style="18" customWidth="1"/>
    <col min="3353" max="3584" width="9" style="18"/>
    <col min="3585" max="3585" width="4.6640625" style="18" customWidth="1"/>
    <col min="3586" max="3586" width="6.33203125" style="18" customWidth="1"/>
    <col min="3587" max="3587" width="7" style="18" customWidth="1"/>
    <col min="3588" max="3588" width="10.21875" style="18" customWidth="1"/>
    <col min="3589" max="3589" width="9.88671875" style="18" customWidth="1"/>
    <col min="3590" max="3590" width="11.6640625" style="18" customWidth="1"/>
    <col min="3591" max="3593" width="9" style="18"/>
    <col min="3594" max="3594" width="9.33203125" style="18" customWidth="1"/>
    <col min="3595" max="3595" width="11.21875" style="18" customWidth="1"/>
    <col min="3596" max="3597" width="9" style="18"/>
    <col min="3598" max="3598" width="10.109375" style="18" customWidth="1"/>
    <col min="3599" max="3602" width="9" style="18"/>
    <col min="3603" max="3603" width="9.77734375" style="18" customWidth="1"/>
    <col min="3604" max="3604" width="9" style="18"/>
    <col min="3605" max="3605" width="9.109375" style="18" customWidth="1"/>
    <col min="3606" max="3606" width="9.44140625" style="18" customWidth="1"/>
    <col min="3607" max="3607" width="10.77734375" style="18" customWidth="1"/>
    <col min="3608" max="3608" width="10.21875" style="18" customWidth="1"/>
    <col min="3609" max="3840" width="9" style="18"/>
    <col min="3841" max="3841" width="4.6640625" style="18" customWidth="1"/>
    <col min="3842" max="3842" width="6.33203125" style="18" customWidth="1"/>
    <col min="3843" max="3843" width="7" style="18" customWidth="1"/>
    <col min="3844" max="3844" width="10.21875" style="18" customWidth="1"/>
    <col min="3845" max="3845" width="9.88671875" style="18" customWidth="1"/>
    <col min="3846" max="3846" width="11.6640625" style="18" customWidth="1"/>
    <col min="3847" max="3849" width="9" style="18"/>
    <col min="3850" max="3850" width="9.33203125" style="18" customWidth="1"/>
    <col min="3851" max="3851" width="11.21875" style="18" customWidth="1"/>
    <col min="3852" max="3853" width="9" style="18"/>
    <col min="3854" max="3854" width="10.109375" style="18" customWidth="1"/>
    <col min="3855" max="3858" width="9" style="18"/>
    <col min="3859" max="3859" width="9.77734375" style="18" customWidth="1"/>
    <col min="3860" max="3860" width="9" style="18"/>
    <col min="3861" max="3861" width="9.109375" style="18" customWidth="1"/>
    <col min="3862" max="3862" width="9.44140625" style="18" customWidth="1"/>
    <col min="3863" max="3863" width="10.77734375" style="18" customWidth="1"/>
    <col min="3864" max="3864" width="10.21875" style="18" customWidth="1"/>
    <col min="3865" max="4096" width="9" style="18"/>
    <col min="4097" max="4097" width="4.6640625" style="18" customWidth="1"/>
    <col min="4098" max="4098" width="6.33203125" style="18" customWidth="1"/>
    <col min="4099" max="4099" width="7" style="18" customWidth="1"/>
    <col min="4100" max="4100" width="10.21875" style="18" customWidth="1"/>
    <col min="4101" max="4101" width="9.88671875" style="18" customWidth="1"/>
    <col min="4102" max="4102" width="11.6640625" style="18" customWidth="1"/>
    <col min="4103" max="4105" width="9" style="18"/>
    <col min="4106" max="4106" width="9.33203125" style="18" customWidth="1"/>
    <col min="4107" max="4107" width="11.21875" style="18" customWidth="1"/>
    <col min="4108" max="4109" width="9" style="18"/>
    <col min="4110" max="4110" width="10.109375" style="18" customWidth="1"/>
    <col min="4111" max="4114" width="9" style="18"/>
    <col min="4115" max="4115" width="9.77734375" style="18" customWidth="1"/>
    <col min="4116" max="4116" width="9" style="18"/>
    <col min="4117" max="4117" width="9.109375" style="18" customWidth="1"/>
    <col min="4118" max="4118" width="9.44140625" style="18" customWidth="1"/>
    <col min="4119" max="4119" width="10.77734375" style="18" customWidth="1"/>
    <col min="4120" max="4120" width="10.21875" style="18" customWidth="1"/>
    <col min="4121" max="4352" width="9" style="18"/>
    <col min="4353" max="4353" width="4.6640625" style="18" customWidth="1"/>
    <col min="4354" max="4354" width="6.33203125" style="18" customWidth="1"/>
    <col min="4355" max="4355" width="7" style="18" customWidth="1"/>
    <col min="4356" max="4356" width="10.21875" style="18" customWidth="1"/>
    <col min="4357" max="4357" width="9.88671875" style="18" customWidth="1"/>
    <col min="4358" max="4358" width="11.6640625" style="18" customWidth="1"/>
    <col min="4359" max="4361" width="9" style="18"/>
    <col min="4362" max="4362" width="9.33203125" style="18" customWidth="1"/>
    <col min="4363" max="4363" width="11.21875" style="18" customWidth="1"/>
    <col min="4364" max="4365" width="9" style="18"/>
    <col min="4366" max="4366" width="10.109375" style="18" customWidth="1"/>
    <col min="4367" max="4370" width="9" style="18"/>
    <col min="4371" max="4371" width="9.77734375" style="18" customWidth="1"/>
    <col min="4372" max="4372" width="9" style="18"/>
    <col min="4373" max="4373" width="9.109375" style="18" customWidth="1"/>
    <col min="4374" max="4374" width="9.44140625" style="18" customWidth="1"/>
    <col min="4375" max="4375" width="10.77734375" style="18" customWidth="1"/>
    <col min="4376" max="4376" width="10.21875" style="18" customWidth="1"/>
    <col min="4377" max="4608" width="9" style="18"/>
    <col min="4609" max="4609" width="4.6640625" style="18" customWidth="1"/>
    <col min="4610" max="4610" width="6.33203125" style="18" customWidth="1"/>
    <col min="4611" max="4611" width="7" style="18" customWidth="1"/>
    <col min="4612" max="4612" width="10.21875" style="18" customWidth="1"/>
    <col min="4613" max="4613" width="9.88671875" style="18" customWidth="1"/>
    <col min="4614" max="4614" width="11.6640625" style="18" customWidth="1"/>
    <col min="4615" max="4617" width="9" style="18"/>
    <col min="4618" max="4618" width="9.33203125" style="18" customWidth="1"/>
    <col min="4619" max="4619" width="11.21875" style="18" customWidth="1"/>
    <col min="4620" max="4621" width="9" style="18"/>
    <col min="4622" max="4622" width="10.109375" style="18" customWidth="1"/>
    <col min="4623" max="4626" width="9" style="18"/>
    <col min="4627" max="4627" width="9.77734375" style="18" customWidth="1"/>
    <col min="4628" max="4628" width="9" style="18"/>
    <col min="4629" max="4629" width="9.109375" style="18" customWidth="1"/>
    <col min="4630" max="4630" width="9.44140625" style="18" customWidth="1"/>
    <col min="4631" max="4631" width="10.77734375" style="18" customWidth="1"/>
    <col min="4632" max="4632" width="10.21875" style="18" customWidth="1"/>
    <col min="4633" max="4864" width="9" style="18"/>
    <col min="4865" max="4865" width="4.6640625" style="18" customWidth="1"/>
    <col min="4866" max="4866" width="6.33203125" style="18" customWidth="1"/>
    <col min="4867" max="4867" width="7" style="18" customWidth="1"/>
    <col min="4868" max="4868" width="10.21875" style="18" customWidth="1"/>
    <col min="4869" max="4869" width="9.88671875" style="18" customWidth="1"/>
    <col min="4870" max="4870" width="11.6640625" style="18" customWidth="1"/>
    <col min="4871" max="4873" width="9" style="18"/>
    <col min="4874" max="4874" width="9.33203125" style="18" customWidth="1"/>
    <col min="4875" max="4875" width="11.21875" style="18" customWidth="1"/>
    <col min="4876" max="4877" width="9" style="18"/>
    <col min="4878" max="4878" width="10.109375" style="18" customWidth="1"/>
    <col min="4879" max="4882" width="9" style="18"/>
    <col min="4883" max="4883" width="9.77734375" style="18" customWidth="1"/>
    <col min="4884" max="4884" width="9" style="18"/>
    <col min="4885" max="4885" width="9.109375" style="18" customWidth="1"/>
    <col min="4886" max="4886" width="9.44140625" style="18" customWidth="1"/>
    <col min="4887" max="4887" width="10.77734375" style="18" customWidth="1"/>
    <col min="4888" max="4888" width="10.21875" style="18" customWidth="1"/>
    <col min="4889" max="5120" width="9" style="18"/>
    <col min="5121" max="5121" width="4.6640625" style="18" customWidth="1"/>
    <col min="5122" max="5122" width="6.33203125" style="18" customWidth="1"/>
    <col min="5123" max="5123" width="7" style="18" customWidth="1"/>
    <col min="5124" max="5124" width="10.21875" style="18" customWidth="1"/>
    <col min="5125" max="5125" width="9.88671875" style="18" customWidth="1"/>
    <col min="5126" max="5126" width="11.6640625" style="18" customWidth="1"/>
    <col min="5127" max="5129" width="9" style="18"/>
    <col min="5130" max="5130" width="9.33203125" style="18" customWidth="1"/>
    <col min="5131" max="5131" width="11.21875" style="18" customWidth="1"/>
    <col min="5132" max="5133" width="9" style="18"/>
    <col min="5134" max="5134" width="10.109375" style="18" customWidth="1"/>
    <col min="5135" max="5138" width="9" style="18"/>
    <col min="5139" max="5139" width="9.77734375" style="18" customWidth="1"/>
    <col min="5140" max="5140" width="9" style="18"/>
    <col min="5141" max="5141" width="9.109375" style="18" customWidth="1"/>
    <col min="5142" max="5142" width="9.44140625" style="18" customWidth="1"/>
    <col min="5143" max="5143" width="10.77734375" style="18" customWidth="1"/>
    <col min="5144" max="5144" width="10.21875" style="18" customWidth="1"/>
    <col min="5145" max="5376" width="9" style="18"/>
    <col min="5377" max="5377" width="4.6640625" style="18" customWidth="1"/>
    <col min="5378" max="5378" width="6.33203125" style="18" customWidth="1"/>
    <col min="5379" max="5379" width="7" style="18" customWidth="1"/>
    <col min="5380" max="5380" width="10.21875" style="18" customWidth="1"/>
    <col min="5381" max="5381" width="9.88671875" style="18" customWidth="1"/>
    <col min="5382" max="5382" width="11.6640625" style="18" customWidth="1"/>
    <col min="5383" max="5385" width="9" style="18"/>
    <col min="5386" max="5386" width="9.33203125" style="18" customWidth="1"/>
    <col min="5387" max="5387" width="11.21875" style="18" customWidth="1"/>
    <col min="5388" max="5389" width="9" style="18"/>
    <col min="5390" max="5390" width="10.109375" style="18" customWidth="1"/>
    <col min="5391" max="5394" width="9" style="18"/>
    <col min="5395" max="5395" width="9.77734375" style="18" customWidth="1"/>
    <col min="5396" max="5396" width="9" style="18"/>
    <col min="5397" max="5397" width="9.109375" style="18" customWidth="1"/>
    <col min="5398" max="5398" width="9.44140625" style="18" customWidth="1"/>
    <col min="5399" max="5399" width="10.77734375" style="18" customWidth="1"/>
    <col min="5400" max="5400" width="10.21875" style="18" customWidth="1"/>
    <col min="5401" max="5632" width="9" style="18"/>
    <col min="5633" max="5633" width="4.6640625" style="18" customWidth="1"/>
    <col min="5634" max="5634" width="6.33203125" style="18" customWidth="1"/>
    <col min="5635" max="5635" width="7" style="18" customWidth="1"/>
    <col min="5636" max="5636" width="10.21875" style="18" customWidth="1"/>
    <col min="5637" max="5637" width="9.88671875" style="18" customWidth="1"/>
    <col min="5638" max="5638" width="11.6640625" style="18" customWidth="1"/>
    <col min="5639" max="5641" width="9" style="18"/>
    <col min="5642" max="5642" width="9.33203125" style="18" customWidth="1"/>
    <col min="5643" max="5643" width="11.21875" style="18" customWidth="1"/>
    <col min="5644" max="5645" width="9" style="18"/>
    <col min="5646" max="5646" width="10.109375" style="18" customWidth="1"/>
    <col min="5647" max="5650" width="9" style="18"/>
    <col min="5651" max="5651" width="9.77734375" style="18" customWidth="1"/>
    <col min="5652" max="5652" width="9" style="18"/>
    <col min="5653" max="5653" width="9.109375" style="18" customWidth="1"/>
    <col min="5654" max="5654" width="9.44140625" style="18" customWidth="1"/>
    <col min="5655" max="5655" width="10.77734375" style="18" customWidth="1"/>
    <col min="5656" max="5656" width="10.21875" style="18" customWidth="1"/>
    <col min="5657" max="5888" width="9" style="18"/>
    <col min="5889" max="5889" width="4.6640625" style="18" customWidth="1"/>
    <col min="5890" max="5890" width="6.33203125" style="18" customWidth="1"/>
    <col min="5891" max="5891" width="7" style="18" customWidth="1"/>
    <col min="5892" max="5892" width="10.21875" style="18" customWidth="1"/>
    <col min="5893" max="5893" width="9.88671875" style="18" customWidth="1"/>
    <col min="5894" max="5894" width="11.6640625" style="18" customWidth="1"/>
    <col min="5895" max="5897" width="9" style="18"/>
    <col min="5898" max="5898" width="9.33203125" style="18" customWidth="1"/>
    <col min="5899" max="5899" width="11.21875" style="18" customWidth="1"/>
    <col min="5900" max="5901" width="9" style="18"/>
    <col min="5902" max="5902" width="10.109375" style="18" customWidth="1"/>
    <col min="5903" max="5906" width="9" style="18"/>
    <col min="5907" max="5907" width="9.77734375" style="18" customWidth="1"/>
    <col min="5908" max="5908" width="9" style="18"/>
    <col min="5909" max="5909" width="9.109375" style="18" customWidth="1"/>
    <col min="5910" max="5910" width="9.44140625" style="18" customWidth="1"/>
    <col min="5911" max="5911" width="10.77734375" style="18" customWidth="1"/>
    <col min="5912" max="5912" width="10.21875" style="18" customWidth="1"/>
    <col min="5913" max="6144" width="9" style="18"/>
    <col min="6145" max="6145" width="4.6640625" style="18" customWidth="1"/>
    <col min="6146" max="6146" width="6.33203125" style="18" customWidth="1"/>
    <col min="6147" max="6147" width="7" style="18" customWidth="1"/>
    <col min="6148" max="6148" width="10.21875" style="18" customWidth="1"/>
    <col min="6149" max="6149" width="9.88671875" style="18" customWidth="1"/>
    <col min="6150" max="6150" width="11.6640625" style="18" customWidth="1"/>
    <col min="6151" max="6153" width="9" style="18"/>
    <col min="6154" max="6154" width="9.33203125" style="18" customWidth="1"/>
    <col min="6155" max="6155" width="11.21875" style="18" customWidth="1"/>
    <col min="6156" max="6157" width="9" style="18"/>
    <col min="6158" max="6158" width="10.109375" style="18" customWidth="1"/>
    <col min="6159" max="6162" width="9" style="18"/>
    <col min="6163" max="6163" width="9.77734375" style="18" customWidth="1"/>
    <col min="6164" max="6164" width="9" style="18"/>
    <col min="6165" max="6165" width="9.109375" style="18" customWidth="1"/>
    <col min="6166" max="6166" width="9.44140625" style="18" customWidth="1"/>
    <col min="6167" max="6167" width="10.77734375" style="18" customWidth="1"/>
    <col min="6168" max="6168" width="10.21875" style="18" customWidth="1"/>
    <col min="6169" max="6400" width="9" style="18"/>
    <col min="6401" max="6401" width="4.6640625" style="18" customWidth="1"/>
    <col min="6402" max="6402" width="6.33203125" style="18" customWidth="1"/>
    <col min="6403" max="6403" width="7" style="18" customWidth="1"/>
    <col min="6404" max="6404" width="10.21875" style="18" customWidth="1"/>
    <col min="6405" max="6405" width="9.88671875" style="18" customWidth="1"/>
    <col min="6406" max="6406" width="11.6640625" style="18" customWidth="1"/>
    <col min="6407" max="6409" width="9" style="18"/>
    <col min="6410" max="6410" width="9.33203125" style="18" customWidth="1"/>
    <col min="6411" max="6411" width="11.21875" style="18" customWidth="1"/>
    <col min="6412" max="6413" width="9" style="18"/>
    <col min="6414" max="6414" width="10.109375" style="18" customWidth="1"/>
    <col min="6415" max="6418" width="9" style="18"/>
    <col min="6419" max="6419" width="9.77734375" style="18" customWidth="1"/>
    <col min="6420" max="6420" width="9" style="18"/>
    <col min="6421" max="6421" width="9.109375" style="18" customWidth="1"/>
    <col min="6422" max="6422" width="9.44140625" style="18" customWidth="1"/>
    <col min="6423" max="6423" width="10.77734375" style="18" customWidth="1"/>
    <col min="6424" max="6424" width="10.21875" style="18" customWidth="1"/>
    <col min="6425" max="6656" width="9" style="18"/>
    <col min="6657" max="6657" width="4.6640625" style="18" customWidth="1"/>
    <col min="6658" max="6658" width="6.33203125" style="18" customWidth="1"/>
    <col min="6659" max="6659" width="7" style="18" customWidth="1"/>
    <col min="6660" max="6660" width="10.21875" style="18" customWidth="1"/>
    <col min="6661" max="6661" width="9.88671875" style="18" customWidth="1"/>
    <col min="6662" max="6662" width="11.6640625" style="18" customWidth="1"/>
    <col min="6663" max="6665" width="9" style="18"/>
    <col min="6666" max="6666" width="9.33203125" style="18" customWidth="1"/>
    <col min="6667" max="6667" width="11.21875" style="18" customWidth="1"/>
    <col min="6668" max="6669" width="9" style="18"/>
    <col min="6670" max="6670" width="10.109375" style="18" customWidth="1"/>
    <col min="6671" max="6674" width="9" style="18"/>
    <col min="6675" max="6675" width="9.77734375" style="18" customWidth="1"/>
    <col min="6676" max="6676" width="9" style="18"/>
    <col min="6677" max="6677" width="9.109375" style="18" customWidth="1"/>
    <col min="6678" max="6678" width="9.44140625" style="18" customWidth="1"/>
    <col min="6679" max="6679" width="10.77734375" style="18" customWidth="1"/>
    <col min="6680" max="6680" width="10.21875" style="18" customWidth="1"/>
    <col min="6681" max="6912" width="9" style="18"/>
    <col min="6913" max="6913" width="4.6640625" style="18" customWidth="1"/>
    <col min="6914" max="6914" width="6.33203125" style="18" customWidth="1"/>
    <col min="6915" max="6915" width="7" style="18" customWidth="1"/>
    <col min="6916" max="6916" width="10.21875" style="18" customWidth="1"/>
    <col min="6917" max="6917" width="9.88671875" style="18" customWidth="1"/>
    <col min="6918" max="6918" width="11.6640625" style="18" customWidth="1"/>
    <col min="6919" max="6921" width="9" style="18"/>
    <col min="6922" max="6922" width="9.33203125" style="18" customWidth="1"/>
    <col min="6923" max="6923" width="11.21875" style="18" customWidth="1"/>
    <col min="6924" max="6925" width="9" style="18"/>
    <col min="6926" max="6926" width="10.109375" style="18" customWidth="1"/>
    <col min="6927" max="6930" width="9" style="18"/>
    <col min="6931" max="6931" width="9.77734375" style="18" customWidth="1"/>
    <col min="6932" max="6932" width="9" style="18"/>
    <col min="6933" max="6933" width="9.109375" style="18" customWidth="1"/>
    <col min="6934" max="6934" width="9.44140625" style="18" customWidth="1"/>
    <col min="6935" max="6935" width="10.77734375" style="18" customWidth="1"/>
    <col min="6936" max="6936" width="10.21875" style="18" customWidth="1"/>
    <col min="6937" max="7168" width="9" style="18"/>
    <col min="7169" max="7169" width="4.6640625" style="18" customWidth="1"/>
    <col min="7170" max="7170" width="6.33203125" style="18" customWidth="1"/>
    <col min="7171" max="7171" width="7" style="18" customWidth="1"/>
    <col min="7172" max="7172" width="10.21875" style="18" customWidth="1"/>
    <col min="7173" max="7173" width="9.88671875" style="18" customWidth="1"/>
    <col min="7174" max="7174" width="11.6640625" style="18" customWidth="1"/>
    <col min="7175" max="7177" width="9" style="18"/>
    <col min="7178" max="7178" width="9.33203125" style="18" customWidth="1"/>
    <col min="7179" max="7179" width="11.21875" style="18" customWidth="1"/>
    <col min="7180" max="7181" width="9" style="18"/>
    <col min="7182" max="7182" width="10.109375" style="18" customWidth="1"/>
    <col min="7183" max="7186" width="9" style="18"/>
    <col min="7187" max="7187" width="9.77734375" style="18" customWidth="1"/>
    <col min="7188" max="7188" width="9" style="18"/>
    <col min="7189" max="7189" width="9.109375" style="18" customWidth="1"/>
    <col min="7190" max="7190" width="9.44140625" style="18" customWidth="1"/>
    <col min="7191" max="7191" width="10.77734375" style="18" customWidth="1"/>
    <col min="7192" max="7192" width="10.21875" style="18" customWidth="1"/>
    <col min="7193" max="7424" width="9" style="18"/>
    <col min="7425" max="7425" width="4.6640625" style="18" customWidth="1"/>
    <col min="7426" max="7426" width="6.33203125" style="18" customWidth="1"/>
    <col min="7427" max="7427" width="7" style="18" customWidth="1"/>
    <col min="7428" max="7428" width="10.21875" style="18" customWidth="1"/>
    <col min="7429" max="7429" width="9.88671875" style="18" customWidth="1"/>
    <col min="7430" max="7430" width="11.6640625" style="18" customWidth="1"/>
    <col min="7431" max="7433" width="9" style="18"/>
    <col min="7434" max="7434" width="9.33203125" style="18" customWidth="1"/>
    <col min="7435" max="7435" width="11.21875" style="18" customWidth="1"/>
    <col min="7436" max="7437" width="9" style="18"/>
    <col min="7438" max="7438" width="10.109375" style="18" customWidth="1"/>
    <col min="7439" max="7442" width="9" style="18"/>
    <col min="7443" max="7443" width="9.77734375" style="18" customWidth="1"/>
    <col min="7444" max="7444" width="9" style="18"/>
    <col min="7445" max="7445" width="9.109375" style="18" customWidth="1"/>
    <col min="7446" max="7446" width="9.44140625" style="18" customWidth="1"/>
    <col min="7447" max="7447" width="10.77734375" style="18" customWidth="1"/>
    <col min="7448" max="7448" width="10.21875" style="18" customWidth="1"/>
    <col min="7449" max="7680" width="9" style="18"/>
    <col min="7681" max="7681" width="4.6640625" style="18" customWidth="1"/>
    <col min="7682" max="7682" width="6.33203125" style="18" customWidth="1"/>
    <col min="7683" max="7683" width="7" style="18" customWidth="1"/>
    <col min="7684" max="7684" width="10.21875" style="18" customWidth="1"/>
    <col min="7685" max="7685" width="9.88671875" style="18" customWidth="1"/>
    <col min="7686" max="7686" width="11.6640625" style="18" customWidth="1"/>
    <col min="7687" max="7689" width="9" style="18"/>
    <col min="7690" max="7690" width="9.33203125" style="18" customWidth="1"/>
    <col min="7691" max="7691" width="11.21875" style="18" customWidth="1"/>
    <col min="7692" max="7693" width="9" style="18"/>
    <col min="7694" max="7694" width="10.109375" style="18" customWidth="1"/>
    <col min="7695" max="7698" width="9" style="18"/>
    <col min="7699" max="7699" width="9.77734375" style="18" customWidth="1"/>
    <col min="7700" max="7700" width="9" style="18"/>
    <col min="7701" max="7701" width="9.109375" style="18" customWidth="1"/>
    <col min="7702" max="7702" width="9.44140625" style="18" customWidth="1"/>
    <col min="7703" max="7703" width="10.77734375" style="18" customWidth="1"/>
    <col min="7704" max="7704" width="10.21875" style="18" customWidth="1"/>
    <col min="7705" max="7936" width="9" style="18"/>
    <col min="7937" max="7937" width="4.6640625" style="18" customWidth="1"/>
    <col min="7938" max="7938" width="6.33203125" style="18" customWidth="1"/>
    <col min="7939" max="7939" width="7" style="18" customWidth="1"/>
    <col min="7940" max="7940" width="10.21875" style="18" customWidth="1"/>
    <col min="7941" max="7941" width="9.88671875" style="18" customWidth="1"/>
    <col min="7942" max="7942" width="11.6640625" style="18" customWidth="1"/>
    <col min="7943" max="7945" width="9" style="18"/>
    <col min="7946" max="7946" width="9.33203125" style="18" customWidth="1"/>
    <col min="7947" max="7947" width="11.21875" style="18" customWidth="1"/>
    <col min="7948" max="7949" width="9" style="18"/>
    <col min="7950" max="7950" width="10.109375" style="18" customWidth="1"/>
    <col min="7951" max="7954" width="9" style="18"/>
    <col min="7955" max="7955" width="9.77734375" style="18" customWidth="1"/>
    <col min="7956" max="7956" width="9" style="18"/>
    <col min="7957" max="7957" width="9.109375" style="18" customWidth="1"/>
    <col min="7958" max="7958" width="9.44140625" style="18" customWidth="1"/>
    <col min="7959" max="7959" width="10.77734375" style="18" customWidth="1"/>
    <col min="7960" max="7960" width="10.21875" style="18" customWidth="1"/>
    <col min="7961" max="8192" width="9" style="18"/>
    <col min="8193" max="8193" width="4.6640625" style="18" customWidth="1"/>
    <col min="8194" max="8194" width="6.33203125" style="18" customWidth="1"/>
    <col min="8195" max="8195" width="7" style="18" customWidth="1"/>
    <col min="8196" max="8196" width="10.21875" style="18" customWidth="1"/>
    <col min="8197" max="8197" width="9.88671875" style="18" customWidth="1"/>
    <col min="8198" max="8198" width="11.6640625" style="18" customWidth="1"/>
    <col min="8199" max="8201" width="9" style="18"/>
    <col min="8202" max="8202" width="9.33203125" style="18" customWidth="1"/>
    <col min="8203" max="8203" width="11.21875" style="18" customWidth="1"/>
    <col min="8204" max="8205" width="9" style="18"/>
    <col min="8206" max="8206" width="10.109375" style="18" customWidth="1"/>
    <col min="8207" max="8210" width="9" style="18"/>
    <col min="8211" max="8211" width="9.77734375" style="18" customWidth="1"/>
    <col min="8212" max="8212" width="9" style="18"/>
    <col min="8213" max="8213" width="9.109375" style="18" customWidth="1"/>
    <col min="8214" max="8214" width="9.44140625" style="18" customWidth="1"/>
    <col min="8215" max="8215" width="10.77734375" style="18" customWidth="1"/>
    <col min="8216" max="8216" width="10.21875" style="18" customWidth="1"/>
    <col min="8217" max="8448" width="9" style="18"/>
    <col min="8449" max="8449" width="4.6640625" style="18" customWidth="1"/>
    <col min="8450" max="8450" width="6.33203125" style="18" customWidth="1"/>
    <col min="8451" max="8451" width="7" style="18" customWidth="1"/>
    <col min="8452" max="8452" width="10.21875" style="18" customWidth="1"/>
    <col min="8453" max="8453" width="9.88671875" style="18" customWidth="1"/>
    <col min="8454" max="8454" width="11.6640625" style="18" customWidth="1"/>
    <col min="8455" max="8457" width="9" style="18"/>
    <col min="8458" max="8458" width="9.33203125" style="18" customWidth="1"/>
    <col min="8459" max="8459" width="11.21875" style="18" customWidth="1"/>
    <col min="8460" max="8461" width="9" style="18"/>
    <col min="8462" max="8462" width="10.109375" style="18" customWidth="1"/>
    <col min="8463" max="8466" width="9" style="18"/>
    <col min="8467" max="8467" width="9.77734375" style="18" customWidth="1"/>
    <col min="8468" max="8468" width="9" style="18"/>
    <col min="8469" max="8469" width="9.109375" style="18" customWidth="1"/>
    <col min="8470" max="8470" width="9.44140625" style="18" customWidth="1"/>
    <col min="8471" max="8471" width="10.77734375" style="18" customWidth="1"/>
    <col min="8472" max="8472" width="10.21875" style="18" customWidth="1"/>
    <col min="8473" max="8704" width="9" style="18"/>
    <col min="8705" max="8705" width="4.6640625" style="18" customWidth="1"/>
    <col min="8706" max="8706" width="6.33203125" style="18" customWidth="1"/>
    <col min="8707" max="8707" width="7" style="18" customWidth="1"/>
    <col min="8708" max="8708" width="10.21875" style="18" customWidth="1"/>
    <col min="8709" max="8709" width="9.88671875" style="18" customWidth="1"/>
    <col min="8710" max="8710" width="11.6640625" style="18" customWidth="1"/>
    <col min="8711" max="8713" width="9" style="18"/>
    <col min="8714" max="8714" width="9.33203125" style="18" customWidth="1"/>
    <col min="8715" max="8715" width="11.21875" style="18" customWidth="1"/>
    <col min="8716" max="8717" width="9" style="18"/>
    <col min="8718" max="8718" width="10.109375" style="18" customWidth="1"/>
    <col min="8719" max="8722" width="9" style="18"/>
    <col min="8723" max="8723" width="9.77734375" style="18" customWidth="1"/>
    <col min="8724" max="8724" width="9" style="18"/>
    <col min="8725" max="8725" width="9.109375" style="18" customWidth="1"/>
    <col min="8726" max="8726" width="9.44140625" style="18" customWidth="1"/>
    <col min="8727" max="8727" width="10.77734375" style="18" customWidth="1"/>
    <col min="8728" max="8728" width="10.21875" style="18" customWidth="1"/>
    <col min="8729" max="8960" width="9" style="18"/>
    <col min="8961" max="8961" width="4.6640625" style="18" customWidth="1"/>
    <col min="8962" max="8962" width="6.33203125" style="18" customWidth="1"/>
    <col min="8963" max="8963" width="7" style="18" customWidth="1"/>
    <col min="8964" max="8964" width="10.21875" style="18" customWidth="1"/>
    <col min="8965" max="8965" width="9.88671875" style="18" customWidth="1"/>
    <col min="8966" max="8966" width="11.6640625" style="18" customWidth="1"/>
    <col min="8967" max="8969" width="9" style="18"/>
    <col min="8970" max="8970" width="9.33203125" style="18" customWidth="1"/>
    <col min="8971" max="8971" width="11.21875" style="18" customWidth="1"/>
    <col min="8972" max="8973" width="9" style="18"/>
    <col min="8974" max="8974" width="10.109375" style="18" customWidth="1"/>
    <col min="8975" max="8978" width="9" style="18"/>
    <col min="8979" max="8979" width="9.77734375" style="18" customWidth="1"/>
    <col min="8980" max="8980" width="9" style="18"/>
    <col min="8981" max="8981" width="9.109375" style="18" customWidth="1"/>
    <col min="8982" max="8982" width="9.44140625" style="18" customWidth="1"/>
    <col min="8983" max="8983" width="10.77734375" style="18" customWidth="1"/>
    <col min="8984" max="8984" width="10.21875" style="18" customWidth="1"/>
    <col min="8985" max="9216" width="9" style="18"/>
    <col min="9217" max="9217" width="4.6640625" style="18" customWidth="1"/>
    <col min="9218" max="9218" width="6.33203125" style="18" customWidth="1"/>
    <col min="9219" max="9219" width="7" style="18" customWidth="1"/>
    <col min="9220" max="9220" width="10.21875" style="18" customWidth="1"/>
    <col min="9221" max="9221" width="9.88671875" style="18" customWidth="1"/>
    <col min="9222" max="9222" width="11.6640625" style="18" customWidth="1"/>
    <col min="9223" max="9225" width="9" style="18"/>
    <col min="9226" max="9226" width="9.33203125" style="18" customWidth="1"/>
    <col min="9227" max="9227" width="11.21875" style="18" customWidth="1"/>
    <col min="9228" max="9229" width="9" style="18"/>
    <col min="9230" max="9230" width="10.109375" style="18" customWidth="1"/>
    <col min="9231" max="9234" width="9" style="18"/>
    <col min="9235" max="9235" width="9.77734375" style="18" customWidth="1"/>
    <col min="9236" max="9236" width="9" style="18"/>
    <col min="9237" max="9237" width="9.109375" style="18" customWidth="1"/>
    <col min="9238" max="9238" width="9.44140625" style="18" customWidth="1"/>
    <col min="9239" max="9239" width="10.77734375" style="18" customWidth="1"/>
    <col min="9240" max="9240" width="10.21875" style="18" customWidth="1"/>
    <col min="9241" max="9472" width="9" style="18"/>
    <col min="9473" max="9473" width="4.6640625" style="18" customWidth="1"/>
    <col min="9474" max="9474" width="6.33203125" style="18" customWidth="1"/>
    <col min="9475" max="9475" width="7" style="18" customWidth="1"/>
    <col min="9476" max="9476" width="10.21875" style="18" customWidth="1"/>
    <col min="9477" max="9477" width="9.88671875" style="18" customWidth="1"/>
    <col min="9478" max="9478" width="11.6640625" style="18" customWidth="1"/>
    <col min="9479" max="9481" width="9" style="18"/>
    <col min="9482" max="9482" width="9.33203125" style="18" customWidth="1"/>
    <col min="9483" max="9483" width="11.21875" style="18" customWidth="1"/>
    <col min="9484" max="9485" width="9" style="18"/>
    <col min="9486" max="9486" width="10.109375" style="18" customWidth="1"/>
    <col min="9487" max="9490" width="9" style="18"/>
    <col min="9491" max="9491" width="9.77734375" style="18" customWidth="1"/>
    <col min="9492" max="9492" width="9" style="18"/>
    <col min="9493" max="9493" width="9.109375" style="18" customWidth="1"/>
    <col min="9494" max="9494" width="9.44140625" style="18" customWidth="1"/>
    <col min="9495" max="9495" width="10.77734375" style="18" customWidth="1"/>
    <col min="9496" max="9496" width="10.21875" style="18" customWidth="1"/>
    <col min="9497" max="9728" width="9" style="18"/>
    <col min="9729" max="9729" width="4.6640625" style="18" customWidth="1"/>
    <col min="9730" max="9730" width="6.33203125" style="18" customWidth="1"/>
    <col min="9731" max="9731" width="7" style="18" customWidth="1"/>
    <col min="9732" max="9732" width="10.21875" style="18" customWidth="1"/>
    <col min="9733" max="9733" width="9.88671875" style="18" customWidth="1"/>
    <col min="9734" max="9734" width="11.6640625" style="18" customWidth="1"/>
    <col min="9735" max="9737" width="9" style="18"/>
    <col min="9738" max="9738" width="9.33203125" style="18" customWidth="1"/>
    <col min="9739" max="9739" width="11.21875" style="18" customWidth="1"/>
    <col min="9740" max="9741" width="9" style="18"/>
    <col min="9742" max="9742" width="10.109375" style="18" customWidth="1"/>
    <col min="9743" max="9746" width="9" style="18"/>
    <col min="9747" max="9747" width="9.77734375" style="18" customWidth="1"/>
    <col min="9748" max="9748" width="9" style="18"/>
    <col min="9749" max="9749" width="9.109375" style="18" customWidth="1"/>
    <col min="9750" max="9750" width="9.44140625" style="18" customWidth="1"/>
    <col min="9751" max="9751" width="10.77734375" style="18" customWidth="1"/>
    <col min="9752" max="9752" width="10.21875" style="18" customWidth="1"/>
    <col min="9753" max="9984" width="9" style="18"/>
    <col min="9985" max="9985" width="4.6640625" style="18" customWidth="1"/>
    <col min="9986" max="9986" width="6.33203125" style="18" customWidth="1"/>
    <col min="9987" max="9987" width="7" style="18" customWidth="1"/>
    <col min="9988" max="9988" width="10.21875" style="18" customWidth="1"/>
    <col min="9989" max="9989" width="9.88671875" style="18" customWidth="1"/>
    <col min="9990" max="9990" width="11.6640625" style="18" customWidth="1"/>
    <col min="9991" max="9993" width="9" style="18"/>
    <col min="9994" max="9994" width="9.33203125" style="18" customWidth="1"/>
    <col min="9995" max="9995" width="11.21875" style="18" customWidth="1"/>
    <col min="9996" max="9997" width="9" style="18"/>
    <col min="9998" max="9998" width="10.109375" style="18" customWidth="1"/>
    <col min="9999" max="10002" width="9" style="18"/>
    <col min="10003" max="10003" width="9.77734375" style="18" customWidth="1"/>
    <col min="10004" max="10004" width="9" style="18"/>
    <col min="10005" max="10005" width="9.109375" style="18" customWidth="1"/>
    <col min="10006" max="10006" width="9.44140625" style="18" customWidth="1"/>
    <col min="10007" max="10007" width="10.77734375" style="18" customWidth="1"/>
    <col min="10008" max="10008" width="10.21875" style="18" customWidth="1"/>
    <col min="10009" max="10240" width="9" style="18"/>
    <col min="10241" max="10241" width="4.6640625" style="18" customWidth="1"/>
    <col min="10242" max="10242" width="6.33203125" style="18" customWidth="1"/>
    <col min="10243" max="10243" width="7" style="18" customWidth="1"/>
    <col min="10244" max="10244" width="10.21875" style="18" customWidth="1"/>
    <col min="10245" max="10245" width="9.88671875" style="18" customWidth="1"/>
    <col min="10246" max="10246" width="11.6640625" style="18" customWidth="1"/>
    <col min="10247" max="10249" width="9" style="18"/>
    <col min="10250" max="10250" width="9.33203125" style="18" customWidth="1"/>
    <col min="10251" max="10251" width="11.21875" style="18" customWidth="1"/>
    <col min="10252" max="10253" width="9" style="18"/>
    <col min="10254" max="10254" width="10.109375" style="18" customWidth="1"/>
    <col min="10255" max="10258" width="9" style="18"/>
    <col min="10259" max="10259" width="9.77734375" style="18" customWidth="1"/>
    <col min="10260" max="10260" width="9" style="18"/>
    <col min="10261" max="10261" width="9.109375" style="18" customWidth="1"/>
    <col min="10262" max="10262" width="9.44140625" style="18" customWidth="1"/>
    <col min="10263" max="10263" width="10.77734375" style="18" customWidth="1"/>
    <col min="10264" max="10264" width="10.21875" style="18" customWidth="1"/>
    <col min="10265" max="10496" width="9" style="18"/>
    <col min="10497" max="10497" width="4.6640625" style="18" customWidth="1"/>
    <col min="10498" max="10498" width="6.33203125" style="18" customWidth="1"/>
    <col min="10499" max="10499" width="7" style="18" customWidth="1"/>
    <col min="10500" max="10500" width="10.21875" style="18" customWidth="1"/>
    <col min="10501" max="10501" width="9.88671875" style="18" customWidth="1"/>
    <col min="10502" max="10502" width="11.6640625" style="18" customWidth="1"/>
    <col min="10503" max="10505" width="9" style="18"/>
    <col min="10506" max="10506" width="9.33203125" style="18" customWidth="1"/>
    <col min="10507" max="10507" width="11.21875" style="18" customWidth="1"/>
    <col min="10508" max="10509" width="9" style="18"/>
    <col min="10510" max="10510" width="10.109375" style="18" customWidth="1"/>
    <col min="10511" max="10514" width="9" style="18"/>
    <col min="10515" max="10515" width="9.77734375" style="18" customWidth="1"/>
    <col min="10516" max="10516" width="9" style="18"/>
    <col min="10517" max="10517" width="9.109375" style="18" customWidth="1"/>
    <col min="10518" max="10518" width="9.44140625" style="18" customWidth="1"/>
    <col min="10519" max="10519" width="10.77734375" style="18" customWidth="1"/>
    <col min="10520" max="10520" width="10.21875" style="18" customWidth="1"/>
    <col min="10521" max="10752" width="9" style="18"/>
    <col min="10753" max="10753" width="4.6640625" style="18" customWidth="1"/>
    <col min="10754" max="10754" width="6.33203125" style="18" customWidth="1"/>
    <col min="10755" max="10755" width="7" style="18" customWidth="1"/>
    <col min="10756" max="10756" width="10.21875" style="18" customWidth="1"/>
    <col min="10757" max="10757" width="9.88671875" style="18" customWidth="1"/>
    <col min="10758" max="10758" width="11.6640625" style="18" customWidth="1"/>
    <col min="10759" max="10761" width="9" style="18"/>
    <col min="10762" max="10762" width="9.33203125" style="18" customWidth="1"/>
    <col min="10763" max="10763" width="11.21875" style="18" customWidth="1"/>
    <col min="10764" max="10765" width="9" style="18"/>
    <col min="10766" max="10766" width="10.109375" style="18" customWidth="1"/>
    <col min="10767" max="10770" width="9" style="18"/>
    <col min="10771" max="10771" width="9.77734375" style="18" customWidth="1"/>
    <col min="10772" max="10772" width="9" style="18"/>
    <col min="10773" max="10773" width="9.109375" style="18" customWidth="1"/>
    <col min="10774" max="10774" width="9.44140625" style="18" customWidth="1"/>
    <col min="10775" max="10775" width="10.77734375" style="18" customWidth="1"/>
    <col min="10776" max="10776" width="10.21875" style="18" customWidth="1"/>
    <col min="10777" max="11008" width="9" style="18"/>
    <col min="11009" max="11009" width="4.6640625" style="18" customWidth="1"/>
    <col min="11010" max="11010" width="6.33203125" style="18" customWidth="1"/>
    <col min="11011" max="11011" width="7" style="18" customWidth="1"/>
    <col min="11012" max="11012" width="10.21875" style="18" customWidth="1"/>
    <col min="11013" max="11013" width="9.88671875" style="18" customWidth="1"/>
    <col min="11014" max="11014" width="11.6640625" style="18" customWidth="1"/>
    <col min="11015" max="11017" width="9" style="18"/>
    <col min="11018" max="11018" width="9.33203125" style="18" customWidth="1"/>
    <col min="11019" max="11019" width="11.21875" style="18" customWidth="1"/>
    <col min="11020" max="11021" width="9" style="18"/>
    <col min="11022" max="11022" width="10.109375" style="18" customWidth="1"/>
    <col min="11023" max="11026" width="9" style="18"/>
    <col min="11027" max="11027" width="9.77734375" style="18" customWidth="1"/>
    <col min="11028" max="11028" width="9" style="18"/>
    <col min="11029" max="11029" width="9.109375" style="18" customWidth="1"/>
    <col min="11030" max="11030" width="9.44140625" style="18" customWidth="1"/>
    <col min="11031" max="11031" width="10.77734375" style="18" customWidth="1"/>
    <col min="11032" max="11032" width="10.21875" style="18" customWidth="1"/>
    <col min="11033" max="11264" width="9" style="18"/>
    <col min="11265" max="11265" width="4.6640625" style="18" customWidth="1"/>
    <col min="11266" max="11266" width="6.33203125" style="18" customWidth="1"/>
    <col min="11267" max="11267" width="7" style="18" customWidth="1"/>
    <col min="11268" max="11268" width="10.21875" style="18" customWidth="1"/>
    <col min="11269" max="11269" width="9.88671875" style="18" customWidth="1"/>
    <col min="11270" max="11270" width="11.6640625" style="18" customWidth="1"/>
    <col min="11271" max="11273" width="9" style="18"/>
    <col min="11274" max="11274" width="9.33203125" style="18" customWidth="1"/>
    <col min="11275" max="11275" width="11.21875" style="18" customWidth="1"/>
    <col min="11276" max="11277" width="9" style="18"/>
    <col min="11278" max="11278" width="10.109375" style="18" customWidth="1"/>
    <col min="11279" max="11282" width="9" style="18"/>
    <col min="11283" max="11283" width="9.77734375" style="18" customWidth="1"/>
    <col min="11284" max="11284" width="9" style="18"/>
    <col min="11285" max="11285" width="9.109375" style="18" customWidth="1"/>
    <col min="11286" max="11286" width="9.44140625" style="18" customWidth="1"/>
    <col min="11287" max="11287" width="10.77734375" style="18" customWidth="1"/>
    <col min="11288" max="11288" width="10.21875" style="18" customWidth="1"/>
    <col min="11289" max="11520" width="9" style="18"/>
    <col min="11521" max="11521" width="4.6640625" style="18" customWidth="1"/>
    <col min="11522" max="11522" width="6.33203125" style="18" customWidth="1"/>
    <col min="11523" max="11523" width="7" style="18" customWidth="1"/>
    <col min="11524" max="11524" width="10.21875" style="18" customWidth="1"/>
    <col min="11525" max="11525" width="9.88671875" style="18" customWidth="1"/>
    <col min="11526" max="11526" width="11.6640625" style="18" customWidth="1"/>
    <col min="11527" max="11529" width="9" style="18"/>
    <col min="11530" max="11530" width="9.33203125" style="18" customWidth="1"/>
    <col min="11531" max="11531" width="11.21875" style="18" customWidth="1"/>
    <col min="11532" max="11533" width="9" style="18"/>
    <col min="11534" max="11534" width="10.109375" style="18" customWidth="1"/>
    <col min="11535" max="11538" width="9" style="18"/>
    <col min="11539" max="11539" width="9.77734375" style="18" customWidth="1"/>
    <col min="11540" max="11540" width="9" style="18"/>
    <col min="11541" max="11541" width="9.109375" style="18" customWidth="1"/>
    <col min="11542" max="11542" width="9.44140625" style="18" customWidth="1"/>
    <col min="11543" max="11543" width="10.77734375" style="18" customWidth="1"/>
    <col min="11544" max="11544" width="10.21875" style="18" customWidth="1"/>
    <col min="11545" max="11776" width="9" style="18"/>
    <col min="11777" max="11777" width="4.6640625" style="18" customWidth="1"/>
    <col min="11778" max="11778" width="6.33203125" style="18" customWidth="1"/>
    <col min="11779" max="11779" width="7" style="18" customWidth="1"/>
    <col min="11780" max="11780" width="10.21875" style="18" customWidth="1"/>
    <col min="11781" max="11781" width="9.88671875" style="18" customWidth="1"/>
    <col min="11782" max="11782" width="11.6640625" style="18" customWidth="1"/>
    <col min="11783" max="11785" width="9" style="18"/>
    <col min="11786" max="11786" width="9.33203125" style="18" customWidth="1"/>
    <col min="11787" max="11787" width="11.21875" style="18" customWidth="1"/>
    <col min="11788" max="11789" width="9" style="18"/>
    <col min="11790" max="11790" width="10.109375" style="18" customWidth="1"/>
    <col min="11791" max="11794" width="9" style="18"/>
    <col min="11795" max="11795" width="9.77734375" style="18" customWidth="1"/>
    <col min="11796" max="11796" width="9" style="18"/>
    <col min="11797" max="11797" width="9.109375" style="18" customWidth="1"/>
    <col min="11798" max="11798" width="9.44140625" style="18" customWidth="1"/>
    <col min="11799" max="11799" width="10.77734375" style="18" customWidth="1"/>
    <col min="11800" max="11800" width="10.21875" style="18" customWidth="1"/>
    <col min="11801" max="12032" width="9" style="18"/>
    <col min="12033" max="12033" width="4.6640625" style="18" customWidth="1"/>
    <col min="12034" max="12034" width="6.33203125" style="18" customWidth="1"/>
    <col min="12035" max="12035" width="7" style="18" customWidth="1"/>
    <col min="12036" max="12036" width="10.21875" style="18" customWidth="1"/>
    <col min="12037" max="12037" width="9.88671875" style="18" customWidth="1"/>
    <col min="12038" max="12038" width="11.6640625" style="18" customWidth="1"/>
    <col min="12039" max="12041" width="9" style="18"/>
    <col min="12042" max="12042" width="9.33203125" style="18" customWidth="1"/>
    <col min="12043" max="12043" width="11.21875" style="18" customWidth="1"/>
    <col min="12044" max="12045" width="9" style="18"/>
    <col min="12046" max="12046" width="10.109375" style="18" customWidth="1"/>
    <col min="12047" max="12050" width="9" style="18"/>
    <col min="12051" max="12051" width="9.77734375" style="18" customWidth="1"/>
    <col min="12052" max="12052" width="9" style="18"/>
    <col min="12053" max="12053" width="9.109375" style="18" customWidth="1"/>
    <col min="12054" max="12054" width="9.44140625" style="18" customWidth="1"/>
    <col min="12055" max="12055" width="10.77734375" style="18" customWidth="1"/>
    <col min="12056" max="12056" width="10.21875" style="18" customWidth="1"/>
    <col min="12057" max="12288" width="9" style="18"/>
    <col min="12289" max="12289" width="4.6640625" style="18" customWidth="1"/>
    <col min="12290" max="12290" width="6.33203125" style="18" customWidth="1"/>
    <col min="12291" max="12291" width="7" style="18" customWidth="1"/>
    <col min="12292" max="12292" width="10.21875" style="18" customWidth="1"/>
    <col min="12293" max="12293" width="9.88671875" style="18" customWidth="1"/>
    <col min="12294" max="12294" width="11.6640625" style="18" customWidth="1"/>
    <col min="12295" max="12297" width="9" style="18"/>
    <col min="12298" max="12298" width="9.33203125" style="18" customWidth="1"/>
    <col min="12299" max="12299" width="11.21875" style="18" customWidth="1"/>
    <col min="12300" max="12301" width="9" style="18"/>
    <col min="12302" max="12302" width="10.109375" style="18" customWidth="1"/>
    <col min="12303" max="12306" width="9" style="18"/>
    <col min="12307" max="12307" width="9.77734375" style="18" customWidth="1"/>
    <col min="12308" max="12308" width="9" style="18"/>
    <col min="12309" max="12309" width="9.109375" style="18" customWidth="1"/>
    <col min="12310" max="12310" width="9.44140625" style="18" customWidth="1"/>
    <col min="12311" max="12311" width="10.77734375" style="18" customWidth="1"/>
    <col min="12312" max="12312" width="10.21875" style="18" customWidth="1"/>
    <col min="12313" max="12544" width="9" style="18"/>
    <col min="12545" max="12545" width="4.6640625" style="18" customWidth="1"/>
    <col min="12546" max="12546" width="6.33203125" style="18" customWidth="1"/>
    <col min="12547" max="12547" width="7" style="18" customWidth="1"/>
    <col min="12548" max="12548" width="10.21875" style="18" customWidth="1"/>
    <col min="12549" max="12549" width="9.88671875" style="18" customWidth="1"/>
    <col min="12550" max="12550" width="11.6640625" style="18" customWidth="1"/>
    <col min="12551" max="12553" width="9" style="18"/>
    <col min="12554" max="12554" width="9.33203125" style="18" customWidth="1"/>
    <col min="12555" max="12555" width="11.21875" style="18" customWidth="1"/>
    <col min="12556" max="12557" width="9" style="18"/>
    <col min="12558" max="12558" width="10.109375" style="18" customWidth="1"/>
    <col min="12559" max="12562" width="9" style="18"/>
    <col min="12563" max="12563" width="9.77734375" style="18" customWidth="1"/>
    <col min="12564" max="12564" width="9" style="18"/>
    <col min="12565" max="12565" width="9.109375" style="18" customWidth="1"/>
    <col min="12566" max="12566" width="9.44140625" style="18" customWidth="1"/>
    <col min="12567" max="12567" width="10.77734375" style="18" customWidth="1"/>
    <col min="12568" max="12568" width="10.21875" style="18" customWidth="1"/>
    <col min="12569" max="12800" width="9" style="18"/>
    <col min="12801" max="12801" width="4.6640625" style="18" customWidth="1"/>
    <col min="12802" max="12802" width="6.33203125" style="18" customWidth="1"/>
    <col min="12803" max="12803" width="7" style="18" customWidth="1"/>
    <col min="12804" max="12804" width="10.21875" style="18" customWidth="1"/>
    <col min="12805" max="12805" width="9.88671875" style="18" customWidth="1"/>
    <col min="12806" max="12806" width="11.6640625" style="18" customWidth="1"/>
    <col min="12807" max="12809" width="9" style="18"/>
    <col min="12810" max="12810" width="9.33203125" style="18" customWidth="1"/>
    <col min="12811" max="12811" width="11.21875" style="18" customWidth="1"/>
    <col min="12812" max="12813" width="9" style="18"/>
    <col min="12814" max="12814" width="10.109375" style="18" customWidth="1"/>
    <col min="12815" max="12818" width="9" style="18"/>
    <col min="12819" max="12819" width="9.77734375" style="18" customWidth="1"/>
    <col min="12820" max="12820" width="9" style="18"/>
    <col min="12821" max="12821" width="9.109375" style="18" customWidth="1"/>
    <col min="12822" max="12822" width="9.44140625" style="18" customWidth="1"/>
    <col min="12823" max="12823" width="10.77734375" style="18" customWidth="1"/>
    <col min="12824" max="12824" width="10.21875" style="18" customWidth="1"/>
    <col min="12825" max="13056" width="9" style="18"/>
    <col min="13057" max="13057" width="4.6640625" style="18" customWidth="1"/>
    <col min="13058" max="13058" width="6.33203125" style="18" customWidth="1"/>
    <col min="13059" max="13059" width="7" style="18" customWidth="1"/>
    <col min="13060" max="13060" width="10.21875" style="18" customWidth="1"/>
    <col min="13061" max="13061" width="9.88671875" style="18" customWidth="1"/>
    <col min="13062" max="13062" width="11.6640625" style="18" customWidth="1"/>
    <col min="13063" max="13065" width="9" style="18"/>
    <col min="13066" max="13066" width="9.33203125" style="18" customWidth="1"/>
    <col min="13067" max="13067" width="11.21875" style="18" customWidth="1"/>
    <col min="13068" max="13069" width="9" style="18"/>
    <col min="13070" max="13070" width="10.109375" style="18" customWidth="1"/>
    <col min="13071" max="13074" width="9" style="18"/>
    <col min="13075" max="13075" width="9.77734375" style="18" customWidth="1"/>
    <col min="13076" max="13076" width="9" style="18"/>
    <col min="13077" max="13077" width="9.109375" style="18" customWidth="1"/>
    <col min="13078" max="13078" width="9.44140625" style="18" customWidth="1"/>
    <col min="13079" max="13079" width="10.77734375" style="18" customWidth="1"/>
    <col min="13080" max="13080" width="10.21875" style="18" customWidth="1"/>
    <col min="13081" max="13312" width="9" style="18"/>
    <col min="13313" max="13313" width="4.6640625" style="18" customWidth="1"/>
    <col min="13314" max="13314" width="6.33203125" style="18" customWidth="1"/>
    <col min="13315" max="13315" width="7" style="18" customWidth="1"/>
    <col min="13316" max="13316" width="10.21875" style="18" customWidth="1"/>
    <col min="13317" max="13317" width="9.88671875" style="18" customWidth="1"/>
    <col min="13318" max="13318" width="11.6640625" style="18" customWidth="1"/>
    <col min="13319" max="13321" width="9" style="18"/>
    <col min="13322" max="13322" width="9.33203125" style="18" customWidth="1"/>
    <col min="13323" max="13323" width="11.21875" style="18" customWidth="1"/>
    <col min="13324" max="13325" width="9" style="18"/>
    <col min="13326" max="13326" width="10.109375" style="18" customWidth="1"/>
    <col min="13327" max="13330" width="9" style="18"/>
    <col min="13331" max="13331" width="9.77734375" style="18" customWidth="1"/>
    <col min="13332" max="13332" width="9" style="18"/>
    <col min="13333" max="13333" width="9.109375" style="18" customWidth="1"/>
    <col min="13334" max="13334" width="9.44140625" style="18" customWidth="1"/>
    <col min="13335" max="13335" width="10.77734375" style="18" customWidth="1"/>
    <col min="13336" max="13336" width="10.21875" style="18" customWidth="1"/>
    <col min="13337" max="13568" width="9" style="18"/>
    <col min="13569" max="13569" width="4.6640625" style="18" customWidth="1"/>
    <col min="13570" max="13570" width="6.33203125" style="18" customWidth="1"/>
    <col min="13571" max="13571" width="7" style="18" customWidth="1"/>
    <col min="13572" max="13572" width="10.21875" style="18" customWidth="1"/>
    <col min="13573" max="13573" width="9.88671875" style="18" customWidth="1"/>
    <col min="13574" max="13574" width="11.6640625" style="18" customWidth="1"/>
    <col min="13575" max="13577" width="9" style="18"/>
    <col min="13578" max="13578" width="9.33203125" style="18" customWidth="1"/>
    <col min="13579" max="13579" width="11.21875" style="18" customWidth="1"/>
    <col min="13580" max="13581" width="9" style="18"/>
    <col min="13582" max="13582" width="10.109375" style="18" customWidth="1"/>
    <col min="13583" max="13586" width="9" style="18"/>
    <col min="13587" max="13587" width="9.77734375" style="18" customWidth="1"/>
    <col min="13588" max="13588" width="9" style="18"/>
    <col min="13589" max="13589" width="9.109375" style="18" customWidth="1"/>
    <col min="13590" max="13590" width="9.44140625" style="18" customWidth="1"/>
    <col min="13591" max="13591" width="10.77734375" style="18" customWidth="1"/>
    <col min="13592" max="13592" width="10.21875" style="18" customWidth="1"/>
    <col min="13593" max="13824" width="9" style="18"/>
    <col min="13825" max="13825" width="4.6640625" style="18" customWidth="1"/>
    <col min="13826" max="13826" width="6.33203125" style="18" customWidth="1"/>
    <col min="13827" max="13827" width="7" style="18" customWidth="1"/>
    <col min="13828" max="13828" width="10.21875" style="18" customWidth="1"/>
    <col min="13829" max="13829" width="9.88671875" style="18" customWidth="1"/>
    <col min="13830" max="13830" width="11.6640625" style="18" customWidth="1"/>
    <col min="13831" max="13833" width="9" style="18"/>
    <col min="13834" max="13834" width="9.33203125" style="18" customWidth="1"/>
    <col min="13835" max="13835" width="11.21875" style="18" customWidth="1"/>
    <col min="13836" max="13837" width="9" style="18"/>
    <col min="13838" max="13838" width="10.109375" style="18" customWidth="1"/>
    <col min="13839" max="13842" width="9" style="18"/>
    <col min="13843" max="13843" width="9.77734375" style="18" customWidth="1"/>
    <col min="13844" max="13844" width="9" style="18"/>
    <col min="13845" max="13845" width="9.109375" style="18" customWidth="1"/>
    <col min="13846" max="13846" width="9.44140625" style="18" customWidth="1"/>
    <col min="13847" max="13847" width="10.77734375" style="18" customWidth="1"/>
    <col min="13848" max="13848" width="10.21875" style="18" customWidth="1"/>
    <col min="13849" max="14080" width="9" style="18"/>
    <col min="14081" max="14081" width="4.6640625" style="18" customWidth="1"/>
    <col min="14082" max="14082" width="6.33203125" style="18" customWidth="1"/>
    <col min="14083" max="14083" width="7" style="18" customWidth="1"/>
    <col min="14084" max="14084" width="10.21875" style="18" customWidth="1"/>
    <col min="14085" max="14085" width="9.88671875" style="18" customWidth="1"/>
    <col min="14086" max="14086" width="11.6640625" style="18" customWidth="1"/>
    <col min="14087" max="14089" width="9" style="18"/>
    <col min="14090" max="14090" width="9.33203125" style="18" customWidth="1"/>
    <col min="14091" max="14091" width="11.21875" style="18" customWidth="1"/>
    <col min="14092" max="14093" width="9" style="18"/>
    <col min="14094" max="14094" width="10.109375" style="18" customWidth="1"/>
    <col min="14095" max="14098" width="9" style="18"/>
    <col min="14099" max="14099" width="9.77734375" style="18" customWidth="1"/>
    <col min="14100" max="14100" width="9" style="18"/>
    <col min="14101" max="14101" width="9.109375" style="18" customWidth="1"/>
    <col min="14102" max="14102" width="9.44140625" style="18" customWidth="1"/>
    <col min="14103" max="14103" width="10.77734375" style="18" customWidth="1"/>
    <col min="14104" max="14104" width="10.21875" style="18" customWidth="1"/>
    <col min="14105" max="14336" width="9" style="18"/>
    <col min="14337" max="14337" width="4.6640625" style="18" customWidth="1"/>
    <col min="14338" max="14338" width="6.33203125" style="18" customWidth="1"/>
    <col min="14339" max="14339" width="7" style="18" customWidth="1"/>
    <col min="14340" max="14340" width="10.21875" style="18" customWidth="1"/>
    <col min="14341" max="14341" width="9.88671875" style="18" customWidth="1"/>
    <col min="14342" max="14342" width="11.6640625" style="18" customWidth="1"/>
    <col min="14343" max="14345" width="9" style="18"/>
    <col min="14346" max="14346" width="9.33203125" style="18" customWidth="1"/>
    <col min="14347" max="14347" width="11.21875" style="18" customWidth="1"/>
    <col min="14348" max="14349" width="9" style="18"/>
    <col min="14350" max="14350" width="10.109375" style="18" customWidth="1"/>
    <col min="14351" max="14354" width="9" style="18"/>
    <col min="14355" max="14355" width="9.77734375" style="18" customWidth="1"/>
    <col min="14356" max="14356" width="9" style="18"/>
    <col min="14357" max="14357" width="9.109375" style="18" customWidth="1"/>
    <col min="14358" max="14358" width="9.44140625" style="18" customWidth="1"/>
    <col min="14359" max="14359" width="10.77734375" style="18" customWidth="1"/>
    <col min="14360" max="14360" width="10.21875" style="18" customWidth="1"/>
    <col min="14361" max="14592" width="9" style="18"/>
    <col min="14593" max="14593" width="4.6640625" style="18" customWidth="1"/>
    <col min="14594" max="14594" width="6.33203125" style="18" customWidth="1"/>
    <col min="14595" max="14595" width="7" style="18" customWidth="1"/>
    <col min="14596" max="14596" width="10.21875" style="18" customWidth="1"/>
    <col min="14597" max="14597" width="9.88671875" style="18" customWidth="1"/>
    <col min="14598" max="14598" width="11.6640625" style="18" customWidth="1"/>
    <col min="14599" max="14601" width="9" style="18"/>
    <col min="14602" max="14602" width="9.33203125" style="18" customWidth="1"/>
    <col min="14603" max="14603" width="11.21875" style="18" customWidth="1"/>
    <col min="14604" max="14605" width="9" style="18"/>
    <col min="14606" max="14606" width="10.109375" style="18" customWidth="1"/>
    <col min="14607" max="14610" width="9" style="18"/>
    <col min="14611" max="14611" width="9.77734375" style="18" customWidth="1"/>
    <col min="14612" max="14612" width="9" style="18"/>
    <col min="14613" max="14613" width="9.109375" style="18" customWidth="1"/>
    <col min="14614" max="14614" width="9.44140625" style="18" customWidth="1"/>
    <col min="14615" max="14615" width="10.77734375" style="18" customWidth="1"/>
    <col min="14616" max="14616" width="10.21875" style="18" customWidth="1"/>
    <col min="14617" max="14848" width="9" style="18"/>
    <col min="14849" max="14849" width="4.6640625" style="18" customWidth="1"/>
    <col min="14850" max="14850" width="6.33203125" style="18" customWidth="1"/>
    <col min="14851" max="14851" width="7" style="18" customWidth="1"/>
    <col min="14852" max="14852" width="10.21875" style="18" customWidth="1"/>
    <col min="14853" max="14853" width="9.88671875" style="18" customWidth="1"/>
    <col min="14854" max="14854" width="11.6640625" style="18" customWidth="1"/>
    <col min="14855" max="14857" width="9" style="18"/>
    <col min="14858" max="14858" width="9.33203125" style="18" customWidth="1"/>
    <col min="14859" max="14859" width="11.21875" style="18" customWidth="1"/>
    <col min="14860" max="14861" width="9" style="18"/>
    <col min="14862" max="14862" width="10.109375" style="18" customWidth="1"/>
    <col min="14863" max="14866" width="9" style="18"/>
    <col min="14867" max="14867" width="9.77734375" style="18" customWidth="1"/>
    <col min="14868" max="14868" width="9" style="18"/>
    <col min="14869" max="14869" width="9.109375" style="18" customWidth="1"/>
    <col min="14870" max="14870" width="9.44140625" style="18" customWidth="1"/>
    <col min="14871" max="14871" width="10.77734375" style="18" customWidth="1"/>
    <col min="14872" max="14872" width="10.21875" style="18" customWidth="1"/>
    <col min="14873" max="15104" width="9" style="18"/>
    <col min="15105" max="15105" width="4.6640625" style="18" customWidth="1"/>
    <col min="15106" max="15106" width="6.33203125" style="18" customWidth="1"/>
    <col min="15107" max="15107" width="7" style="18" customWidth="1"/>
    <col min="15108" max="15108" width="10.21875" style="18" customWidth="1"/>
    <col min="15109" max="15109" width="9.88671875" style="18" customWidth="1"/>
    <col min="15110" max="15110" width="11.6640625" style="18" customWidth="1"/>
    <col min="15111" max="15113" width="9" style="18"/>
    <col min="15114" max="15114" width="9.33203125" style="18" customWidth="1"/>
    <col min="15115" max="15115" width="11.21875" style="18" customWidth="1"/>
    <col min="15116" max="15117" width="9" style="18"/>
    <col min="15118" max="15118" width="10.109375" style="18" customWidth="1"/>
    <col min="15119" max="15122" width="9" style="18"/>
    <col min="15123" max="15123" width="9.77734375" style="18" customWidth="1"/>
    <col min="15124" max="15124" width="9" style="18"/>
    <col min="15125" max="15125" width="9.109375" style="18" customWidth="1"/>
    <col min="15126" max="15126" width="9.44140625" style="18" customWidth="1"/>
    <col min="15127" max="15127" width="10.77734375" style="18" customWidth="1"/>
    <col min="15128" max="15128" width="10.21875" style="18" customWidth="1"/>
    <col min="15129" max="15360" width="9" style="18"/>
    <col min="15361" max="15361" width="4.6640625" style="18" customWidth="1"/>
    <col min="15362" max="15362" width="6.33203125" style="18" customWidth="1"/>
    <col min="15363" max="15363" width="7" style="18" customWidth="1"/>
    <col min="15364" max="15364" width="10.21875" style="18" customWidth="1"/>
    <col min="15365" max="15365" width="9.88671875" style="18" customWidth="1"/>
    <col min="15366" max="15366" width="11.6640625" style="18" customWidth="1"/>
    <col min="15367" max="15369" width="9" style="18"/>
    <col min="15370" max="15370" width="9.33203125" style="18" customWidth="1"/>
    <col min="15371" max="15371" width="11.21875" style="18" customWidth="1"/>
    <col min="15372" max="15373" width="9" style="18"/>
    <col min="15374" max="15374" width="10.109375" style="18" customWidth="1"/>
    <col min="15375" max="15378" width="9" style="18"/>
    <col min="15379" max="15379" width="9.77734375" style="18" customWidth="1"/>
    <col min="15380" max="15380" width="9" style="18"/>
    <col min="15381" max="15381" width="9.109375" style="18" customWidth="1"/>
    <col min="15382" max="15382" width="9.44140625" style="18" customWidth="1"/>
    <col min="15383" max="15383" width="10.77734375" style="18" customWidth="1"/>
    <col min="15384" max="15384" width="10.21875" style="18" customWidth="1"/>
    <col min="15385" max="15616" width="9" style="18"/>
    <col min="15617" max="15617" width="4.6640625" style="18" customWidth="1"/>
    <col min="15618" max="15618" width="6.33203125" style="18" customWidth="1"/>
    <col min="15619" max="15619" width="7" style="18" customWidth="1"/>
    <col min="15620" max="15620" width="10.21875" style="18" customWidth="1"/>
    <col min="15621" max="15621" width="9.88671875" style="18" customWidth="1"/>
    <col min="15622" max="15622" width="11.6640625" style="18" customWidth="1"/>
    <col min="15623" max="15625" width="9" style="18"/>
    <col min="15626" max="15626" width="9.33203125" style="18" customWidth="1"/>
    <col min="15627" max="15627" width="11.21875" style="18" customWidth="1"/>
    <col min="15628" max="15629" width="9" style="18"/>
    <col min="15630" max="15630" width="10.109375" style="18" customWidth="1"/>
    <col min="15631" max="15634" width="9" style="18"/>
    <col min="15635" max="15635" width="9.77734375" style="18" customWidth="1"/>
    <col min="15636" max="15636" width="9" style="18"/>
    <col min="15637" max="15637" width="9.109375" style="18" customWidth="1"/>
    <col min="15638" max="15638" width="9.44140625" style="18" customWidth="1"/>
    <col min="15639" max="15639" width="10.77734375" style="18" customWidth="1"/>
    <col min="15640" max="15640" width="10.21875" style="18" customWidth="1"/>
    <col min="15641" max="15872" width="9" style="18"/>
    <col min="15873" max="15873" width="4.6640625" style="18" customWidth="1"/>
    <col min="15874" max="15874" width="6.33203125" style="18" customWidth="1"/>
    <col min="15875" max="15875" width="7" style="18" customWidth="1"/>
    <col min="15876" max="15876" width="10.21875" style="18" customWidth="1"/>
    <col min="15877" max="15877" width="9.88671875" style="18" customWidth="1"/>
    <col min="15878" max="15878" width="11.6640625" style="18" customWidth="1"/>
    <col min="15879" max="15881" width="9" style="18"/>
    <col min="15882" max="15882" width="9.33203125" style="18" customWidth="1"/>
    <col min="15883" max="15883" width="11.21875" style="18" customWidth="1"/>
    <col min="15884" max="15885" width="9" style="18"/>
    <col min="15886" max="15886" width="10.109375" style="18" customWidth="1"/>
    <col min="15887" max="15890" width="9" style="18"/>
    <col min="15891" max="15891" width="9.77734375" style="18" customWidth="1"/>
    <col min="15892" max="15892" width="9" style="18"/>
    <col min="15893" max="15893" width="9.109375" style="18" customWidth="1"/>
    <col min="15894" max="15894" width="9.44140625" style="18" customWidth="1"/>
    <col min="15895" max="15895" width="10.77734375" style="18" customWidth="1"/>
    <col min="15896" max="15896" width="10.21875" style="18" customWidth="1"/>
    <col min="15897" max="16128" width="9" style="18"/>
    <col min="16129" max="16129" width="4.6640625" style="18" customWidth="1"/>
    <col min="16130" max="16130" width="6.33203125" style="18" customWidth="1"/>
    <col min="16131" max="16131" width="7" style="18" customWidth="1"/>
    <col min="16132" max="16132" width="10.21875" style="18" customWidth="1"/>
    <col min="16133" max="16133" width="9.88671875" style="18" customWidth="1"/>
    <col min="16134" max="16134" width="11.6640625" style="18" customWidth="1"/>
    <col min="16135" max="16137" width="9" style="18"/>
    <col min="16138" max="16138" width="9.33203125" style="18" customWidth="1"/>
    <col min="16139" max="16139" width="11.21875" style="18" customWidth="1"/>
    <col min="16140" max="16141" width="9" style="18"/>
    <col min="16142" max="16142" width="10.109375" style="18" customWidth="1"/>
    <col min="16143" max="16146" width="9" style="18"/>
    <col min="16147" max="16147" width="9.77734375" style="18" customWidth="1"/>
    <col min="16148" max="16148" width="9" style="18"/>
    <col min="16149" max="16149" width="9.109375" style="18" customWidth="1"/>
    <col min="16150" max="16150" width="9.44140625" style="18" customWidth="1"/>
    <col min="16151" max="16151" width="10.77734375" style="18" customWidth="1"/>
    <col min="16152" max="16152" width="10.21875" style="18" customWidth="1"/>
    <col min="16153" max="16384" width="9" style="18"/>
  </cols>
  <sheetData>
    <row r="2" spans="2:46" ht="14.25" customHeight="1">
      <c r="B2" s="696" t="s">
        <v>714</v>
      </c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Q2" s="33">
        <f>(L17+M21)/(L7+M7)*100</f>
        <v>97.308219069760071</v>
      </c>
    </row>
    <row r="3" spans="2:46"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  <c r="N3" s="696"/>
      <c r="Q3" s="33">
        <f>(L18+M22)/(L8+M8)*100</f>
        <v>96.725985057824175</v>
      </c>
    </row>
    <row r="4" spans="2:46">
      <c r="B4" s="19"/>
      <c r="C4" s="693"/>
      <c r="D4" s="693"/>
      <c r="E4" s="694"/>
      <c r="F4" s="694"/>
      <c r="H4" s="694"/>
      <c r="I4" s="694"/>
      <c r="J4" s="694"/>
      <c r="K4" s="25"/>
      <c r="L4" s="675">
        <f>基础数据!A2</f>
        <v>45836</v>
      </c>
      <c r="M4" s="675"/>
      <c r="N4" s="26"/>
      <c r="Q4" s="33">
        <f>(L19+M23)/(L9+M9)*100</f>
        <v>97.922147110926488</v>
      </c>
    </row>
    <row r="5" spans="2:46" ht="20.100000000000001" customHeight="1">
      <c r="B5" s="679" t="s">
        <v>42</v>
      </c>
      <c r="C5" s="679" t="s">
        <v>43</v>
      </c>
      <c r="D5" s="679" t="s">
        <v>44</v>
      </c>
      <c r="E5" s="679" t="s">
        <v>45</v>
      </c>
      <c r="F5" s="680" t="s">
        <v>50</v>
      </c>
      <c r="G5" s="680" t="s">
        <v>162</v>
      </c>
      <c r="H5" s="680"/>
      <c r="I5" s="680"/>
      <c r="J5" s="680"/>
      <c r="K5" s="680" t="s">
        <v>47</v>
      </c>
      <c r="L5" s="680"/>
      <c r="M5" s="680"/>
      <c r="N5" s="680"/>
      <c r="O5" s="834" t="s">
        <v>0</v>
      </c>
      <c r="P5" s="834" t="s">
        <v>0</v>
      </c>
      <c r="Q5" s="33">
        <f>(L20+M24)/(L10+M10)*100</f>
        <v>97.312632147323754</v>
      </c>
    </row>
    <row r="6" spans="2:46" ht="20.100000000000001" customHeight="1">
      <c r="B6" s="679"/>
      <c r="C6" s="679"/>
      <c r="D6" s="679"/>
      <c r="E6" s="679"/>
      <c r="F6" s="680"/>
      <c r="G6" s="20" t="s">
        <v>62</v>
      </c>
      <c r="H6" s="20" t="s">
        <v>6</v>
      </c>
      <c r="I6" s="20" t="s">
        <v>7</v>
      </c>
      <c r="J6" s="20" t="s">
        <v>51</v>
      </c>
      <c r="K6" s="20" t="s">
        <v>52</v>
      </c>
      <c r="L6" s="20" t="s">
        <v>53</v>
      </c>
      <c r="M6" s="20" t="s">
        <v>54</v>
      </c>
      <c r="N6" s="20" t="s">
        <v>55</v>
      </c>
      <c r="O6" s="834"/>
      <c r="P6" s="834"/>
    </row>
    <row r="7" spans="2:46" ht="20.100000000000001" customHeight="1">
      <c r="B7" s="679" t="s">
        <v>10</v>
      </c>
      <c r="C7" s="21" t="s">
        <v>715</v>
      </c>
      <c r="D7" s="23">
        <f>IF(ISERROR(('1系统周表'!D7*'1系统周表'!F7+'2系统周表'!D7*'2系统周表'!F7)/磨浮作业区周表!F7),"0.00",('1系统周表'!D7*'1系统周表'!F7+'2系统周表'!D7*'2系统周表'!F7)/磨浮作业区周表!F7)</f>
        <v>45.6</v>
      </c>
      <c r="E7" s="23">
        <f>'1系统周表'!E7+'2系统周表'!E7</f>
        <v>9</v>
      </c>
      <c r="F7" s="23">
        <f>'1系统周表'!F7+'2系统周表'!F7</f>
        <v>752.39671399999997</v>
      </c>
      <c r="G7" s="23"/>
      <c r="H7" s="23">
        <f>IF(ISERROR(L7/F7*100),"0.00",L7/F7*100)</f>
        <v>10.500000000000002</v>
      </c>
      <c r="I7" s="23">
        <f>IF(ISERROR(M7/F7*100),"0.00",M7/F7*100)</f>
        <v>0</v>
      </c>
      <c r="J7" s="27">
        <f>IF(ISERROR(N7/F7*1000),"0.00",N7/F7*1000)</f>
        <v>570</v>
      </c>
      <c r="K7" s="28"/>
      <c r="L7" s="28">
        <f>'1系统周表'!J7+'2系统周表'!J7</f>
        <v>79.001654970000004</v>
      </c>
      <c r="M7" s="28">
        <f>'1系统周表'!K7+'2系统周表'!K7</f>
        <v>0</v>
      </c>
      <c r="N7" s="32">
        <f>'1系统周表'!L7+'2系统周表'!L7</f>
        <v>428.86612697999999</v>
      </c>
      <c r="P7" s="33">
        <f>D7</f>
        <v>45.6</v>
      </c>
      <c r="Q7" s="33">
        <f>F7/E7</f>
        <v>83.599634888888886</v>
      </c>
      <c r="R7" s="33">
        <f t="shared" ref="R7:U10" si="0">G7</f>
        <v>0</v>
      </c>
      <c r="S7" s="33">
        <f t="shared" si="0"/>
        <v>10.500000000000002</v>
      </c>
      <c r="T7" s="33">
        <f t="shared" si="0"/>
        <v>0</v>
      </c>
      <c r="U7" s="33">
        <f t="shared" si="0"/>
        <v>570</v>
      </c>
      <c r="V7" s="33">
        <f t="shared" ref="V7:Y10" si="1">G13</f>
        <v>0</v>
      </c>
      <c r="W7" s="33">
        <f t="shared" si="1"/>
        <v>0</v>
      </c>
      <c r="X7" s="33">
        <f t="shared" si="1"/>
        <v>0</v>
      </c>
      <c r="Y7" s="33">
        <f t="shared" si="1"/>
        <v>0</v>
      </c>
      <c r="Z7" s="33">
        <f t="shared" ref="Z7:AC10" si="2">G17</f>
        <v>0</v>
      </c>
      <c r="AA7" s="33">
        <f t="shared" si="2"/>
        <v>60.559999999999988</v>
      </c>
      <c r="AB7" s="33">
        <f t="shared" si="2"/>
        <v>0</v>
      </c>
      <c r="AC7" s="33">
        <f t="shared" si="2"/>
        <v>3299.0000000000032</v>
      </c>
      <c r="AD7" s="33">
        <f t="shared" ref="AD7:AG10" si="3">G21</f>
        <v>0</v>
      </c>
      <c r="AE7" s="33" t="str">
        <f t="shared" si="3"/>
        <v>0.00</v>
      </c>
      <c r="AF7" s="33" t="str">
        <f t="shared" si="3"/>
        <v>0.00</v>
      </c>
      <c r="AG7" s="33" t="str">
        <f t="shared" si="3"/>
        <v>0.00</v>
      </c>
      <c r="AH7" s="33">
        <f t="shared" ref="AH7:AK10" si="4">G25</f>
        <v>0</v>
      </c>
      <c r="AI7" s="33">
        <f t="shared" si="4"/>
        <v>0.34000000000000108</v>
      </c>
      <c r="AJ7" s="33">
        <f t="shared" si="4"/>
        <v>0</v>
      </c>
      <c r="AK7" s="33">
        <f t="shared" si="4"/>
        <v>16.131841789852135</v>
      </c>
      <c r="AL7" s="33">
        <f>D13</f>
        <v>0</v>
      </c>
      <c r="AM7" s="33">
        <f>D17</f>
        <v>97.308219069760071</v>
      </c>
      <c r="AN7" s="33" t="str">
        <f>D21</f>
        <v>0.00</v>
      </c>
      <c r="AO7" s="33">
        <f>E25</f>
        <v>97.647339870766359</v>
      </c>
      <c r="AR7" s="835" t="s">
        <v>716</v>
      </c>
      <c r="AS7" s="35" t="s">
        <v>717</v>
      </c>
      <c r="AT7" s="35">
        <f>H10</f>
        <v>8.8647432114339626</v>
      </c>
    </row>
    <row r="8" spans="2:46" ht="20.100000000000001" customHeight="1">
      <c r="B8" s="679"/>
      <c r="C8" s="21" t="s">
        <v>718</v>
      </c>
      <c r="D8" s="23">
        <f>IF(ISERROR(('1系统周表'!D8*'1系统周表'!F8+'2系统周表'!D8*'2系统周表'!F8)/磨浮作业区周表!F8),"0.00",('1系统周表'!D8*'1系统周表'!F8+'2系统周表'!D8*'2系统周表'!F8)/磨浮作业区周表!F8)</f>
        <v>0</v>
      </c>
      <c r="E8" s="23">
        <f>'1系统周表'!E8+'2系统周表'!E8</f>
        <v>8</v>
      </c>
      <c r="F8" s="23">
        <f>'1系统周表'!F8+'2系统周表'!F8</f>
        <v>124.16</v>
      </c>
      <c r="G8" s="23"/>
      <c r="H8" s="23">
        <f>IF(ISERROR(L8/F8*100),"0.00",L8/F8*100)</f>
        <v>3.75</v>
      </c>
      <c r="I8" s="23">
        <f>IF(ISERROR(M8/F8*100),"0.00",M8/F8*100)</f>
        <v>0</v>
      </c>
      <c r="J8" s="27">
        <f>IF(ISERROR(N8/F8*1000),"0.00",N8/F8*1000)</f>
        <v>160.99999999999997</v>
      </c>
      <c r="K8" s="28"/>
      <c r="L8" s="28">
        <f>'1系统周表'!J8+'2系统周表'!J8</f>
        <v>4.6559999999999997</v>
      </c>
      <c r="M8" s="28">
        <f>'1系统周表'!K8+'2系统周表'!K8</f>
        <v>0</v>
      </c>
      <c r="N8" s="32">
        <f>'1系统周表'!L8+'2系统周表'!L8</f>
        <v>19.989759999999997</v>
      </c>
      <c r="P8" s="33">
        <f>D8</f>
        <v>0</v>
      </c>
      <c r="Q8" s="33">
        <f>F8/E8</f>
        <v>15.52</v>
      </c>
      <c r="R8" s="33">
        <f t="shared" si="0"/>
        <v>0</v>
      </c>
      <c r="S8" s="33">
        <f t="shared" si="0"/>
        <v>3.75</v>
      </c>
      <c r="T8" s="33">
        <f t="shared" si="0"/>
        <v>0</v>
      </c>
      <c r="U8" s="33">
        <f t="shared" si="0"/>
        <v>160.99999999999997</v>
      </c>
      <c r="V8" s="33">
        <f t="shared" si="1"/>
        <v>0</v>
      </c>
      <c r="W8" s="33">
        <f t="shared" si="1"/>
        <v>0</v>
      </c>
      <c r="X8" s="33">
        <f t="shared" si="1"/>
        <v>0</v>
      </c>
      <c r="Y8" s="33">
        <f t="shared" si="1"/>
        <v>0</v>
      </c>
      <c r="Z8" s="33">
        <f t="shared" si="2"/>
        <v>0</v>
      </c>
      <c r="AA8" s="33">
        <f t="shared" si="2"/>
        <v>65.27</v>
      </c>
      <c r="AB8" s="33">
        <f t="shared" si="2"/>
        <v>0</v>
      </c>
      <c r="AC8" s="33">
        <f t="shared" si="2"/>
        <v>3352</v>
      </c>
      <c r="AD8" s="33">
        <f t="shared" si="3"/>
        <v>0</v>
      </c>
      <c r="AE8" s="33" t="str">
        <f t="shared" si="3"/>
        <v>0.00</v>
      </c>
      <c r="AF8" s="33" t="str">
        <f t="shared" si="3"/>
        <v>0.00</v>
      </c>
      <c r="AG8" s="33" t="str">
        <f t="shared" si="3"/>
        <v>0.00</v>
      </c>
      <c r="AH8" s="33">
        <f t="shared" si="4"/>
        <v>0</v>
      </c>
      <c r="AI8" s="33">
        <f t="shared" si="4"/>
        <v>0.13</v>
      </c>
      <c r="AJ8" s="33">
        <f t="shared" si="4"/>
        <v>0</v>
      </c>
      <c r="AK8" s="33">
        <f t="shared" si="4"/>
        <v>-26.766905071521474</v>
      </c>
      <c r="AL8" s="33">
        <f>D14</f>
        <v>0</v>
      </c>
      <c r="AM8" s="33">
        <f>D18</f>
        <v>96.725985057824175</v>
      </c>
      <c r="AN8" s="33" t="str">
        <f>D22</f>
        <v>0.00</v>
      </c>
      <c r="AO8" s="33">
        <f>E26</f>
        <v>115.70148957715539</v>
      </c>
      <c r="AR8" s="835"/>
      <c r="AS8" s="35" t="s">
        <v>719</v>
      </c>
      <c r="AT8" s="35">
        <f>I10</f>
        <v>0</v>
      </c>
    </row>
    <row r="9" spans="2:46" ht="20.100000000000001" customHeight="1">
      <c r="B9" s="679"/>
      <c r="C9" s="21" t="s">
        <v>720</v>
      </c>
      <c r="D9" s="23">
        <f>IF(ISERROR(('1系统周表'!D9*'1系统周表'!F9+'2系统周表'!D9*'2系统周表'!F9)/磨浮作业区周表!F9),"0.00",('1系统周表'!D9*'1系统周表'!F9+'2系统周表'!D9*'2系统周表'!F9)/磨浮作业区周表!F9)</f>
        <v>0</v>
      </c>
      <c r="E9" s="23">
        <f>'1系统周表'!E9+'2系统周表'!E9</f>
        <v>8</v>
      </c>
      <c r="F9" s="23">
        <f>'1系统周表'!F9+'2系统周表'!F9</f>
        <v>124.16</v>
      </c>
      <c r="G9" s="23"/>
      <c r="H9" s="23">
        <f>IF(ISERROR(L9/F9*100),"0.00",L9/F9*100)</f>
        <v>4.07</v>
      </c>
      <c r="I9" s="23">
        <f>IF(ISERROR(M9/F9*100),"0.00",M9/F9*100)</f>
        <v>0</v>
      </c>
      <c r="J9" s="27">
        <f>IF(ISERROR(N9/F9*1000),"0.00",N9/F9*1000)</f>
        <v>230</v>
      </c>
      <c r="K9" s="28"/>
      <c r="L9" s="28">
        <f>'1系统周表'!J9+'2系统周表'!J9</f>
        <v>5.053312</v>
      </c>
      <c r="M9" s="28">
        <f>'1系统周表'!K9+'2系统周表'!K9</f>
        <v>0</v>
      </c>
      <c r="N9" s="32">
        <f>'1系统周表'!L9+'2系统周表'!L9</f>
        <v>28.556799999999999</v>
      </c>
      <c r="P9" s="33">
        <f>D9</f>
        <v>0</v>
      </c>
      <c r="Q9" s="33">
        <f>F9/E9</f>
        <v>15.52</v>
      </c>
      <c r="R9" s="33">
        <f t="shared" si="0"/>
        <v>0</v>
      </c>
      <c r="S9" s="33">
        <f t="shared" si="0"/>
        <v>4.07</v>
      </c>
      <c r="T9" s="33">
        <f t="shared" si="0"/>
        <v>0</v>
      </c>
      <c r="U9" s="33">
        <f t="shared" si="0"/>
        <v>230</v>
      </c>
      <c r="V9" s="33">
        <f t="shared" si="1"/>
        <v>0</v>
      </c>
      <c r="W9" s="33">
        <f t="shared" si="1"/>
        <v>0</v>
      </c>
      <c r="X9" s="33">
        <f t="shared" si="1"/>
        <v>0</v>
      </c>
      <c r="Y9" s="33">
        <f t="shared" si="1"/>
        <v>0</v>
      </c>
      <c r="Z9" s="33">
        <f t="shared" si="2"/>
        <v>0</v>
      </c>
      <c r="AA9" s="33">
        <f t="shared" si="2"/>
        <v>66.039999999999992</v>
      </c>
      <c r="AB9" s="33">
        <f t="shared" si="2"/>
        <v>0</v>
      </c>
      <c r="AC9" s="33">
        <f t="shared" si="2"/>
        <v>3380.0000000000005</v>
      </c>
      <c r="AD9" s="33">
        <f t="shared" si="3"/>
        <v>0</v>
      </c>
      <c r="AE9" s="33" t="str">
        <f t="shared" si="3"/>
        <v>0.00</v>
      </c>
      <c r="AF9" s="33" t="str">
        <f t="shared" si="3"/>
        <v>0.00</v>
      </c>
      <c r="AG9" s="33" t="str">
        <f t="shared" si="3"/>
        <v>0.00</v>
      </c>
      <c r="AH9" s="33">
        <f t="shared" si="4"/>
        <v>0</v>
      </c>
      <c r="AI9" s="33">
        <f t="shared" si="4"/>
        <v>8.9999999999999802E-2</v>
      </c>
      <c r="AJ9" s="33">
        <f t="shared" si="4"/>
        <v>0</v>
      </c>
      <c r="AK9" s="33">
        <f t="shared" si="4"/>
        <v>27.692431821849247</v>
      </c>
      <c r="AL9" s="33">
        <f>D15</f>
        <v>0</v>
      </c>
      <c r="AM9" s="33">
        <f>D19</f>
        <v>97.922147110926488</v>
      </c>
      <c r="AN9" s="33" t="str">
        <f>D23</f>
        <v>0.00</v>
      </c>
      <c r="AO9" s="33">
        <f>E27</f>
        <v>88.686422520354697</v>
      </c>
      <c r="AR9" s="835"/>
      <c r="AS9" s="35" t="s">
        <v>721</v>
      </c>
      <c r="AT9" s="35">
        <f>J10</f>
        <v>477.07076368467654</v>
      </c>
    </row>
    <row r="10" spans="2:46" ht="20.100000000000001" customHeight="1">
      <c r="B10" s="679"/>
      <c r="C10" s="20" t="s">
        <v>99</v>
      </c>
      <c r="D10" s="23">
        <f>IF(ISERROR((D7*F7+D8*F8+D9*F9)/F10),"0.00",(D7*F7+D8*F8+D9*F9)/F10)</f>
        <v>34.284717821151531</v>
      </c>
      <c r="E10" s="23">
        <f>E7+E8+E9</f>
        <v>25</v>
      </c>
      <c r="F10" s="23">
        <f>F7+F8+F9</f>
        <v>1000.7167139999999</v>
      </c>
      <c r="G10" s="23"/>
      <c r="H10" s="23">
        <f>IF(ISERROR(L10/F10*100),"0.00",L10/F10*100)</f>
        <v>8.8647432114339626</v>
      </c>
      <c r="I10" s="23">
        <f>IF(ISERROR(M10/F10*100),"0.00",M10/F10*100)</f>
        <v>0</v>
      </c>
      <c r="J10" s="27">
        <f>IF(ISERROR(N10/F10*1000),"0.00",N10/F10*1000)</f>
        <v>477.07076368467654</v>
      </c>
      <c r="K10" s="28"/>
      <c r="L10" s="28">
        <f>L7+L8+L9</f>
        <v>88.710966970000015</v>
      </c>
      <c r="M10" s="28">
        <f>M7+M8+M9</f>
        <v>0</v>
      </c>
      <c r="N10" s="32">
        <f>N7+N8+N9</f>
        <v>477.41268697999999</v>
      </c>
      <c r="P10" s="33">
        <f>D10</f>
        <v>34.284717821151531</v>
      </c>
      <c r="Q10" s="33">
        <f>F10/E10</f>
        <v>40.02866856</v>
      </c>
      <c r="R10" s="33">
        <f t="shared" si="0"/>
        <v>0</v>
      </c>
      <c r="S10" s="33">
        <f t="shared" si="0"/>
        <v>8.8647432114339626</v>
      </c>
      <c r="T10" s="33">
        <f t="shared" si="0"/>
        <v>0</v>
      </c>
      <c r="U10" s="33">
        <f t="shared" si="0"/>
        <v>477.07076368467654</v>
      </c>
      <c r="V10" s="33">
        <f t="shared" si="1"/>
        <v>0</v>
      </c>
      <c r="W10" s="33">
        <f t="shared" si="1"/>
        <v>0</v>
      </c>
      <c r="X10" s="33">
        <f t="shared" si="1"/>
        <v>0</v>
      </c>
      <c r="Y10" s="33">
        <f t="shared" si="1"/>
        <v>0</v>
      </c>
      <c r="Z10" s="33">
        <f t="shared" si="2"/>
        <v>0</v>
      </c>
      <c r="AA10" s="33">
        <f t="shared" si="2"/>
        <v>61.080469418054626</v>
      </c>
      <c r="AB10" s="33">
        <f t="shared" si="2"/>
        <v>0</v>
      </c>
      <c r="AC10" s="33">
        <f t="shared" si="2"/>
        <v>3305.8817480915609</v>
      </c>
      <c r="AD10" s="33">
        <f t="shared" si="3"/>
        <v>0</v>
      </c>
      <c r="AE10" s="33" t="str">
        <f t="shared" si="3"/>
        <v>0.00</v>
      </c>
      <c r="AF10" s="33" t="str">
        <f t="shared" si="3"/>
        <v>0.00</v>
      </c>
      <c r="AG10" s="33" t="str">
        <f t="shared" si="3"/>
        <v>0.00</v>
      </c>
      <c r="AH10" s="33">
        <f t="shared" si="4"/>
        <v>0</v>
      </c>
      <c r="AI10" s="33">
        <f t="shared" si="4"/>
        <v>0.2774069954118597</v>
      </c>
      <c r="AJ10" s="33">
        <f t="shared" si="4"/>
        <v>0</v>
      </c>
      <c r="AK10" s="33">
        <f t="shared" si="4"/>
        <v>11.847874347589096</v>
      </c>
      <c r="AL10" s="33">
        <f>D16</f>
        <v>0</v>
      </c>
      <c r="AM10" s="33">
        <f>D20</f>
        <v>97.312632147323754</v>
      </c>
      <c r="AN10" s="33" t="str">
        <f>D24</f>
        <v>0.00</v>
      </c>
      <c r="AO10" s="33">
        <f>E28</f>
        <v>97.867281648406944</v>
      </c>
      <c r="AR10" s="835"/>
      <c r="AS10" s="35" t="s">
        <v>336</v>
      </c>
      <c r="AT10" s="35">
        <f>D20</f>
        <v>97.312632147323754</v>
      </c>
    </row>
    <row r="11" spans="2:46" ht="20.100000000000001" customHeight="1">
      <c r="B11" s="679" t="s">
        <v>42</v>
      </c>
      <c r="C11" s="679" t="s">
        <v>43</v>
      </c>
      <c r="D11" s="680" t="s">
        <v>59</v>
      </c>
      <c r="E11" s="680"/>
      <c r="F11" s="680" t="s">
        <v>50</v>
      </c>
      <c r="G11" s="680" t="s">
        <v>58</v>
      </c>
      <c r="H11" s="680"/>
      <c r="I11" s="680"/>
      <c r="J11" s="680"/>
      <c r="K11" s="680" t="s">
        <v>47</v>
      </c>
      <c r="L11" s="680"/>
      <c r="M11" s="680"/>
      <c r="N11" s="680"/>
      <c r="AR11" s="835"/>
      <c r="AS11" s="35" t="s">
        <v>337</v>
      </c>
      <c r="AT11" s="35" t="str">
        <f>D24</f>
        <v>0.00</v>
      </c>
    </row>
    <row r="12" spans="2:46" ht="20.100000000000001" customHeight="1">
      <c r="B12" s="679"/>
      <c r="C12" s="679"/>
      <c r="D12" s="20" t="s">
        <v>63</v>
      </c>
      <c r="E12" s="20" t="s">
        <v>14</v>
      </c>
      <c r="F12" s="680"/>
      <c r="G12" s="20" t="s">
        <v>62</v>
      </c>
      <c r="H12" s="20" t="s">
        <v>6</v>
      </c>
      <c r="I12" s="20" t="s">
        <v>7</v>
      </c>
      <c r="J12" s="20" t="s">
        <v>51</v>
      </c>
      <c r="K12" s="20" t="s">
        <v>52</v>
      </c>
      <c r="L12" s="20" t="s">
        <v>53</v>
      </c>
      <c r="M12" s="20" t="s">
        <v>54</v>
      </c>
      <c r="N12" s="20" t="s">
        <v>55</v>
      </c>
      <c r="AR12" s="835"/>
      <c r="AS12" s="35" t="s">
        <v>230</v>
      </c>
      <c r="AT12" s="35">
        <f>E20</f>
        <v>97.867281648406944</v>
      </c>
    </row>
    <row r="13" spans="2:46" ht="20.100000000000001" customHeight="1">
      <c r="B13" s="679" t="s">
        <v>722</v>
      </c>
      <c r="C13" s="21" t="s">
        <v>715</v>
      </c>
      <c r="D13" s="23"/>
      <c r="E13" s="23"/>
      <c r="F13" s="23"/>
      <c r="G13" s="23"/>
      <c r="H13" s="23"/>
      <c r="I13" s="23"/>
      <c r="J13" s="27"/>
      <c r="K13" s="28"/>
      <c r="L13" s="28"/>
      <c r="M13" s="28"/>
      <c r="N13" s="32"/>
      <c r="P13" s="33" t="e">
        <f t="shared" ref="P13:S16" si="5">K13/K7*100</f>
        <v>#DIV/0!</v>
      </c>
      <c r="Q13" s="33">
        <f t="shared" si="5"/>
        <v>0</v>
      </c>
      <c r="R13" s="33" t="e">
        <f t="shared" si="5"/>
        <v>#DIV/0!</v>
      </c>
      <c r="S13" s="33">
        <f t="shared" si="5"/>
        <v>0</v>
      </c>
      <c r="U13" s="33">
        <f>Q17</f>
        <v>97.308219069760071</v>
      </c>
      <c r="V13" s="33">
        <f>Q21</f>
        <v>0</v>
      </c>
      <c r="W13" s="33">
        <f>Q13</f>
        <v>0</v>
      </c>
      <c r="X13" s="33">
        <f>Q25</f>
        <v>2.691780930239922</v>
      </c>
      <c r="Y13" s="33">
        <f>U13+V13+W13+X13</f>
        <v>100</v>
      </c>
      <c r="Z13" s="33" t="e">
        <f t="shared" ref="Z13:AC16" si="6">U17</f>
        <v>#DIV/0!</v>
      </c>
      <c r="AA13" s="33" t="e">
        <f t="shared" si="6"/>
        <v>#DIV/0!</v>
      </c>
      <c r="AB13" s="33" t="e">
        <f t="shared" si="6"/>
        <v>#DIV/0!</v>
      </c>
      <c r="AC13" s="33" t="e">
        <f t="shared" si="6"/>
        <v>#DIV/0!</v>
      </c>
      <c r="AD13" s="33" t="e">
        <f>Z13+AA13+AB13+AC13</f>
        <v>#DIV/0!</v>
      </c>
      <c r="AE13" s="33" t="e">
        <f t="shared" ref="AE13:AH16" si="7">U21</f>
        <v>#DIV/0!</v>
      </c>
      <c r="AF13" s="33" t="e">
        <f t="shared" si="7"/>
        <v>#DIV/0!</v>
      </c>
      <c r="AG13" s="33" t="e">
        <f t="shared" si="7"/>
        <v>#DIV/0!</v>
      </c>
      <c r="AH13" s="33" t="e">
        <f t="shared" si="7"/>
        <v>#DIV/0!</v>
      </c>
      <c r="AI13" s="33" t="e">
        <f>AE13+AF13+AG13+AH13</f>
        <v>#DIV/0!</v>
      </c>
      <c r="AJ13" s="33">
        <f t="shared" ref="AJ13:AM16" si="8">U25</f>
        <v>97.647339870766359</v>
      </c>
      <c r="AK13" s="33">
        <f t="shared" si="8"/>
        <v>0</v>
      </c>
      <c r="AL13" s="33">
        <f t="shared" si="8"/>
        <v>0</v>
      </c>
      <c r="AM13" s="33">
        <f t="shared" si="8"/>
        <v>2.352660129233739</v>
      </c>
      <c r="AN13" s="33">
        <f>AM13+AL13+AK13+AJ13</f>
        <v>100.0000000000001</v>
      </c>
      <c r="AR13" s="835"/>
      <c r="AS13" s="35" t="s">
        <v>723</v>
      </c>
      <c r="AT13" s="35">
        <f>H20</f>
        <v>61.080469418054626</v>
      </c>
    </row>
    <row r="14" spans="2:46" ht="20.100000000000001" customHeight="1">
      <c r="B14" s="743"/>
      <c r="C14" s="21" t="s">
        <v>718</v>
      </c>
      <c r="D14" s="23"/>
      <c r="E14" s="23"/>
      <c r="F14" s="23"/>
      <c r="G14" s="23"/>
      <c r="H14" s="23"/>
      <c r="I14" s="23"/>
      <c r="J14" s="27"/>
      <c r="K14" s="28"/>
      <c r="L14" s="28"/>
      <c r="M14" s="28"/>
      <c r="N14" s="32"/>
      <c r="P14" s="33" t="e">
        <f t="shared" si="5"/>
        <v>#DIV/0!</v>
      </c>
      <c r="Q14" s="33">
        <f t="shared" si="5"/>
        <v>0</v>
      </c>
      <c r="R14" s="33" t="e">
        <f t="shared" si="5"/>
        <v>#DIV/0!</v>
      </c>
      <c r="S14" s="33">
        <f t="shared" si="5"/>
        <v>0</v>
      </c>
      <c r="U14" s="33">
        <f>Q18</f>
        <v>96.725985057824175</v>
      </c>
      <c r="V14" s="33">
        <f>Q22</f>
        <v>0</v>
      </c>
      <c r="W14" s="33">
        <f>Q14</f>
        <v>0</v>
      </c>
      <c r="X14" s="33">
        <f>Q26</f>
        <v>3.2740149421758264</v>
      </c>
      <c r="Y14" s="33">
        <f>U14+V14+W14+X14</f>
        <v>100</v>
      </c>
      <c r="Z14" s="33" t="e">
        <f t="shared" si="6"/>
        <v>#DIV/0!</v>
      </c>
      <c r="AA14" s="33" t="e">
        <f t="shared" si="6"/>
        <v>#DIV/0!</v>
      </c>
      <c r="AB14" s="33" t="e">
        <f t="shared" si="6"/>
        <v>#DIV/0!</v>
      </c>
      <c r="AC14" s="33" t="e">
        <f t="shared" si="6"/>
        <v>#DIV/0!</v>
      </c>
      <c r="AD14" s="33" t="e">
        <f>Z14+AA14+AB14+AC14</f>
        <v>#DIV/0!</v>
      </c>
      <c r="AE14" s="33" t="e">
        <f t="shared" si="7"/>
        <v>#DIV/0!</v>
      </c>
      <c r="AF14" s="33" t="e">
        <f t="shared" si="7"/>
        <v>#DIV/0!</v>
      </c>
      <c r="AG14" s="33" t="e">
        <f t="shared" si="7"/>
        <v>#DIV/0!</v>
      </c>
      <c r="AH14" s="33" t="e">
        <f t="shared" si="7"/>
        <v>#DIV/0!</v>
      </c>
      <c r="AI14" s="33" t="e">
        <f>AE14+AF14+AG14+AH14</f>
        <v>#DIV/0!</v>
      </c>
      <c r="AJ14" s="33">
        <f t="shared" si="8"/>
        <v>115.70148957715539</v>
      </c>
      <c r="AK14" s="33">
        <f t="shared" si="8"/>
        <v>0</v>
      </c>
      <c r="AL14" s="33">
        <f t="shared" si="8"/>
        <v>0</v>
      </c>
      <c r="AM14" s="33">
        <f t="shared" si="8"/>
        <v>-15.701489577155382</v>
      </c>
      <c r="AN14" s="33">
        <f>AM14+AL14+AK14+AJ14</f>
        <v>100</v>
      </c>
      <c r="AR14" s="835"/>
      <c r="AS14" s="35" t="s">
        <v>724</v>
      </c>
      <c r="AT14" s="35" t="str">
        <f>I24</f>
        <v>0.00</v>
      </c>
    </row>
    <row r="15" spans="2:46" ht="20.100000000000001" customHeight="1">
      <c r="B15" s="743"/>
      <c r="C15" s="21" t="s">
        <v>720</v>
      </c>
      <c r="D15" s="23"/>
      <c r="E15" s="23"/>
      <c r="F15" s="23"/>
      <c r="G15" s="23"/>
      <c r="H15" s="23"/>
      <c r="I15" s="23"/>
      <c r="J15" s="27"/>
      <c r="K15" s="28"/>
      <c r="L15" s="28"/>
      <c r="M15" s="28"/>
      <c r="N15" s="32"/>
      <c r="P15" s="33" t="e">
        <f t="shared" si="5"/>
        <v>#DIV/0!</v>
      </c>
      <c r="Q15" s="33">
        <f t="shared" si="5"/>
        <v>0</v>
      </c>
      <c r="R15" s="33" t="e">
        <f t="shared" si="5"/>
        <v>#DIV/0!</v>
      </c>
      <c r="S15" s="33">
        <f t="shared" si="5"/>
        <v>0</v>
      </c>
      <c r="U15" s="33">
        <f>Q19</f>
        <v>97.922147110926488</v>
      </c>
      <c r="V15" s="33">
        <f>Q23</f>
        <v>0</v>
      </c>
      <c r="W15" s="33">
        <f>Q15</f>
        <v>0</v>
      </c>
      <c r="X15" s="33">
        <f>Q27</f>
        <v>2.077852889073506</v>
      </c>
      <c r="Y15" s="33">
        <f>U15+V15+W15+X15</f>
        <v>100</v>
      </c>
      <c r="Z15" s="33" t="e">
        <f t="shared" si="6"/>
        <v>#DIV/0!</v>
      </c>
      <c r="AA15" s="33" t="e">
        <f t="shared" si="6"/>
        <v>#DIV/0!</v>
      </c>
      <c r="AB15" s="33" t="e">
        <f t="shared" si="6"/>
        <v>#DIV/0!</v>
      </c>
      <c r="AC15" s="33" t="e">
        <f t="shared" si="6"/>
        <v>#DIV/0!</v>
      </c>
      <c r="AD15" s="33" t="e">
        <f>Z15+AA15+AB15+AC15</f>
        <v>#DIV/0!</v>
      </c>
      <c r="AE15" s="33" t="e">
        <f t="shared" si="7"/>
        <v>#DIV/0!</v>
      </c>
      <c r="AF15" s="33" t="e">
        <f t="shared" si="7"/>
        <v>#DIV/0!</v>
      </c>
      <c r="AG15" s="33" t="e">
        <f t="shared" si="7"/>
        <v>#DIV/0!</v>
      </c>
      <c r="AH15" s="33" t="e">
        <f t="shared" si="7"/>
        <v>#DIV/0!</v>
      </c>
      <c r="AI15" s="33" t="e">
        <f>AE15+AF15+AG15+AH15</f>
        <v>#DIV/0!</v>
      </c>
      <c r="AJ15" s="33">
        <f t="shared" si="8"/>
        <v>88.686422520354697</v>
      </c>
      <c r="AK15" s="33">
        <f t="shared" si="8"/>
        <v>0</v>
      </c>
      <c r="AL15" s="33">
        <f t="shared" si="8"/>
        <v>0</v>
      </c>
      <c r="AM15" s="33">
        <f t="shared" si="8"/>
        <v>11.313577479645303</v>
      </c>
      <c r="AN15" s="33">
        <f>AM15+AL15+AK15+AJ15</f>
        <v>100</v>
      </c>
      <c r="AR15" s="835"/>
      <c r="AS15" s="35" t="s">
        <v>725</v>
      </c>
      <c r="AT15" s="35" t="e">
        <f>'精矿盘点表（全年）'!D6</f>
        <v>#DIV/0!</v>
      </c>
    </row>
    <row r="16" spans="2:46" ht="20.100000000000001" customHeight="1">
      <c r="B16" s="743"/>
      <c r="C16" s="20" t="s">
        <v>99</v>
      </c>
      <c r="D16" s="23"/>
      <c r="E16" s="23"/>
      <c r="F16" s="23"/>
      <c r="G16" s="23"/>
      <c r="H16" s="23"/>
      <c r="I16" s="23"/>
      <c r="J16" s="27"/>
      <c r="K16" s="28"/>
      <c r="L16" s="28"/>
      <c r="M16" s="28"/>
      <c r="N16" s="32"/>
      <c r="P16" s="33" t="e">
        <f t="shared" si="5"/>
        <v>#DIV/0!</v>
      </c>
      <c r="Q16" s="33">
        <f t="shared" si="5"/>
        <v>0</v>
      </c>
      <c r="R16" s="33" t="e">
        <f t="shared" si="5"/>
        <v>#DIV/0!</v>
      </c>
      <c r="S16" s="33">
        <f t="shared" si="5"/>
        <v>0</v>
      </c>
      <c r="U16" s="33">
        <f>Q20</f>
        <v>97.312632147323754</v>
      </c>
      <c r="V16" s="33">
        <f>Q24</f>
        <v>0</v>
      </c>
      <c r="W16" s="33">
        <f>Q16</f>
        <v>0</v>
      </c>
      <c r="X16" s="33">
        <f>Q28</f>
        <v>2.6873678526762248</v>
      </c>
      <c r="Y16" s="33">
        <f>U16+V16+W16+X16</f>
        <v>99.999999999999972</v>
      </c>
      <c r="Z16" s="33" t="e">
        <f t="shared" si="6"/>
        <v>#DIV/0!</v>
      </c>
      <c r="AA16" s="33" t="e">
        <f t="shared" si="6"/>
        <v>#DIV/0!</v>
      </c>
      <c r="AB16" s="33" t="e">
        <f t="shared" si="6"/>
        <v>#DIV/0!</v>
      </c>
      <c r="AC16" s="33" t="e">
        <f t="shared" si="6"/>
        <v>#DIV/0!</v>
      </c>
      <c r="AD16" s="33" t="e">
        <f>Z16+AA16+AB16+AC16</f>
        <v>#DIV/0!</v>
      </c>
      <c r="AE16" s="33" t="e">
        <f t="shared" si="7"/>
        <v>#DIV/0!</v>
      </c>
      <c r="AF16" s="33" t="e">
        <f t="shared" si="7"/>
        <v>#DIV/0!</v>
      </c>
      <c r="AG16" s="33" t="e">
        <f t="shared" si="7"/>
        <v>#DIV/0!</v>
      </c>
      <c r="AH16" s="33" t="e">
        <f t="shared" si="7"/>
        <v>#DIV/0!</v>
      </c>
      <c r="AI16" s="33" t="e">
        <f>AE16+AF16+AG16+AH16</f>
        <v>#DIV/0!</v>
      </c>
      <c r="AJ16" s="33">
        <f t="shared" si="8"/>
        <v>97.867281648406944</v>
      </c>
      <c r="AK16" s="33">
        <f t="shared" si="8"/>
        <v>0</v>
      </c>
      <c r="AL16" s="33">
        <f t="shared" si="8"/>
        <v>0</v>
      </c>
      <c r="AM16" s="33">
        <f t="shared" si="8"/>
        <v>2.1327183515931405</v>
      </c>
      <c r="AN16" s="33">
        <f>AM16+AL16+AK16+AJ16</f>
        <v>100.00000000000009</v>
      </c>
      <c r="AR16" s="835"/>
      <c r="AS16" s="35" t="s">
        <v>726</v>
      </c>
      <c r="AT16" s="35" t="e">
        <f>'精矿盘点表（全年）'!D16</f>
        <v>#DIV/0!</v>
      </c>
    </row>
    <row r="17" spans="2:51" ht="20.100000000000001" customHeight="1">
      <c r="B17" s="679" t="s">
        <v>23</v>
      </c>
      <c r="C17" s="21" t="s">
        <v>715</v>
      </c>
      <c r="D17" s="23">
        <f>IF(ISERROR(L17/L7*100),"0.00",L17/L7*100)</f>
        <v>97.308219069760071</v>
      </c>
      <c r="E17" s="23">
        <f>IF(ISERROR(N17/N7*100),"0.00",N17/N7*100)</f>
        <v>97.647339870766359</v>
      </c>
      <c r="F17" s="23">
        <f>'1系统周表'!F13+'2系统周表'!F13</f>
        <v>126.940395454002</v>
      </c>
      <c r="G17" s="23"/>
      <c r="H17" s="23">
        <f t="shared" ref="H17:H28" si="9">IF(ISERROR(L17/F17*100),"0.00",L17/F17*100)</f>
        <v>60.559999999999988</v>
      </c>
      <c r="I17" s="23">
        <f t="shared" ref="I17:I28" si="10">IF(ISERROR(M17/F17*100),"0.00",M17/F17*100)</f>
        <v>0</v>
      </c>
      <c r="J17" s="27">
        <f t="shared" ref="J17:J28" si="11">IF(ISERROR(N17/F17*1000),"0.00",N17/F17*1000)</f>
        <v>3299.0000000000032</v>
      </c>
      <c r="K17" s="28"/>
      <c r="L17" s="28">
        <f>'1系统周表'!J13+'2系统周表'!J13</f>
        <v>76.875103486943601</v>
      </c>
      <c r="M17" s="28">
        <f>'1系统周表'!K13+'2系统周表'!K13</f>
        <v>0</v>
      </c>
      <c r="N17" s="32">
        <f>'1系统周表'!L13+'2系统周表'!L13</f>
        <v>418.77636460275301</v>
      </c>
      <c r="P17" s="33" t="e">
        <f t="shared" ref="P17:S20" si="12">K17/K7*100</f>
        <v>#DIV/0!</v>
      </c>
      <c r="Q17" s="33">
        <f t="shared" si="12"/>
        <v>97.308219069760071</v>
      </c>
      <c r="R17" s="33" t="e">
        <f t="shared" si="12"/>
        <v>#DIV/0!</v>
      </c>
      <c r="S17" s="33">
        <f t="shared" si="12"/>
        <v>97.647339870766359</v>
      </c>
      <c r="U17" s="33" t="e">
        <f>R17</f>
        <v>#DIV/0!</v>
      </c>
      <c r="V17" s="33" t="e">
        <f>R21</f>
        <v>#DIV/0!</v>
      </c>
      <c r="W17" s="33" t="e">
        <f>R13</f>
        <v>#DIV/0!</v>
      </c>
      <c r="X17" s="33" t="e">
        <f>R25</f>
        <v>#DIV/0!</v>
      </c>
      <c r="Y17" s="33" t="e">
        <f t="shared" ref="Y17:Y28" si="13">U17+V17+W17+X17</f>
        <v>#DIV/0!</v>
      </c>
    </row>
    <row r="18" spans="2:51" ht="20.100000000000001" customHeight="1">
      <c r="B18" s="679"/>
      <c r="C18" s="21" t="s">
        <v>718</v>
      </c>
      <c r="D18" s="23">
        <f>IF(ISERROR(L18/L8*100),"0.00",L18/L8*100)</f>
        <v>96.725985057824175</v>
      </c>
      <c r="E18" s="23">
        <f>IF(ISERROR(N18/N8*100),"0.00",N18/N8*100)</f>
        <v>115.70148957715539</v>
      </c>
      <c r="F18" s="23">
        <f>'1系统周表'!F14+'2系统周表'!F14</f>
        <v>6.8998956094565553</v>
      </c>
      <c r="G18" s="23"/>
      <c r="H18" s="23">
        <f t="shared" si="9"/>
        <v>65.27</v>
      </c>
      <c r="I18" s="23">
        <f t="shared" si="10"/>
        <v>0</v>
      </c>
      <c r="J18" s="27">
        <f t="shared" si="11"/>
        <v>3352</v>
      </c>
      <c r="K18" s="28"/>
      <c r="L18" s="28">
        <f>'1系统周表'!J14+'2系统周表'!J14</f>
        <v>4.5035618642922932</v>
      </c>
      <c r="M18" s="28">
        <f>'1系统周表'!K14+'2系统周表'!K14</f>
        <v>0</v>
      </c>
      <c r="N18" s="32">
        <f>'1系统周表'!L14+'2系统周表'!L14</f>
        <v>23.128450082898372</v>
      </c>
      <c r="P18" s="33" t="e">
        <f t="shared" si="12"/>
        <v>#DIV/0!</v>
      </c>
      <c r="Q18" s="33">
        <f t="shared" si="12"/>
        <v>96.725985057824175</v>
      </c>
      <c r="R18" s="33" t="e">
        <f t="shared" si="12"/>
        <v>#DIV/0!</v>
      </c>
      <c r="S18" s="33">
        <f t="shared" si="12"/>
        <v>115.70148957715539</v>
      </c>
      <c r="U18" s="33" t="e">
        <f>R18</f>
        <v>#DIV/0!</v>
      </c>
      <c r="V18" s="33" t="e">
        <f>R22</f>
        <v>#DIV/0!</v>
      </c>
      <c r="W18" s="33" t="e">
        <f>R14</f>
        <v>#DIV/0!</v>
      </c>
      <c r="X18" s="33" t="e">
        <f>R26</f>
        <v>#DIV/0!</v>
      </c>
      <c r="Y18" s="33" t="e">
        <f t="shared" si="13"/>
        <v>#DIV/0!</v>
      </c>
      <c r="AX18" s="35"/>
      <c r="AY18" s="35"/>
    </row>
    <row r="19" spans="2:51" ht="20.100000000000001" customHeight="1">
      <c r="B19" s="679"/>
      <c r="C19" s="21" t="s">
        <v>720</v>
      </c>
      <c r="D19" s="23">
        <f>IF(ISERROR(L19/L9*100),"0.00",L19/L9*100)</f>
        <v>97.922147110926488</v>
      </c>
      <c r="E19" s="23">
        <f>IF(ISERROR(N19/N9*100),"0.00",N19/N9*100)</f>
        <v>88.686422520354697</v>
      </c>
      <c r="F19" s="23">
        <f>'1系统周表'!F15+'2系统周表'!F15</f>
        <v>7.4929006823351028</v>
      </c>
      <c r="G19" s="23"/>
      <c r="H19" s="23">
        <f t="shared" si="9"/>
        <v>66.039999999999992</v>
      </c>
      <c r="I19" s="23">
        <f t="shared" si="10"/>
        <v>0</v>
      </c>
      <c r="J19" s="27">
        <f t="shared" si="11"/>
        <v>3380.0000000000005</v>
      </c>
      <c r="K19" s="28"/>
      <c r="L19" s="28">
        <f>'1系统周表'!J15+'2系统周表'!J15</f>
        <v>4.9483116106141019</v>
      </c>
      <c r="M19" s="28">
        <f>'1系统周表'!K15+'2系统周表'!K15</f>
        <v>0</v>
      </c>
      <c r="N19" s="32">
        <f>'1系统周表'!L15+'2系统周表'!L15</f>
        <v>25.326004306292649</v>
      </c>
      <c r="P19" s="33" t="e">
        <f t="shared" si="12"/>
        <v>#DIV/0!</v>
      </c>
      <c r="Q19" s="33">
        <f t="shared" si="12"/>
        <v>97.922147110926488</v>
      </c>
      <c r="R19" s="33" t="e">
        <f t="shared" si="12"/>
        <v>#DIV/0!</v>
      </c>
      <c r="S19" s="33">
        <f t="shared" si="12"/>
        <v>88.686422520354697</v>
      </c>
      <c r="U19" s="33" t="e">
        <f>R19</f>
        <v>#DIV/0!</v>
      </c>
      <c r="V19" s="33" t="e">
        <f>R23</f>
        <v>#DIV/0!</v>
      </c>
      <c r="W19" s="33" t="e">
        <f>R15</f>
        <v>#DIV/0!</v>
      </c>
      <c r="X19" s="33" t="e">
        <f>R27</f>
        <v>#DIV/0!</v>
      </c>
      <c r="Y19" s="33" t="e">
        <f t="shared" si="13"/>
        <v>#DIV/0!</v>
      </c>
      <c r="AW19" s="33"/>
    </row>
    <row r="20" spans="2:51" ht="20.100000000000001" customHeight="1">
      <c r="B20" s="679"/>
      <c r="C20" s="20" t="s">
        <v>99</v>
      </c>
      <c r="D20" s="23">
        <f>IF(ISERROR(L20/L10*100),"0.00",L20/L10*100)</f>
        <v>97.312632147323754</v>
      </c>
      <c r="E20" s="23">
        <f>IF(ISERROR(N20/N10*100),"0.00",N20/N10*100)</f>
        <v>97.867281648406944</v>
      </c>
      <c r="F20" s="23">
        <f>F17+F18+F19</f>
        <v>141.33319174579364</v>
      </c>
      <c r="G20" s="23"/>
      <c r="H20" s="23">
        <f t="shared" si="9"/>
        <v>61.080469418054626</v>
      </c>
      <c r="I20" s="23">
        <f t="shared" si="10"/>
        <v>0</v>
      </c>
      <c r="J20" s="27">
        <f t="shared" si="11"/>
        <v>3305.8817480915609</v>
      </c>
      <c r="K20" s="28"/>
      <c r="L20" s="28">
        <f>L17+L18+L19</f>
        <v>86.326976961849994</v>
      </c>
      <c r="M20" s="28">
        <f>M17+M18+M19</f>
        <v>0</v>
      </c>
      <c r="N20" s="32">
        <f>N17+N18+N19</f>
        <v>467.23081899194403</v>
      </c>
      <c r="P20" s="33" t="e">
        <f t="shared" si="12"/>
        <v>#DIV/0!</v>
      </c>
      <c r="Q20" s="33">
        <f t="shared" si="12"/>
        <v>97.312632147323754</v>
      </c>
      <c r="R20" s="33" t="e">
        <f t="shared" si="12"/>
        <v>#DIV/0!</v>
      </c>
      <c r="S20" s="33">
        <f t="shared" si="12"/>
        <v>97.867281648406944</v>
      </c>
      <c r="U20" s="33" t="e">
        <f>R20</f>
        <v>#DIV/0!</v>
      </c>
      <c r="V20" s="33" t="e">
        <f>R24</f>
        <v>#DIV/0!</v>
      </c>
      <c r="W20" s="33" t="e">
        <f>R16</f>
        <v>#DIV/0!</v>
      </c>
      <c r="X20" s="33" t="e">
        <f>R28</f>
        <v>#DIV/0!</v>
      </c>
      <c r="Y20" s="33" t="e">
        <f t="shared" si="13"/>
        <v>#DIV/0!</v>
      </c>
      <c r="AW20" s="33"/>
    </row>
    <row r="21" spans="2:51" ht="20.100000000000001" customHeight="1">
      <c r="B21" s="679" t="s">
        <v>25</v>
      </c>
      <c r="C21" s="21" t="s">
        <v>715</v>
      </c>
      <c r="D21" s="23" t="str">
        <f t="shared" ref="D21:E24" si="14">IF(ISERROR(M21/M7*100),"0.00",M21/M7*100)</f>
        <v>0.00</v>
      </c>
      <c r="E21" s="23">
        <f t="shared" si="14"/>
        <v>0</v>
      </c>
      <c r="F21" s="23">
        <f>'1系统周表'!F17+'2系统周表'!F17</f>
        <v>0</v>
      </c>
      <c r="G21" s="23"/>
      <c r="H21" s="23" t="str">
        <f t="shared" si="9"/>
        <v>0.00</v>
      </c>
      <c r="I21" s="23" t="str">
        <f t="shared" si="10"/>
        <v>0.00</v>
      </c>
      <c r="J21" s="27" t="str">
        <f t="shared" si="11"/>
        <v>0.00</v>
      </c>
      <c r="K21" s="28"/>
      <c r="L21" s="28">
        <f>'1系统周表'!J17+'2系统周表'!J17</f>
        <v>0</v>
      </c>
      <c r="M21" s="28">
        <f>'1系统周表'!K17+'2系统周表'!K17</f>
        <v>0</v>
      </c>
      <c r="N21" s="32">
        <f>'1系统周表'!L17+'2系统周表'!L17</f>
        <v>0</v>
      </c>
      <c r="P21" s="33" t="e">
        <f t="shared" ref="P21:S24" si="15">K21/K7*100</f>
        <v>#DIV/0!</v>
      </c>
      <c r="Q21" s="33">
        <f t="shared" si="15"/>
        <v>0</v>
      </c>
      <c r="R21" s="33" t="e">
        <f t="shared" si="15"/>
        <v>#DIV/0!</v>
      </c>
      <c r="S21" s="33">
        <f t="shared" si="15"/>
        <v>0</v>
      </c>
      <c r="U21" s="33" t="e">
        <f>P17</f>
        <v>#DIV/0!</v>
      </c>
      <c r="V21" s="33" t="e">
        <f>P21</f>
        <v>#DIV/0!</v>
      </c>
      <c r="W21" s="33" t="e">
        <f>P13</f>
        <v>#DIV/0!</v>
      </c>
      <c r="X21" s="33" t="e">
        <f>P25</f>
        <v>#DIV/0!</v>
      </c>
      <c r="Y21" s="33" t="e">
        <f t="shared" si="13"/>
        <v>#DIV/0!</v>
      </c>
      <c r="AW21" s="33"/>
    </row>
    <row r="22" spans="2:51" ht="20.100000000000001" customHeight="1">
      <c r="B22" s="679"/>
      <c r="C22" s="21" t="s">
        <v>718</v>
      </c>
      <c r="D22" s="23" t="str">
        <f t="shared" si="14"/>
        <v>0.00</v>
      </c>
      <c r="E22" s="23">
        <f t="shared" si="14"/>
        <v>0</v>
      </c>
      <c r="F22" s="23">
        <f>'1系统周表'!F18+'2系统周表'!F18</f>
        <v>0</v>
      </c>
      <c r="G22" s="23"/>
      <c r="H22" s="23" t="str">
        <f t="shared" si="9"/>
        <v>0.00</v>
      </c>
      <c r="I22" s="23" t="str">
        <f t="shared" si="10"/>
        <v>0.00</v>
      </c>
      <c r="J22" s="27" t="str">
        <f t="shared" si="11"/>
        <v>0.00</v>
      </c>
      <c r="K22" s="28"/>
      <c r="L22" s="28">
        <f>'1系统周表'!J18+'2系统周表'!J18</f>
        <v>0</v>
      </c>
      <c r="M22" s="28">
        <f>'1系统周表'!K18+'2系统周表'!K18</f>
        <v>0</v>
      </c>
      <c r="N22" s="32">
        <f>'1系统周表'!L18+'2系统周表'!L18</f>
        <v>0</v>
      </c>
      <c r="P22" s="33" t="e">
        <f t="shared" si="15"/>
        <v>#DIV/0!</v>
      </c>
      <c r="Q22" s="33">
        <f t="shared" si="15"/>
        <v>0</v>
      </c>
      <c r="R22" s="33" t="e">
        <f t="shared" si="15"/>
        <v>#DIV/0!</v>
      </c>
      <c r="S22" s="33">
        <f t="shared" si="15"/>
        <v>0</v>
      </c>
      <c r="U22" s="33" t="e">
        <f>P18</f>
        <v>#DIV/0!</v>
      </c>
      <c r="V22" s="33" t="e">
        <f>P22</f>
        <v>#DIV/0!</v>
      </c>
      <c r="W22" s="33" t="e">
        <f>P14</f>
        <v>#DIV/0!</v>
      </c>
      <c r="X22" s="33" t="e">
        <f>P26</f>
        <v>#DIV/0!</v>
      </c>
      <c r="Y22" s="33" t="e">
        <f t="shared" si="13"/>
        <v>#DIV/0!</v>
      </c>
      <c r="AW22" s="33"/>
    </row>
    <row r="23" spans="2:51" ht="20.100000000000001" customHeight="1">
      <c r="B23" s="679"/>
      <c r="C23" s="21" t="s">
        <v>720</v>
      </c>
      <c r="D23" s="23" t="str">
        <f t="shared" si="14"/>
        <v>0.00</v>
      </c>
      <c r="E23" s="23">
        <f t="shared" si="14"/>
        <v>0</v>
      </c>
      <c r="F23" s="23">
        <f>'1系统周表'!F19+'2系统周表'!F19</f>
        <v>0</v>
      </c>
      <c r="G23" s="23"/>
      <c r="H23" s="23" t="str">
        <f t="shared" si="9"/>
        <v>0.00</v>
      </c>
      <c r="I23" s="23" t="str">
        <f t="shared" si="10"/>
        <v>0.00</v>
      </c>
      <c r="J23" s="27" t="str">
        <f t="shared" si="11"/>
        <v>0.00</v>
      </c>
      <c r="K23" s="28"/>
      <c r="L23" s="28">
        <f>'1系统周表'!J19+'2系统周表'!J19</f>
        <v>0</v>
      </c>
      <c r="M23" s="28">
        <f>'1系统周表'!K19+'2系统周表'!K19</f>
        <v>0</v>
      </c>
      <c r="N23" s="32">
        <f>'1系统周表'!L19+'2系统周表'!L19</f>
        <v>0</v>
      </c>
      <c r="P23" s="33" t="e">
        <f t="shared" si="15"/>
        <v>#DIV/0!</v>
      </c>
      <c r="Q23" s="33">
        <f t="shared" si="15"/>
        <v>0</v>
      </c>
      <c r="R23" s="33" t="e">
        <f t="shared" si="15"/>
        <v>#DIV/0!</v>
      </c>
      <c r="S23" s="33">
        <f t="shared" si="15"/>
        <v>0</v>
      </c>
      <c r="U23" s="33" t="e">
        <f>P19</f>
        <v>#DIV/0!</v>
      </c>
      <c r="V23" s="33" t="e">
        <f>P23</f>
        <v>#DIV/0!</v>
      </c>
      <c r="W23" s="33" t="e">
        <f>P15</f>
        <v>#DIV/0!</v>
      </c>
      <c r="X23" s="33" t="e">
        <f>P27</f>
        <v>#DIV/0!</v>
      </c>
      <c r="Y23" s="33" t="e">
        <f t="shared" si="13"/>
        <v>#DIV/0!</v>
      </c>
      <c r="AW23" s="33"/>
    </row>
    <row r="24" spans="2:51" ht="20.100000000000001" customHeight="1">
      <c r="B24" s="679"/>
      <c r="C24" s="20" t="s">
        <v>99</v>
      </c>
      <c r="D24" s="23" t="str">
        <f t="shared" si="14"/>
        <v>0.00</v>
      </c>
      <c r="E24" s="23">
        <f t="shared" si="14"/>
        <v>0</v>
      </c>
      <c r="F24" s="23">
        <f>F21+F22+F23</f>
        <v>0</v>
      </c>
      <c r="G24" s="23"/>
      <c r="H24" s="23" t="str">
        <f t="shared" si="9"/>
        <v>0.00</v>
      </c>
      <c r="I24" s="23" t="str">
        <f t="shared" si="10"/>
        <v>0.00</v>
      </c>
      <c r="J24" s="27" t="str">
        <f t="shared" si="11"/>
        <v>0.00</v>
      </c>
      <c r="K24" s="28"/>
      <c r="L24" s="28">
        <f>L21+L22+L23</f>
        <v>0</v>
      </c>
      <c r="M24" s="28">
        <f>M21+M22+M23</f>
        <v>0</v>
      </c>
      <c r="N24" s="32">
        <f>N21+N22+N23</f>
        <v>0</v>
      </c>
      <c r="P24" s="33" t="e">
        <f t="shared" si="15"/>
        <v>#DIV/0!</v>
      </c>
      <c r="Q24" s="33">
        <f t="shared" si="15"/>
        <v>0</v>
      </c>
      <c r="R24" s="33" t="e">
        <f t="shared" si="15"/>
        <v>#DIV/0!</v>
      </c>
      <c r="S24" s="33">
        <f t="shared" si="15"/>
        <v>0</v>
      </c>
      <c r="U24" s="33" t="e">
        <f>P20</f>
        <v>#DIV/0!</v>
      </c>
      <c r="V24" s="33" t="e">
        <f>P24</f>
        <v>#DIV/0!</v>
      </c>
      <c r="W24" s="33" t="e">
        <f>P16</f>
        <v>#DIV/0!</v>
      </c>
      <c r="X24" s="33" t="e">
        <f>P28</f>
        <v>#DIV/0!</v>
      </c>
      <c r="Y24" s="33" t="e">
        <f t="shared" si="13"/>
        <v>#DIV/0!</v>
      </c>
      <c r="AW24" s="33"/>
    </row>
    <row r="25" spans="2:51" ht="20.100000000000001" customHeight="1">
      <c r="B25" s="679" t="s">
        <v>26</v>
      </c>
      <c r="C25" s="21" t="s">
        <v>715</v>
      </c>
      <c r="D25" s="23"/>
      <c r="E25" s="23">
        <f>E13+E17</f>
        <v>97.647339870766359</v>
      </c>
      <c r="F25" s="23">
        <f>'1系统周表'!F21+'2系统周表'!F21</f>
        <v>625.45631854599799</v>
      </c>
      <c r="G25" s="23"/>
      <c r="H25" s="23">
        <f t="shared" si="9"/>
        <v>0.34000000000000108</v>
      </c>
      <c r="I25" s="23">
        <f t="shared" si="10"/>
        <v>0</v>
      </c>
      <c r="J25" s="27">
        <f t="shared" si="11"/>
        <v>16.131841789852135</v>
      </c>
      <c r="K25" s="28"/>
      <c r="L25" s="28">
        <f>'1系统周表'!J21+'2系统周表'!J21</f>
        <v>2.1265514830563998</v>
      </c>
      <c r="M25" s="28">
        <f>'1系统周表'!K21+'2系统周表'!K21</f>
        <v>0</v>
      </c>
      <c r="N25" s="32">
        <f>'1系统周表'!L21+'2系统周表'!L21</f>
        <v>10.0897623772474</v>
      </c>
      <c r="P25" s="33" t="e">
        <f t="shared" ref="P25:S28" si="16">K25/K7*100</f>
        <v>#DIV/0!</v>
      </c>
      <c r="Q25" s="33">
        <f t="shared" si="16"/>
        <v>2.691780930239922</v>
      </c>
      <c r="R25" s="33" t="e">
        <f t="shared" si="16"/>
        <v>#DIV/0!</v>
      </c>
      <c r="S25" s="33">
        <f t="shared" si="16"/>
        <v>2.352660129233739</v>
      </c>
      <c r="U25" s="33">
        <f>S17</f>
        <v>97.647339870766359</v>
      </c>
      <c r="V25" s="33">
        <f>S21</f>
        <v>0</v>
      </c>
      <c r="W25" s="33">
        <f>S13</f>
        <v>0</v>
      </c>
      <c r="X25" s="33">
        <f>S25</f>
        <v>2.352660129233739</v>
      </c>
      <c r="Y25" s="33">
        <f t="shared" si="13"/>
        <v>100.0000000000001</v>
      </c>
    </row>
    <row r="26" spans="2:51" ht="20.100000000000001" customHeight="1">
      <c r="B26" s="679"/>
      <c r="C26" s="21" t="s">
        <v>718</v>
      </c>
      <c r="D26" s="23"/>
      <c r="E26" s="23">
        <f>E14+E18</f>
        <v>115.70148957715539</v>
      </c>
      <c r="F26" s="23">
        <f>'1系统周表'!F22+'2系统周表'!F22</f>
        <v>117.26010439054345</v>
      </c>
      <c r="G26" s="23"/>
      <c r="H26" s="23">
        <f t="shared" si="9"/>
        <v>0.13</v>
      </c>
      <c r="I26" s="23">
        <f t="shared" si="10"/>
        <v>0</v>
      </c>
      <c r="J26" s="27">
        <f t="shared" si="11"/>
        <v>-26.766905071521474</v>
      </c>
      <c r="K26" s="28"/>
      <c r="L26" s="28">
        <f>'1系统周表'!J22+'2系统周表'!J22</f>
        <v>0.15243813570770648</v>
      </c>
      <c r="M26" s="28">
        <f>'1系统周表'!K22+'2系统周表'!K22</f>
        <v>0</v>
      </c>
      <c r="N26" s="32">
        <f>'1系统周表'!L22+'2系统周表'!L22</f>
        <v>-3.1386900828983748</v>
      </c>
      <c r="P26" s="33" t="e">
        <f t="shared" si="16"/>
        <v>#DIV/0!</v>
      </c>
      <c r="Q26" s="33">
        <f t="shared" si="16"/>
        <v>3.2740149421758264</v>
      </c>
      <c r="R26" s="33" t="e">
        <f t="shared" si="16"/>
        <v>#DIV/0!</v>
      </c>
      <c r="S26" s="33">
        <f t="shared" si="16"/>
        <v>-15.701489577155382</v>
      </c>
      <c r="U26" s="33">
        <f>S18</f>
        <v>115.70148957715539</v>
      </c>
      <c r="V26" s="33">
        <f>S22</f>
        <v>0</v>
      </c>
      <c r="W26" s="33">
        <f>S14</f>
        <v>0</v>
      </c>
      <c r="X26" s="33">
        <f>S26</f>
        <v>-15.701489577155382</v>
      </c>
      <c r="Y26" s="33">
        <f t="shared" si="13"/>
        <v>100</v>
      </c>
    </row>
    <row r="27" spans="2:51" ht="20.100000000000001" customHeight="1">
      <c r="B27" s="679"/>
      <c r="C27" s="21" t="s">
        <v>720</v>
      </c>
      <c r="D27" s="23"/>
      <c r="E27" s="23">
        <f>E15+E19</f>
        <v>88.686422520354697</v>
      </c>
      <c r="F27" s="23">
        <f>'1系统周表'!F23+'2系统周表'!F23</f>
        <v>116.66709931766489</v>
      </c>
      <c r="G27" s="23"/>
      <c r="H27" s="23">
        <f t="shared" si="9"/>
        <v>8.9999999999999802E-2</v>
      </c>
      <c r="I27" s="23">
        <f t="shared" si="10"/>
        <v>0</v>
      </c>
      <c r="J27" s="27">
        <f t="shared" si="11"/>
        <v>27.692431821849247</v>
      </c>
      <c r="K27" s="28"/>
      <c r="L27" s="28">
        <f>'1系统周表'!J23+'2系统周表'!J23</f>
        <v>0.10500038938589817</v>
      </c>
      <c r="M27" s="28">
        <f>'1系统周表'!K23+'2系统周表'!K23</f>
        <v>0</v>
      </c>
      <c r="N27" s="32">
        <f>'1系统周表'!L23+'2系统周表'!L23</f>
        <v>3.2307956937073499</v>
      </c>
      <c r="P27" s="33" t="e">
        <f t="shared" si="16"/>
        <v>#DIV/0!</v>
      </c>
      <c r="Q27" s="33">
        <f t="shared" si="16"/>
        <v>2.077852889073506</v>
      </c>
      <c r="R27" s="33" t="e">
        <f t="shared" si="16"/>
        <v>#DIV/0!</v>
      </c>
      <c r="S27" s="33">
        <f t="shared" si="16"/>
        <v>11.313577479645303</v>
      </c>
      <c r="U27" s="33">
        <f>S19</f>
        <v>88.686422520354697</v>
      </c>
      <c r="V27" s="33">
        <f>S23</f>
        <v>0</v>
      </c>
      <c r="W27" s="33">
        <f>S15</f>
        <v>0</v>
      </c>
      <c r="X27" s="33">
        <f>S27</f>
        <v>11.313577479645303</v>
      </c>
      <c r="Y27" s="33">
        <f t="shared" si="13"/>
        <v>100</v>
      </c>
    </row>
    <row r="28" spans="2:51" ht="20.100000000000001" customHeight="1">
      <c r="B28" s="679"/>
      <c r="C28" s="20" t="s">
        <v>99</v>
      </c>
      <c r="D28" s="23"/>
      <c r="E28" s="23">
        <f>E16+E20</f>
        <v>97.867281648406944</v>
      </c>
      <c r="F28" s="23">
        <f>F25+F26+F27</f>
        <v>859.38352225420635</v>
      </c>
      <c r="G28" s="23"/>
      <c r="H28" s="23">
        <f t="shared" si="9"/>
        <v>0.2774069954118597</v>
      </c>
      <c r="I28" s="23">
        <f t="shared" si="10"/>
        <v>0</v>
      </c>
      <c r="J28" s="27">
        <f t="shared" si="11"/>
        <v>11.847874347589096</v>
      </c>
      <c r="K28" s="28"/>
      <c r="L28" s="28">
        <f>L25+L26+L27</f>
        <v>2.3839900081500045</v>
      </c>
      <c r="M28" s="28">
        <f>M25+M26+M27</f>
        <v>0</v>
      </c>
      <c r="N28" s="32">
        <f>N25+N26+N27</f>
        <v>10.181867988056375</v>
      </c>
      <c r="P28" s="33" t="e">
        <f t="shared" si="16"/>
        <v>#DIV/0!</v>
      </c>
      <c r="Q28" s="33">
        <f t="shared" si="16"/>
        <v>2.6873678526762248</v>
      </c>
      <c r="R28" s="33" t="e">
        <f t="shared" si="16"/>
        <v>#DIV/0!</v>
      </c>
      <c r="S28" s="33">
        <f t="shared" si="16"/>
        <v>2.1327183515931405</v>
      </c>
      <c r="U28" s="33">
        <f>S20</f>
        <v>97.867281648406944</v>
      </c>
      <c r="V28" s="33">
        <f>S24</f>
        <v>0</v>
      </c>
      <c r="W28" s="33">
        <f>S16</f>
        <v>0</v>
      </c>
      <c r="X28" s="33">
        <f>S28</f>
        <v>2.1327183515931405</v>
      </c>
      <c r="Y28" s="33">
        <f t="shared" si="13"/>
        <v>100.00000000000009</v>
      </c>
    </row>
    <row r="29" spans="2:51">
      <c r="B29" s="19"/>
      <c r="C29" s="694" t="s">
        <v>66</v>
      </c>
      <c r="D29" s="694"/>
      <c r="E29" s="694"/>
      <c r="F29" s="19"/>
      <c r="G29" s="19"/>
      <c r="H29" s="19"/>
      <c r="I29" s="19"/>
      <c r="J29" s="19"/>
      <c r="K29" s="694" t="s">
        <v>67</v>
      </c>
      <c r="L29" s="694"/>
      <c r="M29" s="694"/>
      <c r="N29" s="19"/>
    </row>
    <row r="30" spans="2:51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</sheetData>
  <mergeCells count="28">
    <mergeCell ref="O5:O6"/>
    <mergeCell ref="P5:P6"/>
    <mergeCell ref="AR7:AR16"/>
    <mergeCell ref="B2:N3"/>
    <mergeCell ref="B21:B24"/>
    <mergeCell ref="G11:J11"/>
    <mergeCell ref="K11:N11"/>
    <mergeCell ref="B25:B28"/>
    <mergeCell ref="C5:C6"/>
    <mergeCell ref="C11:C12"/>
    <mergeCell ref="D5:D6"/>
    <mergeCell ref="B5:B6"/>
    <mergeCell ref="B7:B10"/>
    <mergeCell ref="B11:B12"/>
    <mergeCell ref="B13:B16"/>
    <mergeCell ref="B17:B20"/>
    <mergeCell ref="D11:E11"/>
    <mergeCell ref="C29:E29"/>
    <mergeCell ref="K29:M29"/>
    <mergeCell ref="F11:F12"/>
    <mergeCell ref="C4:D4"/>
    <mergeCell ref="E4:F4"/>
    <mergeCell ref="H4:J4"/>
    <mergeCell ref="L4:M4"/>
    <mergeCell ref="G5:J5"/>
    <mergeCell ref="K5:N5"/>
    <mergeCell ref="E5:E6"/>
    <mergeCell ref="F5:F6"/>
  </mergeCells>
  <phoneticPr fontId="54" type="noConversion"/>
  <printOptions horizontalCentered="1" verticalCentered="1"/>
  <pageMargins left="0" right="0" top="0" bottom="0" header="0" footer="0"/>
  <pageSetup paperSize="9" orientation="landscape" horizontalDpi="180" verticalDpi="18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8">
    <tabColor indexed="12"/>
  </sheetPr>
  <dimension ref="B2:AQ30"/>
  <sheetViews>
    <sheetView topLeftCell="A14" workbookViewId="0">
      <selection activeCell="E33" sqref="E33"/>
    </sheetView>
  </sheetViews>
  <sheetFormatPr defaultColWidth="9" defaultRowHeight="15.6"/>
  <cols>
    <col min="1" max="1" width="4.6640625" style="18" customWidth="1"/>
    <col min="2" max="2" width="6.33203125" style="18" customWidth="1"/>
    <col min="3" max="3" width="7" style="18" customWidth="1"/>
    <col min="4" max="4" width="10.21875" style="18" customWidth="1"/>
    <col min="5" max="5" width="9.88671875" style="18" customWidth="1"/>
    <col min="6" max="6" width="11.6640625" style="18" customWidth="1"/>
    <col min="7" max="9" width="9" style="18"/>
    <col min="10" max="10" width="9.33203125" style="18" customWidth="1"/>
    <col min="11" max="11" width="11.21875" style="18" customWidth="1"/>
    <col min="12" max="15" width="9" style="18"/>
    <col min="16" max="16" width="9" style="18" hidden="1" customWidth="1"/>
    <col min="17" max="18" width="9.109375" style="18" hidden="1" customWidth="1"/>
    <col min="19" max="19" width="9.44140625" style="18" hidden="1" customWidth="1"/>
    <col min="20" max="20" width="9" style="18" hidden="1" customWidth="1"/>
    <col min="21" max="24" width="9.109375" style="18" hidden="1" customWidth="1"/>
    <col min="25" max="41" width="9" style="18" hidden="1" customWidth="1"/>
    <col min="42" max="256" width="9" style="18"/>
    <col min="257" max="257" width="4.6640625" style="18" customWidth="1"/>
    <col min="258" max="258" width="6.33203125" style="18" customWidth="1"/>
    <col min="259" max="259" width="7" style="18" customWidth="1"/>
    <col min="260" max="260" width="10.21875" style="18" customWidth="1"/>
    <col min="261" max="261" width="9.88671875" style="18" customWidth="1"/>
    <col min="262" max="262" width="11.6640625" style="18" customWidth="1"/>
    <col min="263" max="265" width="9" style="18"/>
    <col min="266" max="266" width="9.33203125" style="18" customWidth="1"/>
    <col min="267" max="267" width="11.21875" style="18" customWidth="1"/>
    <col min="268" max="272" width="9" style="18"/>
    <col min="273" max="274" width="9.109375" style="18" customWidth="1"/>
    <col min="275" max="275" width="9.44140625" style="18" customWidth="1"/>
    <col min="276" max="276" width="9" style="18"/>
    <col min="277" max="280" width="9.109375" style="18" customWidth="1"/>
    <col min="281" max="512" width="9" style="18"/>
    <col min="513" max="513" width="4.6640625" style="18" customWidth="1"/>
    <col min="514" max="514" width="6.33203125" style="18" customWidth="1"/>
    <col min="515" max="515" width="7" style="18" customWidth="1"/>
    <col min="516" max="516" width="10.21875" style="18" customWidth="1"/>
    <col min="517" max="517" width="9.88671875" style="18" customWidth="1"/>
    <col min="518" max="518" width="11.6640625" style="18" customWidth="1"/>
    <col min="519" max="521" width="9" style="18"/>
    <col min="522" max="522" width="9.33203125" style="18" customWidth="1"/>
    <col min="523" max="523" width="11.21875" style="18" customWidth="1"/>
    <col min="524" max="528" width="9" style="18"/>
    <col min="529" max="530" width="9.109375" style="18" customWidth="1"/>
    <col min="531" max="531" width="9.44140625" style="18" customWidth="1"/>
    <col min="532" max="532" width="9" style="18"/>
    <col min="533" max="536" width="9.109375" style="18" customWidth="1"/>
    <col min="537" max="768" width="9" style="18"/>
    <col min="769" max="769" width="4.6640625" style="18" customWidth="1"/>
    <col min="770" max="770" width="6.33203125" style="18" customWidth="1"/>
    <col min="771" max="771" width="7" style="18" customWidth="1"/>
    <col min="772" max="772" width="10.21875" style="18" customWidth="1"/>
    <col min="773" max="773" width="9.88671875" style="18" customWidth="1"/>
    <col min="774" max="774" width="11.6640625" style="18" customWidth="1"/>
    <col min="775" max="777" width="9" style="18"/>
    <col min="778" max="778" width="9.33203125" style="18" customWidth="1"/>
    <col min="779" max="779" width="11.21875" style="18" customWidth="1"/>
    <col min="780" max="784" width="9" style="18"/>
    <col min="785" max="786" width="9.109375" style="18" customWidth="1"/>
    <col min="787" max="787" width="9.44140625" style="18" customWidth="1"/>
    <col min="788" max="788" width="9" style="18"/>
    <col min="789" max="792" width="9.109375" style="18" customWidth="1"/>
    <col min="793" max="1024" width="9" style="18"/>
    <col min="1025" max="1025" width="4.6640625" style="18" customWidth="1"/>
    <col min="1026" max="1026" width="6.33203125" style="18" customWidth="1"/>
    <col min="1027" max="1027" width="7" style="18" customWidth="1"/>
    <col min="1028" max="1028" width="10.21875" style="18" customWidth="1"/>
    <col min="1029" max="1029" width="9.88671875" style="18" customWidth="1"/>
    <col min="1030" max="1030" width="11.6640625" style="18" customWidth="1"/>
    <col min="1031" max="1033" width="9" style="18"/>
    <col min="1034" max="1034" width="9.33203125" style="18" customWidth="1"/>
    <col min="1035" max="1035" width="11.21875" style="18" customWidth="1"/>
    <col min="1036" max="1040" width="9" style="18"/>
    <col min="1041" max="1042" width="9.109375" style="18" customWidth="1"/>
    <col min="1043" max="1043" width="9.44140625" style="18" customWidth="1"/>
    <col min="1044" max="1044" width="9" style="18"/>
    <col min="1045" max="1048" width="9.109375" style="18" customWidth="1"/>
    <col min="1049" max="1280" width="9" style="18"/>
    <col min="1281" max="1281" width="4.6640625" style="18" customWidth="1"/>
    <col min="1282" max="1282" width="6.33203125" style="18" customWidth="1"/>
    <col min="1283" max="1283" width="7" style="18" customWidth="1"/>
    <col min="1284" max="1284" width="10.21875" style="18" customWidth="1"/>
    <col min="1285" max="1285" width="9.88671875" style="18" customWidth="1"/>
    <col min="1286" max="1286" width="11.6640625" style="18" customWidth="1"/>
    <col min="1287" max="1289" width="9" style="18"/>
    <col min="1290" max="1290" width="9.33203125" style="18" customWidth="1"/>
    <col min="1291" max="1291" width="11.21875" style="18" customWidth="1"/>
    <col min="1292" max="1296" width="9" style="18"/>
    <col min="1297" max="1298" width="9.109375" style="18" customWidth="1"/>
    <col min="1299" max="1299" width="9.44140625" style="18" customWidth="1"/>
    <col min="1300" max="1300" width="9" style="18"/>
    <col min="1301" max="1304" width="9.109375" style="18" customWidth="1"/>
    <col min="1305" max="1536" width="9" style="18"/>
    <col min="1537" max="1537" width="4.6640625" style="18" customWidth="1"/>
    <col min="1538" max="1538" width="6.33203125" style="18" customWidth="1"/>
    <col min="1539" max="1539" width="7" style="18" customWidth="1"/>
    <col min="1540" max="1540" width="10.21875" style="18" customWidth="1"/>
    <col min="1541" max="1541" width="9.88671875" style="18" customWidth="1"/>
    <col min="1542" max="1542" width="11.6640625" style="18" customWidth="1"/>
    <col min="1543" max="1545" width="9" style="18"/>
    <col min="1546" max="1546" width="9.33203125" style="18" customWidth="1"/>
    <col min="1547" max="1547" width="11.21875" style="18" customWidth="1"/>
    <col min="1548" max="1552" width="9" style="18"/>
    <col min="1553" max="1554" width="9.109375" style="18" customWidth="1"/>
    <col min="1555" max="1555" width="9.44140625" style="18" customWidth="1"/>
    <col min="1556" max="1556" width="9" style="18"/>
    <col min="1557" max="1560" width="9.109375" style="18" customWidth="1"/>
    <col min="1561" max="1792" width="9" style="18"/>
    <col min="1793" max="1793" width="4.6640625" style="18" customWidth="1"/>
    <col min="1794" max="1794" width="6.33203125" style="18" customWidth="1"/>
    <col min="1795" max="1795" width="7" style="18" customWidth="1"/>
    <col min="1796" max="1796" width="10.21875" style="18" customWidth="1"/>
    <col min="1797" max="1797" width="9.88671875" style="18" customWidth="1"/>
    <col min="1798" max="1798" width="11.6640625" style="18" customWidth="1"/>
    <col min="1799" max="1801" width="9" style="18"/>
    <col min="1802" max="1802" width="9.33203125" style="18" customWidth="1"/>
    <col min="1803" max="1803" width="11.21875" style="18" customWidth="1"/>
    <col min="1804" max="1808" width="9" style="18"/>
    <col min="1809" max="1810" width="9.109375" style="18" customWidth="1"/>
    <col min="1811" max="1811" width="9.44140625" style="18" customWidth="1"/>
    <col min="1812" max="1812" width="9" style="18"/>
    <col min="1813" max="1816" width="9.109375" style="18" customWidth="1"/>
    <col min="1817" max="2048" width="9" style="18"/>
    <col min="2049" max="2049" width="4.6640625" style="18" customWidth="1"/>
    <col min="2050" max="2050" width="6.33203125" style="18" customWidth="1"/>
    <col min="2051" max="2051" width="7" style="18" customWidth="1"/>
    <col min="2052" max="2052" width="10.21875" style="18" customWidth="1"/>
    <col min="2053" max="2053" width="9.88671875" style="18" customWidth="1"/>
    <col min="2054" max="2054" width="11.6640625" style="18" customWidth="1"/>
    <col min="2055" max="2057" width="9" style="18"/>
    <col min="2058" max="2058" width="9.33203125" style="18" customWidth="1"/>
    <col min="2059" max="2059" width="11.21875" style="18" customWidth="1"/>
    <col min="2060" max="2064" width="9" style="18"/>
    <col min="2065" max="2066" width="9.109375" style="18" customWidth="1"/>
    <col min="2067" max="2067" width="9.44140625" style="18" customWidth="1"/>
    <col min="2068" max="2068" width="9" style="18"/>
    <col min="2069" max="2072" width="9.109375" style="18" customWidth="1"/>
    <col min="2073" max="2304" width="9" style="18"/>
    <col min="2305" max="2305" width="4.6640625" style="18" customWidth="1"/>
    <col min="2306" max="2306" width="6.33203125" style="18" customWidth="1"/>
    <col min="2307" max="2307" width="7" style="18" customWidth="1"/>
    <col min="2308" max="2308" width="10.21875" style="18" customWidth="1"/>
    <col min="2309" max="2309" width="9.88671875" style="18" customWidth="1"/>
    <col min="2310" max="2310" width="11.6640625" style="18" customWidth="1"/>
    <col min="2311" max="2313" width="9" style="18"/>
    <col min="2314" max="2314" width="9.33203125" style="18" customWidth="1"/>
    <col min="2315" max="2315" width="11.21875" style="18" customWidth="1"/>
    <col min="2316" max="2320" width="9" style="18"/>
    <col min="2321" max="2322" width="9.109375" style="18" customWidth="1"/>
    <col min="2323" max="2323" width="9.44140625" style="18" customWidth="1"/>
    <col min="2324" max="2324" width="9" style="18"/>
    <col min="2325" max="2328" width="9.109375" style="18" customWidth="1"/>
    <col min="2329" max="2560" width="9" style="18"/>
    <col min="2561" max="2561" width="4.6640625" style="18" customWidth="1"/>
    <col min="2562" max="2562" width="6.33203125" style="18" customWidth="1"/>
    <col min="2563" max="2563" width="7" style="18" customWidth="1"/>
    <col min="2564" max="2564" width="10.21875" style="18" customWidth="1"/>
    <col min="2565" max="2565" width="9.88671875" style="18" customWidth="1"/>
    <col min="2566" max="2566" width="11.6640625" style="18" customWidth="1"/>
    <col min="2567" max="2569" width="9" style="18"/>
    <col min="2570" max="2570" width="9.33203125" style="18" customWidth="1"/>
    <col min="2571" max="2571" width="11.21875" style="18" customWidth="1"/>
    <col min="2572" max="2576" width="9" style="18"/>
    <col min="2577" max="2578" width="9.109375" style="18" customWidth="1"/>
    <col min="2579" max="2579" width="9.44140625" style="18" customWidth="1"/>
    <col min="2580" max="2580" width="9" style="18"/>
    <col min="2581" max="2584" width="9.109375" style="18" customWidth="1"/>
    <col min="2585" max="2816" width="9" style="18"/>
    <col min="2817" max="2817" width="4.6640625" style="18" customWidth="1"/>
    <col min="2818" max="2818" width="6.33203125" style="18" customWidth="1"/>
    <col min="2819" max="2819" width="7" style="18" customWidth="1"/>
    <col min="2820" max="2820" width="10.21875" style="18" customWidth="1"/>
    <col min="2821" max="2821" width="9.88671875" style="18" customWidth="1"/>
    <col min="2822" max="2822" width="11.6640625" style="18" customWidth="1"/>
    <col min="2823" max="2825" width="9" style="18"/>
    <col min="2826" max="2826" width="9.33203125" style="18" customWidth="1"/>
    <col min="2827" max="2827" width="11.21875" style="18" customWidth="1"/>
    <col min="2828" max="2832" width="9" style="18"/>
    <col min="2833" max="2834" width="9.109375" style="18" customWidth="1"/>
    <col min="2835" max="2835" width="9.44140625" style="18" customWidth="1"/>
    <col min="2836" max="2836" width="9" style="18"/>
    <col min="2837" max="2840" width="9.109375" style="18" customWidth="1"/>
    <col min="2841" max="3072" width="9" style="18"/>
    <col min="3073" max="3073" width="4.6640625" style="18" customWidth="1"/>
    <col min="3074" max="3074" width="6.33203125" style="18" customWidth="1"/>
    <col min="3075" max="3075" width="7" style="18" customWidth="1"/>
    <col min="3076" max="3076" width="10.21875" style="18" customWidth="1"/>
    <col min="3077" max="3077" width="9.88671875" style="18" customWidth="1"/>
    <col min="3078" max="3078" width="11.6640625" style="18" customWidth="1"/>
    <col min="3079" max="3081" width="9" style="18"/>
    <col min="3082" max="3082" width="9.33203125" style="18" customWidth="1"/>
    <col min="3083" max="3083" width="11.21875" style="18" customWidth="1"/>
    <col min="3084" max="3088" width="9" style="18"/>
    <col min="3089" max="3090" width="9.109375" style="18" customWidth="1"/>
    <col min="3091" max="3091" width="9.44140625" style="18" customWidth="1"/>
    <col min="3092" max="3092" width="9" style="18"/>
    <col min="3093" max="3096" width="9.109375" style="18" customWidth="1"/>
    <col min="3097" max="3328" width="9" style="18"/>
    <col min="3329" max="3329" width="4.6640625" style="18" customWidth="1"/>
    <col min="3330" max="3330" width="6.33203125" style="18" customWidth="1"/>
    <col min="3331" max="3331" width="7" style="18" customWidth="1"/>
    <col min="3332" max="3332" width="10.21875" style="18" customWidth="1"/>
    <col min="3333" max="3333" width="9.88671875" style="18" customWidth="1"/>
    <col min="3334" max="3334" width="11.6640625" style="18" customWidth="1"/>
    <col min="3335" max="3337" width="9" style="18"/>
    <col min="3338" max="3338" width="9.33203125" style="18" customWidth="1"/>
    <col min="3339" max="3339" width="11.21875" style="18" customWidth="1"/>
    <col min="3340" max="3344" width="9" style="18"/>
    <col min="3345" max="3346" width="9.109375" style="18" customWidth="1"/>
    <col min="3347" max="3347" width="9.44140625" style="18" customWidth="1"/>
    <col min="3348" max="3348" width="9" style="18"/>
    <col min="3349" max="3352" width="9.109375" style="18" customWidth="1"/>
    <col min="3353" max="3584" width="9" style="18"/>
    <col min="3585" max="3585" width="4.6640625" style="18" customWidth="1"/>
    <col min="3586" max="3586" width="6.33203125" style="18" customWidth="1"/>
    <col min="3587" max="3587" width="7" style="18" customWidth="1"/>
    <col min="3588" max="3588" width="10.21875" style="18" customWidth="1"/>
    <col min="3589" max="3589" width="9.88671875" style="18" customWidth="1"/>
    <col min="3590" max="3590" width="11.6640625" style="18" customWidth="1"/>
    <col min="3591" max="3593" width="9" style="18"/>
    <col min="3594" max="3594" width="9.33203125" style="18" customWidth="1"/>
    <col min="3595" max="3595" width="11.21875" style="18" customWidth="1"/>
    <col min="3596" max="3600" width="9" style="18"/>
    <col min="3601" max="3602" width="9.109375" style="18" customWidth="1"/>
    <col min="3603" max="3603" width="9.44140625" style="18" customWidth="1"/>
    <col min="3604" max="3604" width="9" style="18"/>
    <col min="3605" max="3608" width="9.109375" style="18" customWidth="1"/>
    <col min="3609" max="3840" width="9" style="18"/>
    <col min="3841" max="3841" width="4.6640625" style="18" customWidth="1"/>
    <col min="3842" max="3842" width="6.33203125" style="18" customWidth="1"/>
    <col min="3843" max="3843" width="7" style="18" customWidth="1"/>
    <col min="3844" max="3844" width="10.21875" style="18" customWidth="1"/>
    <col min="3845" max="3845" width="9.88671875" style="18" customWidth="1"/>
    <col min="3846" max="3846" width="11.6640625" style="18" customWidth="1"/>
    <col min="3847" max="3849" width="9" style="18"/>
    <col min="3850" max="3850" width="9.33203125" style="18" customWidth="1"/>
    <col min="3851" max="3851" width="11.21875" style="18" customWidth="1"/>
    <col min="3852" max="3856" width="9" style="18"/>
    <col min="3857" max="3858" width="9.109375" style="18" customWidth="1"/>
    <col min="3859" max="3859" width="9.44140625" style="18" customWidth="1"/>
    <col min="3860" max="3860" width="9" style="18"/>
    <col min="3861" max="3864" width="9.109375" style="18" customWidth="1"/>
    <col min="3865" max="4096" width="9" style="18"/>
    <col min="4097" max="4097" width="4.6640625" style="18" customWidth="1"/>
    <col min="4098" max="4098" width="6.33203125" style="18" customWidth="1"/>
    <col min="4099" max="4099" width="7" style="18" customWidth="1"/>
    <col min="4100" max="4100" width="10.21875" style="18" customWidth="1"/>
    <col min="4101" max="4101" width="9.88671875" style="18" customWidth="1"/>
    <col min="4102" max="4102" width="11.6640625" style="18" customWidth="1"/>
    <col min="4103" max="4105" width="9" style="18"/>
    <col min="4106" max="4106" width="9.33203125" style="18" customWidth="1"/>
    <col min="4107" max="4107" width="11.21875" style="18" customWidth="1"/>
    <col min="4108" max="4112" width="9" style="18"/>
    <col min="4113" max="4114" width="9.109375" style="18" customWidth="1"/>
    <col min="4115" max="4115" width="9.44140625" style="18" customWidth="1"/>
    <col min="4116" max="4116" width="9" style="18"/>
    <col min="4117" max="4120" width="9.109375" style="18" customWidth="1"/>
    <col min="4121" max="4352" width="9" style="18"/>
    <col min="4353" max="4353" width="4.6640625" style="18" customWidth="1"/>
    <col min="4354" max="4354" width="6.33203125" style="18" customWidth="1"/>
    <col min="4355" max="4355" width="7" style="18" customWidth="1"/>
    <col min="4356" max="4356" width="10.21875" style="18" customWidth="1"/>
    <col min="4357" max="4357" width="9.88671875" style="18" customWidth="1"/>
    <col min="4358" max="4358" width="11.6640625" style="18" customWidth="1"/>
    <col min="4359" max="4361" width="9" style="18"/>
    <col min="4362" max="4362" width="9.33203125" style="18" customWidth="1"/>
    <col min="4363" max="4363" width="11.21875" style="18" customWidth="1"/>
    <col min="4364" max="4368" width="9" style="18"/>
    <col min="4369" max="4370" width="9.109375" style="18" customWidth="1"/>
    <col min="4371" max="4371" width="9.44140625" style="18" customWidth="1"/>
    <col min="4372" max="4372" width="9" style="18"/>
    <col min="4373" max="4376" width="9.109375" style="18" customWidth="1"/>
    <col min="4377" max="4608" width="9" style="18"/>
    <col min="4609" max="4609" width="4.6640625" style="18" customWidth="1"/>
    <col min="4610" max="4610" width="6.33203125" style="18" customWidth="1"/>
    <col min="4611" max="4611" width="7" style="18" customWidth="1"/>
    <col min="4612" max="4612" width="10.21875" style="18" customWidth="1"/>
    <col min="4613" max="4613" width="9.88671875" style="18" customWidth="1"/>
    <col min="4614" max="4614" width="11.6640625" style="18" customWidth="1"/>
    <col min="4615" max="4617" width="9" style="18"/>
    <col min="4618" max="4618" width="9.33203125" style="18" customWidth="1"/>
    <col min="4619" max="4619" width="11.21875" style="18" customWidth="1"/>
    <col min="4620" max="4624" width="9" style="18"/>
    <col min="4625" max="4626" width="9.109375" style="18" customWidth="1"/>
    <col min="4627" max="4627" width="9.44140625" style="18" customWidth="1"/>
    <col min="4628" max="4628" width="9" style="18"/>
    <col min="4629" max="4632" width="9.109375" style="18" customWidth="1"/>
    <col min="4633" max="4864" width="9" style="18"/>
    <col min="4865" max="4865" width="4.6640625" style="18" customWidth="1"/>
    <col min="4866" max="4866" width="6.33203125" style="18" customWidth="1"/>
    <col min="4867" max="4867" width="7" style="18" customWidth="1"/>
    <col min="4868" max="4868" width="10.21875" style="18" customWidth="1"/>
    <col min="4869" max="4869" width="9.88671875" style="18" customWidth="1"/>
    <col min="4870" max="4870" width="11.6640625" style="18" customWidth="1"/>
    <col min="4871" max="4873" width="9" style="18"/>
    <col min="4874" max="4874" width="9.33203125" style="18" customWidth="1"/>
    <col min="4875" max="4875" width="11.21875" style="18" customWidth="1"/>
    <col min="4876" max="4880" width="9" style="18"/>
    <col min="4881" max="4882" width="9.109375" style="18" customWidth="1"/>
    <col min="4883" max="4883" width="9.44140625" style="18" customWidth="1"/>
    <col min="4884" max="4884" width="9" style="18"/>
    <col min="4885" max="4888" width="9.109375" style="18" customWidth="1"/>
    <col min="4889" max="5120" width="9" style="18"/>
    <col min="5121" max="5121" width="4.6640625" style="18" customWidth="1"/>
    <col min="5122" max="5122" width="6.33203125" style="18" customWidth="1"/>
    <col min="5123" max="5123" width="7" style="18" customWidth="1"/>
    <col min="5124" max="5124" width="10.21875" style="18" customWidth="1"/>
    <col min="5125" max="5125" width="9.88671875" style="18" customWidth="1"/>
    <col min="5126" max="5126" width="11.6640625" style="18" customWidth="1"/>
    <col min="5127" max="5129" width="9" style="18"/>
    <col min="5130" max="5130" width="9.33203125" style="18" customWidth="1"/>
    <col min="5131" max="5131" width="11.21875" style="18" customWidth="1"/>
    <col min="5132" max="5136" width="9" style="18"/>
    <col min="5137" max="5138" width="9.109375" style="18" customWidth="1"/>
    <col min="5139" max="5139" width="9.44140625" style="18" customWidth="1"/>
    <col min="5140" max="5140" width="9" style="18"/>
    <col min="5141" max="5144" width="9.109375" style="18" customWidth="1"/>
    <col min="5145" max="5376" width="9" style="18"/>
    <col min="5377" max="5377" width="4.6640625" style="18" customWidth="1"/>
    <col min="5378" max="5378" width="6.33203125" style="18" customWidth="1"/>
    <col min="5379" max="5379" width="7" style="18" customWidth="1"/>
    <col min="5380" max="5380" width="10.21875" style="18" customWidth="1"/>
    <col min="5381" max="5381" width="9.88671875" style="18" customWidth="1"/>
    <col min="5382" max="5382" width="11.6640625" style="18" customWidth="1"/>
    <col min="5383" max="5385" width="9" style="18"/>
    <col min="5386" max="5386" width="9.33203125" style="18" customWidth="1"/>
    <col min="5387" max="5387" width="11.21875" style="18" customWidth="1"/>
    <col min="5388" max="5392" width="9" style="18"/>
    <col min="5393" max="5394" width="9.109375" style="18" customWidth="1"/>
    <col min="5395" max="5395" width="9.44140625" style="18" customWidth="1"/>
    <col min="5396" max="5396" width="9" style="18"/>
    <col min="5397" max="5400" width="9.109375" style="18" customWidth="1"/>
    <col min="5401" max="5632" width="9" style="18"/>
    <col min="5633" max="5633" width="4.6640625" style="18" customWidth="1"/>
    <col min="5634" max="5634" width="6.33203125" style="18" customWidth="1"/>
    <col min="5635" max="5635" width="7" style="18" customWidth="1"/>
    <col min="5636" max="5636" width="10.21875" style="18" customWidth="1"/>
    <col min="5637" max="5637" width="9.88671875" style="18" customWidth="1"/>
    <col min="5638" max="5638" width="11.6640625" style="18" customWidth="1"/>
    <col min="5639" max="5641" width="9" style="18"/>
    <col min="5642" max="5642" width="9.33203125" style="18" customWidth="1"/>
    <col min="5643" max="5643" width="11.21875" style="18" customWidth="1"/>
    <col min="5644" max="5648" width="9" style="18"/>
    <col min="5649" max="5650" width="9.109375" style="18" customWidth="1"/>
    <col min="5651" max="5651" width="9.44140625" style="18" customWidth="1"/>
    <col min="5652" max="5652" width="9" style="18"/>
    <col min="5653" max="5656" width="9.109375" style="18" customWidth="1"/>
    <col min="5657" max="5888" width="9" style="18"/>
    <col min="5889" max="5889" width="4.6640625" style="18" customWidth="1"/>
    <col min="5890" max="5890" width="6.33203125" style="18" customWidth="1"/>
    <col min="5891" max="5891" width="7" style="18" customWidth="1"/>
    <col min="5892" max="5892" width="10.21875" style="18" customWidth="1"/>
    <col min="5893" max="5893" width="9.88671875" style="18" customWidth="1"/>
    <col min="5894" max="5894" width="11.6640625" style="18" customWidth="1"/>
    <col min="5895" max="5897" width="9" style="18"/>
    <col min="5898" max="5898" width="9.33203125" style="18" customWidth="1"/>
    <col min="5899" max="5899" width="11.21875" style="18" customWidth="1"/>
    <col min="5900" max="5904" width="9" style="18"/>
    <col min="5905" max="5906" width="9.109375" style="18" customWidth="1"/>
    <col min="5907" max="5907" width="9.44140625" style="18" customWidth="1"/>
    <col min="5908" max="5908" width="9" style="18"/>
    <col min="5909" max="5912" width="9.109375" style="18" customWidth="1"/>
    <col min="5913" max="6144" width="9" style="18"/>
    <col min="6145" max="6145" width="4.6640625" style="18" customWidth="1"/>
    <col min="6146" max="6146" width="6.33203125" style="18" customWidth="1"/>
    <col min="6147" max="6147" width="7" style="18" customWidth="1"/>
    <col min="6148" max="6148" width="10.21875" style="18" customWidth="1"/>
    <col min="6149" max="6149" width="9.88671875" style="18" customWidth="1"/>
    <col min="6150" max="6150" width="11.6640625" style="18" customWidth="1"/>
    <col min="6151" max="6153" width="9" style="18"/>
    <col min="6154" max="6154" width="9.33203125" style="18" customWidth="1"/>
    <col min="6155" max="6155" width="11.21875" style="18" customWidth="1"/>
    <col min="6156" max="6160" width="9" style="18"/>
    <col min="6161" max="6162" width="9.109375" style="18" customWidth="1"/>
    <col min="6163" max="6163" width="9.44140625" style="18" customWidth="1"/>
    <col min="6164" max="6164" width="9" style="18"/>
    <col min="6165" max="6168" width="9.109375" style="18" customWidth="1"/>
    <col min="6169" max="6400" width="9" style="18"/>
    <col min="6401" max="6401" width="4.6640625" style="18" customWidth="1"/>
    <col min="6402" max="6402" width="6.33203125" style="18" customWidth="1"/>
    <col min="6403" max="6403" width="7" style="18" customWidth="1"/>
    <col min="6404" max="6404" width="10.21875" style="18" customWidth="1"/>
    <col min="6405" max="6405" width="9.88671875" style="18" customWidth="1"/>
    <col min="6406" max="6406" width="11.6640625" style="18" customWidth="1"/>
    <col min="6407" max="6409" width="9" style="18"/>
    <col min="6410" max="6410" width="9.33203125" style="18" customWidth="1"/>
    <col min="6411" max="6411" width="11.21875" style="18" customWidth="1"/>
    <col min="6412" max="6416" width="9" style="18"/>
    <col min="6417" max="6418" width="9.109375" style="18" customWidth="1"/>
    <col min="6419" max="6419" width="9.44140625" style="18" customWidth="1"/>
    <col min="6420" max="6420" width="9" style="18"/>
    <col min="6421" max="6424" width="9.109375" style="18" customWidth="1"/>
    <col min="6425" max="6656" width="9" style="18"/>
    <col min="6657" max="6657" width="4.6640625" style="18" customWidth="1"/>
    <col min="6658" max="6658" width="6.33203125" style="18" customWidth="1"/>
    <col min="6659" max="6659" width="7" style="18" customWidth="1"/>
    <col min="6660" max="6660" width="10.21875" style="18" customWidth="1"/>
    <col min="6661" max="6661" width="9.88671875" style="18" customWidth="1"/>
    <col min="6662" max="6662" width="11.6640625" style="18" customWidth="1"/>
    <col min="6663" max="6665" width="9" style="18"/>
    <col min="6666" max="6666" width="9.33203125" style="18" customWidth="1"/>
    <col min="6667" max="6667" width="11.21875" style="18" customWidth="1"/>
    <col min="6668" max="6672" width="9" style="18"/>
    <col min="6673" max="6674" width="9.109375" style="18" customWidth="1"/>
    <col min="6675" max="6675" width="9.44140625" style="18" customWidth="1"/>
    <col min="6676" max="6676" width="9" style="18"/>
    <col min="6677" max="6680" width="9.109375" style="18" customWidth="1"/>
    <col min="6681" max="6912" width="9" style="18"/>
    <col min="6913" max="6913" width="4.6640625" style="18" customWidth="1"/>
    <col min="6914" max="6914" width="6.33203125" style="18" customWidth="1"/>
    <col min="6915" max="6915" width="7" style="18" customWidth="1"/>
    <col min="6916" max="6916" width="10.21875" style="18" customWidth="1"/>
    <col min="6917" max="6917" width="9.88671875" style="18" customWidth="1"/>
    <col min="6918" max="6918" width="11.6640625" style="18" customWidth="1"/>
    <col min="6919" max="6921" width="9" style="18"/>
    <col min="6922" max="6922" width="9.33203125" style="18" customWidth="1"/>
    <col min="6923" max="6923" width="11.21875" style="18" customWidth="1"/>
    <col min="6924" max="6928" width="9" style="18"/>
    <col min="6929" max="6930" width="9.109375" style="18" customWidth="1"/>
    <col min="6931" max="6931" width="9.44140625" style="18" customWidth="1"/>
    <col min="6932" max="6932" width="9" style="18"/>
    <col min="6933" max="6936" width="9.109375" style="18" customWidth="1"/>
    <col min="6937" max="7168" width="9" style="18"/>
    <col min="7169" max="7169" width="4.6640625" style="18" customWidth="1"/>
    <col min="7170" max="7170" width="6.33203125" style="18" customWidth="1"/>
    <col min="7171" max="7171" width="7" style="18" customWidth="1"/>
    <col min="7172" max="7172" width="10.21875" style="18" customWidth="1"/>
    <col min="7173" max="7173" width="9.88671875" style="18" customWidth="1"/>
    <col min="7174" max="7174" width="11.6640625" style="18" customWidth="1"/>
    <col min="7175" max="7177" width="9" style="18"/>
    <col min="7178" max="7178" width="9.33203125" style="18" customWidth="1"/>
    <col min="7179" max="7179" width="11.21875" style="18" customWidth="1"/>
    <col min="7180" max="7184" width="9" style="18"/>
    <col min="7185" max="7186" width="9.109375" style="18" customWidth="1"/>
    <col min="7187" max="7187" width="9.44140625" style="18" customWidth="1"/>
    <col min="7188" max="7188" width="9" style="18"/>
    <col min="7189" max="7192" width="9.109375" style="18" customWidth="1"/>
    <col min="7193" max="7424" width="9" style="18"/>
    <col min="7425" max="7425" width="4.6640625" style="18" customWidth="1"/>
    <col min="7426" max="7426" width="6.33203125" style="18" customWidth="1"/>
    <col min="7427" max="7427" width="7" style="18" customWidth="1"/>
    <col min="7428" max="7428" width="10.21875" style="18" customWidth="1"/>
    <col min="7429" max="7429" width="9.88671875" style="18" customWidth="1"/>
    <col min="7430" max="7430" width="11.6640625" style="18" customWidth="1"/>
    <col min="7431" max="7433" width="9" style="18"/>
    <col min="7434" max="7434" width="9.33203125" style="18" customWidth="1"/>
    <col min="7435" max="7435" width="11.21875" style="18" customWidth="1"/>
    <col min="7436" max="7440" width="9" style="18"/>
    <col min="7441" max="7442" width="9.109375" style="18" customWidth="1"/>
    <col min="7443" max="7443" width="9.44140625" style="18" customWidth="1"/>
    <col min="7444" max="7444" width="9" style="18"/>
    <col min="7445" max="7448" width="9.109375" style="18" customWidth="1"/>
    <col min="7449" max="7680" width="9" style="18"/>
    <col min="7681" max="7681" width="4.6640625" style="18" customWidth="1"/>
    <col min="7682" max="7682" width="6.33203125" style="18" customWidth="1"/>
    <col min="7683" max="7683" width="7" style="18" customWidth="1"/>
    <col min="7684" max="7684" width="10.21875" style="18" customWidth="1"/>
    <col min="7685" max="7685" width="9.88671875" style="18" customWidth="1"/>
    <col min="7686" max="7686" width="11.6640625" style="18" customWidth="1"/>
    <col min="7687" max="7689" width="9" style="18"/>
    <col min="7690" max="7690" width="9.33203125" style="18" customWidth="1"/>
    <col min="7691" max="7691" width="11.21875" style="18" customWidth="1"/>
    <col min="7692" max="7696" width="9" style="18"/>
    <col min="7697" max="7698" width="9.109375" style="18" customWidth="1"/>
    <col min="7699" max="7699" width="9.44140625" style="18" customWidth="1"/>
    <col min="7700" max="7700" width="9" style="18"/>
    <col min="7701" max="7704" width="9.109375" style="18" customWidth="1"/>
    <col min="7705" max="7936" width="9" style="18"/>
    <col min="7937" max="7937" width="4.6640625" style="18" customWidth="1"/>
    <col min="7938" max="7938" width="6.33203125" style="18" customWidth="1"/>
    <col min="7939" max="7939" width="7" style="18" customWidth="1"/>
    <col min="7940" max="7940" width="10.21875" style="18" customWidth="1"/>
    <col min="7941" max="7941" width="9.88671875" style="18" customWidth="1"/>
    <col min="7942" max="7942" width="11.6640625" style="18" customWidth="1"/>
    <col min="7943" max="7945" width="9" style="18"/>
    <col min="7946" max="7946" width="9.33203125" style="18" customWidth="1"/>
    <col min="7947" max="7947" width="11.21875" style="18" customWidth="1"/>
    <col min="7948" max="7952" width="9" style="18"/>
    <col min="7953" max="7954" width="9.109375" style="18" customWidth="1"/>
    <col min="7955" max="7955" width="9.44140625" style="18" customWidth="1"/>
    <col min="7956" max="7956" width="9" style="18"/>
    <col min="7957" max="7960" width="9.109375" style="18" customWidth="1"/>
    <col min="7961" max="8192" width="9" style="18"/>
    <col min="8193" max="8193" width="4.6640625" style="18" customWidth="1"/>
    <col min="8194" max="8194" width="6.33203125" style="18" customWidth="1"/>
    <col min="8195" max="8195" width="7" style="18" customWidth="1"/>
    <col min="8196" max="8196" width="10.21875" style="18" customWidth="1"/>
    <col min="8197" max="8197" width="9.88671875" style="18" customWidth="1"/>
    <col min="8198" max="8198" width="11.6640625" style="18" customWidth="1"/>
    <col min="8199" max="8201" width="9" style="18"/>
    <col min="8202" max="8202" width="9.33203125" style="18" customWidth="1"/>
    <col min="8203" max="8203" width="11.21875" style="18" customWidth="1"/>
    <col min="8204" max="8208" width="9" style="18"/>
    <col min="8209" max="8210" width="9.109375" style="18" customWidth="1"/>
    <col min="8211" max="8211" width="9.44140625" style="18" customWidth="1"/>
    <col min="8212" max="8212" width="9" style="18"/>
    <col min="8213" max="8216" width="9.109375" style="18" customWidth="1"/>
    <col min="8217" max="8448" width="9" style="18"/>
    <col min="8449" max="8449" width="4.6640625" style="18" customWidth="1"/>
    <col min="8450" max="8450" width="6.33203125" style="18" customWidth="1"/>
    <col min="8451" max="8451" width="7" style="18" customWidth="1"/>
    <col min="8452" max="8452" width="10.21875" style="18" customWidth="1"/>
    <col min="8453" max="8453" width="9.88671875" style="18" customWidth="1"/>
    <col min="8454" max="8454" width="11.6640625" style="18" customWidth="1"/>
    <col min="8455" max="8457" width="9" style="18"/>
    <col min="8458" max="8458" width="9.33203125" style="18" customWidth="1"/>
    <col min="8459" max="8459" width="11.21875" style="18" customWidth="1"/>
    <col min="8460" max="8464" width="9" style="18"/>
    <col min="8465" max="8466" width="9.109375" style="18" customWidth="1"/>
    <col min="8467" max="8467" width="9.44140625" style="18" customWidth="1"/>
    <col min="8468" max="8468" width="9" style="18"/>
    <col min="8469" max="8472" width="9.109375" style="18" customWidth="1"/>
    <col min="8473" max="8704" width="9" style="18"/>
    <col min="8705" max="8705" width="4.6640625" style="18" customWidth="1"/>
    <col min="8706" max="8706" width="6.33203125" style="18" customWidth="1"/>
    <col min="8707" max="8707" width="7" style="18" customWidth="1"/>
    <col min="8708" max="8708" width="10.21875" style="18" customWidth="1"/>
    <col min="8709" max="8709" width="9.88671875" style="18" customWidth="1"/>
    <col min="8710" max="8710" width="11.6640625" style="18" customWidth="1"/>
    <col min="8711" max="8713" width="9" style="18"/>
    <col min="8714" max="8714" width="9.33203125" style="18" customWidth="1"/>
    <col min="8715" max="8715" width="11.21875" style="18" customWidth="1"/>
    <col min="8716" max="8720" width="9" style="18"/>
    <col min="8721" max="8722" width="9.109375" style="18" customWidth="1"/>
    <col min="8723" max="8723" width="9.44140625" style="18" customWidth="1"/>
    <col min="8724" max="8724" width="9" style="18"/>
    <col min="8725" max="8728" width="9.109375" style="18" customWidth="1"/>
    <col min="8729" max="8960" width="9" style="18"/>
    <col min="8961" max="8961" width="4.6640625" style="18" customWidth="1"/>
    <col min="8962" max="8962" width="6.33203125" style="18" customWidth="1"/>
    <col min="8963" max="8963" width="7" style="18" customWidth="1"/>
    <col min="8964" max="8964" width="10.21875" style="18" customWidth="1"/>
    <col min="8965" max="8965" width="9.88671875" style="18" customWidth="1"/>
    <col min="8966" max="8966" width="11.6640625" style="18" customWidth="1"/>
    <col min="8967" max="8969" width="9" style="18"/>
    <col min="8970" max="8970" width="9.33203125" style="18" customWidth="1"/>
    <col min="8971" max="8971" width="11.21875" style="18" customWidth="1"/>
    <col min="8972" max="8976" width="9" style="18"/>
    <col min="8977" max="8978" width="9.109375" style="18" customWidth="1"/>
    <col min="8979" max="8979" width="9.44140625" style="18" customWidth="1"/>
    <col min="8980" max="8980" width="9" style="18"/>
    <col min="8981" max="8984" width="9.109375" style="18" customWidth="1"/>
    <col min="8985" max="9216" width="9" style="18"/>
    <col min="9217" max="9217" width="4.6640625" style="18" customWidth="1"/>
    <col min="9218" max="9218" width="6.33203125" style="18" customWidth="1"/>
    <col min="9219" max="9219" width="7" style="18" customWidth="1"/>
    <col min="9220" max="9220" width="10.21875" style="18" customWidth="1"/>
    <col min="9221" max="9221" width="9.88671875" style="18" customWidth="1"/>
    <col min="9222" max="9222" width="11.6640625" style="18" customWidth="1"/>
    <col min="9223" max="9225" width="9" style="18"/>
    <col min="9226" max="9226" width="9.33203125" style="18" customWidth="1"/>
    <col min="9227" max="9227" width="11.21875" style="18" customWidth="1"/>
    <col min="9228" max="9232" width="9" style="18"/>
    <col min="9233" max="9234" width="9.109375" style="18" customWidth="1"/>
    <col min="9235" max="9235" width="9.44140625" style="18" customWidth="1"/>
    <col min="9236" max="9236" width="9" style="18"/>
    <col min="9237" max="9240" width="9.109375" style="18" customWidth="1"/>
    <col min="9241" max="9472" width="9" style="18"/>
    <col min="9473" max="9473" width="4.6640625" style="18" customWidth="1"/>
    <col min="9474" max="9474" width="6.33203125" style="18" customWidth="1"/>
    <col min="9475" max="9475" width="7" style="18" customWidth="1"/>
    <col min="9476" max="9476" width="10.21875" style="18" customWidth="1"/>
    <col min="9477" max="9477" width="9.88671875" style="18" customWidth="1"/>
    <col min="9478" max="9478" width="11.6640625" style="18" customWidth="1"/>
    <col min="9479" max="9481" width="9" style="18"/>
    <col min="9482" max="9482" width="9.33203125" style="18" customWidth="1"/>
    <col min="9483" max="9483" width="11.21875" style="18" customWidth="1"/>
    <col min="9484" max="9488" width="9" style="18"/>
    <col min="9489" max="9490" width="9.109375" style="18" customWidth="1"/>
    <col min="9491" max="9491" width="9.44140625" style="18" customWidth="1"/>
    <col min="9492" max="9492" width="9" style="18"/>
    <col min="9493" max="9496" width="9.109375" style="18" customWidth="1"/>
    <col min="9497" max="9728" width="9" style="18"/>
    <col min="9729" max="9729" width="4.6640625" style="18" customWidth="1"/>
    <col min="9730" max="9730" width="6.33203125" style="18" customWidth="1"/>
    <col min="9731" max="9731" width="7" style="18" customWidth="1"/>
    <col min="9732" max="9732" width="10.21875" style="18" customWidth="1"/>
    <col min="9733" max="9733" width="9.88671875" style="18" customWidth="1"/>
    <col min="9734" max="9734" width="11.6640625" style="18" customWidth="1"/>
    <col min="9735" max="9737" width="9" style="18"/>
    <col min="9738" max="9738" width="9.33203125" style="18" customWidth="1"/>
    <col min="9739" max="9739" width="11.21875" style="18" customWidth="1"/>
    <col min="9740" max="9744" width="9" style="18"/>
    <col min="9745" max="9746" width="9.109375" style="18" customWidth="1"/>
    <col min="9747" max="9747" width="9.44140625" style="18" customWidth="1"/>
    <col min="9748" max="9748" width="9" style="18"/>
    <col min="9749" max="9752" width="9.109375" style="18" customWidth="1"/>
    <col min="9753" max="9984" width="9" style="18"/>
    <col min="9985" max="9985" width="4.6640625" style="18" customWidth="1"/>
    <col min="9986" max="9986" width="6.33203125" style="18" customWidth="1"/>
    <col min="9987" max="9987" width="7" style="18" customWidth="1"/>
    <col min="9988" max="9988" width="10.21875" style="18" customWidth="1"/>
    <col min="9989" max="9989" width="9.88671875" style="18" customWidth="1"/>
    <col min="9990" max="9990" width="11.6640625" style="18" customWidth="1"/>
    <col min="9991" max="9993" width="9" style="18"/>
    <col min="9994" max="9994" width="9.33203125" style="18" customWidth="1"/>
    <col min="9995" max="9995" width="11.21875" style="18" customWidth="1"/>
    <col min="9996" max="10000" width="9" style="18"/>
    <col min="10001" max="10002" width="9.109375" style="18" customWidth="1"/>
    <col min="10003" max="10003" width="9.44140625" style="18" customWidth="1"/>
    <col min="10004" max="10004" width="9" style="18"/>
    <col min="10005" max="10008" width="9.109375" style="18" customWidth="1"/>
    <col min="10009" max="10240" width="9" style="18"/>
    <col min="10241" max="10241" width="4.6640625" style="18" customWidth="1"/>
    <col min="10242" max="10242" width="6.33203125" style="18" customWidth="1"/>
    <col min="10243" max="10243" width="7" style="18" customWidth="1"/>
    <col min="10244" max="10244" width="10.21875" style="18" customWidth="1"/>
    <col min="10245" max="10245" width="9.88671875" style="18" customWidth="1"/>
    <col min="10246" max="10246" width="11.6640625" style="18" customWidth="1"/>
    <col min="10247" max="10249" width="9" style="18"/>
    <col min="10250" max="10250" width="9.33203125" style="18" customWidth="1"/>
    <col min="10251" max="10251" width="11.21875" style="18" customWidth="1"/>
    <col min="10252" max="10256" width="9" style="18"/>
    <col min="10257" max="10258" width="9.109375" style="18" customWidth="1"/>
    <col min="10259" max="10259" width="9.44140625" style="18" customWidth="1"/>
    <col min="10260" max="10260" width="9" style="18"/>
    <col min="10261" max="10264" width="9.109375" style="18" customWidth="1"/>
    <col min="10265" max="10496" width="9" style="18"/>
    <col min="10497" max="10497" width="4.6640625" style="18" customWidth="1"/>
    <col min="10498" max="10498" width="6.33203125" style="18" customWidth="1"/>
    <col min="10499" max="10499" width="7" style="18" customWidth="1"/>
    <col min="10500" max="10500" width="10.21875" style="18" customWidth="1"/>
    <col min="10501" max="10501" width="9.88671875" style="18" customWidth="1"/>
    <col min="10502" max="10502" width="11.6640625" style="18" customWidth="1"/>
    <col min="10503" max="10505" width="9" style="18"/>
    <col min="10506" max="10506" width="9.33203125" style="18" customWidth="1"/>
    <col min="10507" max="10507" width="11.21875" style="18" customWidth="1"/>
    <col min="10508" max="10512" width="9" style="18"/>
    <col min="10513" max="10514" width="9.109375" style="18" customWidth="1"/>
    <col min="10515" max="10515" width="9.44140625" style="18" customWidth="1"/>
    <col min="10516" max="10516" width="9" style="18"/>
    <col min="10517" max="10520" width="9.109375" style="18" customWidth="1"/>
    <col min="10521" max="10752" width="9" style="18"/>
    <col min="10753" max="10753" width="4.6640625" style="18" customWidth="1"/>
    <col min="10754" max="10754" width="6.33203125" style="18" customWidth="1"/>
    <col min="10755" max="10755" width="7" style="18" customWidth="1"/>
    <col min="10756" max="10756" width="10.21875" style="18" customWidth="1"/>
    <col min="10757" max="10757" width="9.88671875" style="18" customWidth="1"/>
    <col min="10758" max="10758" width="11.6640625" style="18" customWidth="1"/>
    <col min="10759" max="10761" width="9" style="18"/>
    <col min="10762" max="10762" width="9.33203125" style="18" customWidth="1"/>
    <col min="10763" max="10763" width="11.21875" style="18" customWidth="1"/>
    <col min="10764" max="10768" width="9" style="18"/>
    <col min="10769" max="10770" width="9.109375" style="18" customWidth="1"/>
    <col min="10771" max="10771" width="9.44140625" style="18" customWidth="1"/>
    <col min="10772" max="10772" width="9" style="18"/>
    <col min="10773" max="10776" width="9.109375" style="18" customWidth="1"/>
    <col min="10777" max="11008" width="9" style="18"/>
    <col min="11009" max="11009" width="4.6640625" style="18" customWidth="1"/>
    <col min="11010" max="11010" width="6.33203125" style="18" customWidth="1"/>
    <col min="11011" max="11011" width="7" style="18" customWidth="1"/>
    <col min="11012" max="11012" width="10.21875" style="18" customWidth="1"/>
    <col min="11013" max="11013" width="9.88671875" style="18" customWidth="1"/>
    <col min="11014" max="11014" width="11.6640625" style="18" customWidth="1"/>
    <col min="11015" max="11017" width="9" style="18"/>
    <col min="11018" max="11018" width="9.33203125" style="18" customWidth="1"/>
    <col min="11019" max="11019" width="11.21875" style="18" customWidth="1"/>
    <col min="11020" max="11024" width="9" style="18"/>
    <col min="11025" max="11026" width="9.109375" style="18" customWidth="1"/>
    <col min="11027" max="11027" width="9.44140625" style="18" customWidth="1"/>
    <col min="11028" max="11028" width="9" style="18"/>
    <col min="11029" max="11032" width="9.109375" style="18" customWidth="1"/>
    <col min="11033" max="11264" width="9" style="18"/>
    <col min="11265" max="11265" width="4.6640625" style="18" customWidth="1"/>
    <col min="11266" max="11266" width="6.33203125" style="18" customWidth="1"/>
    <col min="11267" max="11267" width="7" style="18" customWidth="1"/>
    <col min="11268" max="11268" width="10.21875" style="18" customWidth="1"/>
    <col min="11269" max="11269" width="9.88671875" style="18" customWidth="1"/>
    <col min="11270" max="11270" width="11.6640625" style="18" customWidth="1"/>
    <col min="11271" max="11273" width="9" style="18"/>
    <col min="11274" max="11274" width="9.33203125" style="18" customWidth="1"/>
    <col min="11275" max="11275" width="11.21875" style="18" customWidth="1"/>
    <col min="11276" max="11280" width="9" style="18"/>
    <col min="11281" max="11282" width="9.109375" style="18" customWidth="1"/>
    <col min="11283" max="11283" width="9.44140625" style="18" customWidth="1"/>
    <col min="11284" max="11284" width="9" style="18"/>
    <col min="11285" max="11288" width="9.109375" style="18" customWidth="1"/>
    <col min="11289" max="11520" width="9" style="18"/>
    <col min="11521" max="11521" width="4.6640625" style="18" customWidth="1"/>
    <col min="11522" max="11522" width="6.33203125" style="18" customWidth="1"/>
    <col min="11523" max="11523" width="7" style="18" customWidth="1"/>
    <col min="11524" max="11524" width="10.21875" style="18" customWidth="1"/>
    <col min="11525" max="11525" width="9.88671875" style="18" customWidth="1"/>
    <col min="11526" max="11526" width="11.6640625" style="18" customWidth="1"/>
    <col min="11527" max="11529" width="9" style="18"/>
    <col min="11530" max="11530" width="9.33203125" style="18" customWidth="1"/>
    <col min="11531" max="11531" width="11.21875" style="18" customWidth="1"/>
    <col min="11532" max="11536" width="9" style="18"/>
    <col min="11537" max="11538" width="9.109375" style="18" customWidth="1"/>
    <col min="11539" max="11539" width="9.44140625" style="18" customWidth="1"/>
    <col min="11540" max="11540" width="9" style="18"/>
    <col min="11541" max="11544" width="9.109375" style="18" customWidth="1"/>
    <col min="11545" max="11776" width="9" style="18"/>
    <col min="11777" max="11777" width="4.6640625" style="18" customWidth="1"/>
    <col min="11778" max="11778" width="6.33203125" style="18" customWidth="1"/>
    <col min="11779" max="11779" width="7" style="18" customWidth="1"/>
    <col min="11780" max="11780" width="10.21875" style="18" customWidth="1"/>
    <col min="11781" max="11781" width="9.88671875" style="18" customWidth="1"/>
    <col min="11782" max="11782" width="11.6640625" style="18" customWidth="1"/>
    <col min="11783" max="11785" width="9" style="18"/>
    <col min="11786" max="11786" width="9.33203125" style="18" customWidth="1"/>
    <col min="11787" max="11787" width="11.21875" style="18" customWidth="1"/>
    <col min="11788" max="11792" width="9" style="18"/>
    <col min="11793" max="11794" width="9.109375" style="18" customWidth="1"/>
    <col min="11795" max="11795" width="9.44140625" style="18" customWidth="1"/>
    <col min="11796" max="11796" width="9" style="18"/>
    <col min="11797" max="11800" width="9.109375" style="18" customWidth="1"/>
    <col min="11801" max="12032" width="9" style="18"/>
    <col min="12033" max="12033" width="4.6640625" style="18" customWidth="1"/>
    <col min="12034" max="12034" width="6.33203125" style="18" customWidth="1"/>
    <col min="12035" max="12035" width="7" style="18" customWidth="1"/>
    <col min="12036" max="12036" width="10.21875" style="18" customWidth="1"/>
    <col min="12037" max="12037" width="9.88671875" style="18" customWidth="1"/>
    <col min="12038" max="12038" width="11.6640625" style="18" customWidth="1"/>
    <col min="12039" max="12041" width="9" style="18"/>
    <col min="12042" max="12042" width="9.33203125" style="18" customWidth="1"/>
    <col min="12043" max="12043" width="11.21875" style="18" customWidth="1"/>
    <col min="12044" max="12048" width="9" style="18"/>
    <col min="12049" max="12050" width="9.109375" style="18" customWidth="1"/>
    <col min="12051" max="12051" width="9.44140625" style="18" customWidth="1"/>
    <col min="12052" max="12052" width="9" style="18"/>
    <col min="12053" max="12056" width="9.109375" style="18" customWidth="1"/>
    <col min="12057" max="12288" width="9" style="18"/>
    <col min="12289" max="12289" width="4.6640625" style="18" customWidth="1"/>
    <col min="12290" max="12290" width="6.33203125" style="18" customWidth="1"/>
    <col min="12291" max="12291" width="7" style="18" customWidth="1"/>
    <col min="12292" max="12292" width="10.21875" style="18" customWidth="1"/>
    <col min="12293" max="12293" width="9.88671875" style="18" customWidth="1"/>
    <col min="12294" max="12294" width="11.6640625" style="18" customWidth="1"/>
    <col min="12295" max="12297" width="9" style="18"/>
    <col min="12298" max="12298" width="9.33203125" style="18" customWidth="1"/>
    <col min="12299" max="12299" width="11.21875" style="18" customWidth="1"/>
    <col min="12300" max="12304" width="9" style="18"/>
    <col min="12305" max="12306" width="9.109375" style="18" customWidth="1"/>
    <col min="12307" max="12307" width="9.44140625" style="18" customWidth="1"/>
    <col min="12308" max="12308" width="9" style="18"/>
    <col min="12309" max="12312" width="9.109375" style="18" customWidth="1"/>
    <col min="12313" max="12544" width="9" style="18"/>
    <col min="12545" max="12545" width="4.6640625" style="18" customWidth="1"/>
    <col min="12546" max="12546" width="6.33203125" style="18" customWidth="1"/>
    <col min="12547" max="12547" width="7" style="18" customWidth="1"/>
    <col min="12548" max="12548" width="10.21875" style="18" customWidth="1"/>
    <col min="12549" max="12549" width="9.88671875" style="18" customWidth="1"/>
    <col min="12550" max="12550" width="11.6640625" style="18" customWidth="1"/>
    <col min="12551" max="12553" width="9" style="18"/>
    <col min="12554" max="12554" width="9.33203125" style="18" customWidth="1"/>
    <col min="12555" max="12555" width="11.21875" style="18" customWidth="1"/>
    <col min="12556" max="12560" width="9" style="18"/>
    <col min="12561" max="12562" width="9.109375" style="18" customWidth="1"/>
    <col min="12563" max="12563" width="9.44140625" style="18" customWidth="1"/>
    <col min="12564" max="12564" width="9" style="18"/>
    <col min="12565" max="12568" width="9.109375" style="18" customWidth="1"/>
    <col min="12569" max="12800" width="9" style="18"/>
    <col min="12801" max="12801" width="4.6640625" style="18" customWidth="1"/>
    <col min="12802" max="12802" width="6.33203125" style="18" customWidth="1"/>
    <col min="12803" max="12803" width="7" style="18" customWidth="1"/>
    <col min="12804" max="12804" width="10.21875" style="18" customWidth="1"/>
    <col min="12805" max="12805" width="9.88671875" style="18" customWidth="1"/>
    <col min="12806" max="12806" width="11.6640625" style="18" customWidth="1"/>
    <col min="12807" max="12809" width="9" style="18"/>
    <col min="12810" max="12810" width="9.33203125" style="18" customWidth="1"/>
    <col min="12811" max="12811" width="11.21875" style="18" customWidth="1"/>
    <col min="12812" max="12816" width="9" style="18"/>
    <col min="12817" max="12818" width="9.109375" style="18" customWidth="1"/>
    <col min="12819" max="12819" width="9.44140625" style="18" customWidth="1"/>
    <col min="12820" max="12820" width="9" style="18"/>
    <col min="12821" max="12824" width="9.109375" style="18" customWidth="1"/>
    <col min="12825" max="13056" width="9" style="18"/>
    <col min="13057" max="13057" width="4.6640625" style="18" customWidth="1"/>
    <col min="13058" max="13058" width="6.33203125" style="18" customWidth="1"/>
    <col min="13059" max="13059" width="7" style="18" customWidth="1"/>
    <col min="13060" max="13060" width="10.21875" style="18" customWidth="1"/>
    <col min="13061" max="13061" width="9.88671875" style="18" customWidth="1"/>
    <col min="13062" max="13062" width="11.6640625" style="18" customWidth="1"/>
    <col min="13063" max="13065" width="9" style="18"/>
    <col min="13066" max="13066" width="9.33203125" style="18" customWidth="1"/>
    <col min="13067" max="13067" width="11.21875" style="18" customWidth="1"/>
    <col min="13068" max="13072" width="9" style="18"/>
    <col min="13073" max="13074" width="9.109375" style="18" customWidth="1"/>
    <col min="13075" max="13075" width="9.44140625" style="18" customWidth="1"/>
    <col min="13076" max="13076" width="9" style="18"/>
    <col min="13077" max="13080" width="9.109375" style="18" customWidth="1"/>
    <col min="13081" max="13312" width="9" style="18"/>
    <col min="13313" max="13313" width="4.6640625" style="18" customWidth="1"/>
    <col min="13314" max="13314" width="6.33203125" style="18" customWidth="1"/>
    <col min="13315" max="13315" width="7" style="18" customWidth="1"/>
    <col min="13316" max="13316" width="10.21875" style="18" customWidth="1"/>
    <col min="13317" max="13317" width="9.88671875" style="18" customWidth="1"/>
    <col min="13318" max="13318" width="11.6640625" style="18" customWidth="1"/>
    <col min="13319" max="13321" width="9" style="18"/>
    <col min="13322" max="13322" width="9.33203125" style="18" customWidth="1"/>
    <col min="13323" max="13323" width="11.21875" style="18" customWidth="1"/>
    <col min="13324" max="13328" width="9" style="18"/>
    <col min="13329" max="13330" width="9.109375" style="18" customWidth="1"/>
    <col min="13331" max="13331" width="9.44140625" style="18" customWidth="1"/>
    <col min="13332" max="13332" width="9" style="18"/>
    <col min="13333" max="13336" width="9.109375" style="18" customWidth="1"/>
    <col min="13337" max="13568" width="9" style="18"/>
    <col min="13569" max="13569" width="4.6640625" style="18" customWidth="1"/>
    <col min="13570" max="13570" width="6.33203125" style="18" customWidth="1"/>
    <col min="13571" max="13571" width="7" style="18" customWidth="1"/>
    <col min="13572" max="13572" width="10.21875" style="18" customWidth="1"/>
    <col min="13573" max="13573" width="9.88671875" style="18" customWidth="1"/>
    <col min="13574" max="13574" width="11.6640625" style="18" customWidth="1"/>
    <col min="13575" max="13577" width="9" style="18"/>
    <col min="13578" max="13578" width="9.33203125" style="18" customWidth="1"/>
    <col min="13579" max="13579" width="11.21875" style="18" customWidth="1"/>
    <col min="13580" max="13584" width="9" style="18"/>
    <col min="13585" max="13586" width="9.109375" style="18" customWidth="1"/>
    <col min="13587" max="13587" width="9.44140625" style="18" customWidth="1"/>
    <col min="13588" max="13588" width="9" style="18"/>
    <col min="13589" max="13592" width="9.109375" style="18" customWidth="1"/>
    <col min="13593" max="13824" width="9" style="18"/>
    <col min="13825" max="13825" width="4.6640625" style="18" customWidth="1"/>
    <col min="13826" max="13826" width="6.33203125" style="18" customWidth="1"/>
    <col min="13827" max="13827" width="7" style="18" customWidth="1"/>
    <col min="13828" max="13828" width="10.21875" style="18" customWidth="1"/>
    <col min="13829" max="13829" width="9.88671875" style="18" customWidth="1"/>
    <col min="13830" max="13830" width="11.6640625" style="18" customWidth="1"/>
    <col min="13831" max="13833" width="9" style="18"/>
    <col min="13834" max="13834" width="9.33203125" style="18" customWidth="1"/>
    <col min="13835" max="13835" width="11.21875" style="18" customWidth="1"/>
    <col min="13836" max="13840" width="9" style="18"/>
    <col min="13841" max="13842" width="9.109375" style="18" customWidth="1"/>
    <col min="13843" max="13843" width="9.44140625" style="18" customWidth="1"/>
    <col min="13844" max="13844" width="9" style="18"/>
    <col min="13845" max="13848" width="9.109375" style="18" customWidth="1"/>
    <col min="13849" max="14080" width="9" style="18"/>
    <col min="14081" max="14081" width="4.6640625" style="18" customWidth="1"/>
    <col min="14082" max="14082" width="6.33203125" style="18" customWidth="1"/>
    <col min="14083" max="14083" width="7" style="18" customWidth="1"/>
    <col min="14084" max="14084" width="10.21875" style="18" customWidth="1"/>
    <col min="14085" max="14085" width="9.88671875" style="18" customWidth="1"/>
    <col min="14086" max="14086" width="11.6640625" style="18" customWidth="1"/>
    <col min="14087" max="14089" width="9" style="18"/>
    <col min="14090" max="14090" width="9.33203125" style="18" customWidth="1"/>
    <col min="14091" max="14091" width="11.21875" style="18" customWidth="1"/>
    <col min="14092" max="14096" width="9" style="18"/>
    <col min="14097" max="14098" width="9.109375" style="18" customWidth="1"/>
    <col min="14099" max="14099" width="9.44140625" style="18" customWidth="1"/>
    <col min="14100" max="14100" width="9" style="18"/>
    <col min="14101" max="14104" width="9.109375" style="18" customWidth="1"/>
    <col min="14105" max="14336" width="9" style="18"/>
    <col min="14337" max="14337" width="4.6640625" style="18" customWidth="1"/>
    <col min="14338" max="14338" width="6.33203125" style="18" customWidth="1"/>
    <col min="14339" max="14339" width="7" style="18" customWidth="1"/>
    <col min="14340" max="14340" width="10.21875" style="18" customWidth="1"/>
    <col min="14341" max="14341" width="9.88671875" style="18" customWidth="1"/>
    <col min="14342" max="14342" width="11.6640625" style="18" customWidth="1"/>
    <col min="14343" max="14345" width="9" style="18"/>
    <col min="14346" max="14346" width="9.33203125" style="18" customWidth="1"/>
    <col min="14347" max="14347" width="11.21875" style="18" customWidth="1"/>
    <col min="14348" max="14352" width="9" style="18"/>
    <col min="14353" max="14354" width="9.109375" style="18" customWidth="1"/>
    <col min="14355" max="14355" width="9.44140625" style="18" customWidth="1"/>
    <col min="14356" max="14356" width="9" style="18"/>
    <col min="14357" max="14360" width="9.109375" style="18" customWidth="1"/>
    <col min="14361" max="14592" width="9" style="18"/>
    <col min="14593" max="14593" width="4.6640625" style="18" customWidth="1"/>
    <col min="14594" max="14594" width="6.33203125" style="18" customWidth="1"/>
    <col min="14595" max="14595" width="7" style="18" customWidth="1"/>
    <col min="14596" max="14596" width="10.21875" style="18" customWidth="1"/>
    <col min="14597" max="14597" width="9.88671875" style="18" customWidth="1"/>
    <col min="14598" max="14598" width="11.6640625" style="18" customWidth="1"/>
    <col min="14599" max="14601" width="9" style="18"/>
    <col min="14602" max="14602" width="9.33203125" style="18" customWidth="1"/>
    <col min="14603" max="14603" width="11.21875" style="18" customWidth="1"/>
    <col min="14604" max="14608" width="9" style="18"/>
    <col min="14609" max="14610" width="9.109375" style="18" customWidth="1"/>
    <col min="14611" max="14611" width="9.44140625" style="18" customWidth="1"/>
    <col min="14612" max="14612" width="9" style="18"/>
    <col min="14613" max="14616" width="9.109375" style="18" customWidth="1"/>
    <col min="14617" max="14848" width="9" style="18"/>
    <col min="14849" max="14849" width="4.6640625" style="18" customWidth="1"/>
    <col min="14850" max="14850" width="6.33203125" style="18" customWidth="1"/>
    <col min="14851" max="14851" width="7" style="18" customWidth="1"/>
    <col min="14852" max="14852" width="10.21875" style="18" customWidth="1"/>
    <col min="14853" max="14853" width="9.88671875" style="18" customWidth="1"/>
    <col min="14854" max="14854" width="11.6640625" style="18" customWidth="1"/>
    <col min="14855" max="14857" width="9" style="18"/>
    <col min="14858" max="14858" width="9.33203125" style="18" customWidth="1"/>
    <col min="14859" max="14859" width="11.21875" style="18" customWidth="1"/>
    <col min="14860" max="14864" width="9" style="18"/>
    <col min="14865" max="14866" width="9.109375" style="18" customWidth="1"/>
    <col min="14867" max="14867" width="9.44140625" style="18" customWidth="1"/>
    <col min="14868" max="14868" width="9" style="18"/>
    <col min="14869" max="14872" width="9.109375" style="18" customWidth="1"/>
    <col min="14873" max="15104" width="9" style="18"/>
    <col min="15105" max="15105" width="4.6640625" style="18" customWidth="1"/>
    <col min="15106" max="15106" width="6.33203125" style="18" customWidth="1"/>
    <col min="15107" max="15107" width="7" style="18" customWidth="1"/>
    <col min="15108" max="15108" width="10.21875" style="18" customWidth="1"/>
    <col min="15109" max="15109" width="9.88671875" style="18" customWidth="1"/>
    <col min="15110" max="15110" width="11.6640625" style="18" customWidth="1"/>
    <col min="15111" max="15113" width="9" style="18"/>
    <col min="15114" max="15114" width="9.33203125" style="18" customWidth="1"/>
    <col min="15115" max="15115" width="11.21875" style="18" customWidth="1"/>
    <col min="15116" max="15120" width="9" style="18"/>
    <col min="15121" max="15122" width="9.109375" style="18" customWidth="1"/>
    <col min="15123" max="15123" width="9.44140625" style="18" customWidth="1"/>
    <col min="15124" max="15124" width="9" style="18"/>
    <col min="15125" max="15128" width="9.109375" style="18" customWidth="1"/>
    <col min="15129" max="15360" width="9" style="18"/>
    <col min="15361" max="15361" width="4.6640625" style="18" customWidth="1"/>
    <col min="15362" max="15362" width="6.33203125" style="18" customWidth="1"/>
    <col min="15363" max="15363" width="7" style="18" customWidth="1"/>
    <col min="15364" max="15364" width="10.21875" style="18" customWidth="1"/>
    <col min="15365" max="15365" width="9.88671875" style="18" customWidth="1"/>
    <col min="15366" max="15366" width="11.6640625" style="18" customWidth="1"/>
    <col min="15367" max="15369" width="9" style="18"/>
    <col min="15370" max="15370" width="9.33203125" style="18" customWidth="1"/>
    <col min="15371" max="15371" width="11.21875" style="18" customWidth="1"/>
    <col min="15372" max="15376" width="9" style="18"/>
    <col min="15377" max="15378" width="9.109375" style="18" customWidth="1"/>
    <col min="15379" max="15379" width="9.44140625" style="18" customWidth="1"/>
    <col min="15380" max="15380" width="9" style="18"/>
    <col min="15381" max="15384" width="9.109375" style="18" customWidth="1"/>
    <col min="15385" max="15616" width="9" style="18"/>
    <col min="15617" max="15617" width="4.6640625" style="18" customWidth="1"/>
    <col min="15618" max="15618" width="6.33203125" style="18" customWidth="1"/>
    <col min="15619" max="15619" width="7" style="18" customWidth="1"/>
    <col min="15620" max="15620" width="10.21875" style="18" customWidth="1"/>
    <col min="15621" max="15621" width="9.88671875" style="18" customWidth="1"/>
    <col min="15622" max="15622" width="11.6640625" style="18" customWidth="1"/>
    <col min="15623" max="15625" width="9" style="18"/>
    <col min="15626" max="15626" width="9.33203125" style="18" customWidth="1"/>
    <col min="15627" max="15627" width="11.21875" style="18" customWidth="1"/>
    <col min="15628" max="15632" width="9" style="18"/>
    <col min="15633" max="15634" width="9.109375" style="18" customWidth="1"/>
    <col min="15635" max="15635" width="9.44140625" style="18" customWidth="1"/>
    <col min="15636" max="15636" width="9" style="18"/>
    <col min="15637" max="15640" width="9.109375" style="18" customWidth="1"/>
    <col min="15641" max="15872" width="9" style="18"/>
    <col min="15873" max="15873" width="4.6640625" style="18" customWidth="1"/>
    <col min="15874" max="15874" width="6.33203125" style="18" customWidth="1"/>
    <col min="15875" max="15875" width="7" style="18" customWidth="1"/>
    <col min="15876" max="15876" width="10.21875" style="18" customWidth="1"/>
    <col min="15877" max="15877" width="9.88671875" style="18" customWidth="1"/>
    <col min="15878" max="15878" width="11.6640625" style="18" customWidth="1"/>
    <col min="15879" max="15881" width="9" style="18"/>
    <col min="15882" max="15882" width="9.33203125" style="18" customWidth="1"/>
    <col min="15883" max="15883" width="11.21875" style="18" customWidth="1"/>
    <col min="15884" max="15888" width="9" style="18"/>
    <col min="15889" max="15890" width="9.109375" style="18" customWidth="1"/>
    <col min="15891" max="15891" width="9.44140625" style="18" customWidth="1"/>
    <col min="15892" max="15892" width="9" style="18"/>
    <col min="15893" max="15896" width="9.109375" style="18" customWidth="1"/>
    <col min="15897" max="16128" width="9" style="18"/>
    <col min="16129" max="16129" width="4.6640625" style="18" customWidth="1"/>
    <col min="16130" max="16130" width="6.33203125" style="18" customWidth="1"/>
    <col min="16131" max="16131" width="7" style="18" customWidth="1"/>
    <col min="16132" max="16132" width="10.21875" style="18" customWidth="1"/>
    <col min="16133" max="16133" width="9.88671875" style="18" customWidth="1"/>
    <col min="16134" max="16134" width="11.6640625" style="18" customWidth="1"/>
    <col min="16135" max="16137" width="9" style="18"/>
    <col min="16138" max="16138" width="9.33203125" style="18" customWidth="1"/>
    <col min="16139" max="16139" width="11.21875" style="18" customWidth="1"/>
    <col min="16140" max="16144" width="9" style="18"/>
    <col min="16145" max="16146" width="9.109375" style="18" customWidth="1"/>
    <col min="16147" max="16147" width="9.44140625" style="18" customWidth="1"/>
    <col min="16148" max="16148" width="9" style="18"/>
    <col min="16149" max="16152" width="9.109375" style="18" customWidth="1"/>
    <col min="16153" max="16384" width="9" style="18"/>
  </cols>
  <sheetData>
    <row r="2" spans="2:41" ht="14.25" customHeight="1">
      <c r="B2" s="696" t="s">
        <v>727</v>
      </c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Q2" s="31" t="e">
        <f>(L17+M21)/(L7+M7)*100</f>
        <v>#DIV/0!</v>
      </c>
    </row>
    <row r="3" spans="2:41"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  <c r="N3" s="696"/>
      <c r="Q3" s="31">
        <f>(L18+M22)/(L8+M8)*100</f>
        <v>96.725985057824175</v>
      </c>
    </row>
    <row r="4" spans="2:41">
      <c r="B4" s="19"/>
      <c r="C4" s="693"/>
      <c r="D4" s="693"/>
      <c r="E4" s="694"/>
      <c r="F4" s="694"/>
      <c r="H4" s="694"/>
      <c r="I4" s="694"/>
      <c r="J4" s="694"/>
      <c r="K4" s="25"/>
      <c r="L4" s="675">
        <f>基础数据!A2</f>
        <v>45836</v>
      </c>
      <c r="M4" s="675"/>
      <c r="N4" s="26"/>
      <c r="Q4" s="31">
        <f>(L19+M23)/(L9+M9)*100</f>
        <v>97.922147110926488</v>
      </c>
    </row>
    <row r="5" spans="2:41" ht="20.100000000000001" customHeight="1">
      <c r="B5" s="679" t="s">
        <v>42</v>
      </c>
      <c r="C5" s="679" t="s">
        <v>43</v>
      </c>
      <c r="D5" s="679" t="s">
        <v>44</v>
      </c>
      <c r="E5" s="679" t="s">
        <v>45</v>
      </c>
      <c r="F5" s="680" t="s">
        <v>50</v>
      </c>
      <c r="G5" s="680" t="s">
        <v>162</v>
      </c>
      <c r="H5" s="680"/>
      <c r="I5" s="680"/>
      <c r="J5" s="680"/>
      <c r="K5" s="680" t="s">
        <v>47</v>
      </c>
      <c r="L5" s="680"/>
      <c r="M5" s="680"/>
      <c r="N5" s="680"/>
      <c r="O5" s="695" t="s">
        <v>0</v>
      </c>
      <c r="P5" s="695" t="s">
        <v>0</v>
      </c>
      <c r="Q5" s="31">
        <f>(L20+M24)/(L10+M10)*100</f>
        <v>97.348539988275135</v>
      </c>
    </row>
    <row r="6" spans="2:41" ht="20.100000000000001" customHeight="1">
      <c r="B6" s="679"/>
      <c r="C6" s="679"/>
      <c r="D6" s="679"/>
      <c r="E6" s="679"/>
      <c r="F6" s="680"/>
      <c r="G6" s="20" t="s">
        <v>62</v>
      </c>
      <c r="H6" s="20" t="s">
        <v>6</v>
      </c>
      <c r="I6" s="20" t="s">
        <v>7</v>
      </c>
      <c r="J6" s="20" t="s">
        <v>51</v>
      </c>
      <c r="K6" s="20" t="s">
        <v>52</v>
      </c>
      <c r="L6" s="20" t="s">
        <v>53</v>
      </c>
      <c r="M6" s="20" t="s">
        <v>54</v>
      </c>
      <c r="N6" s="20" t="s">
        <v>55</v>
      </c>
      <c r="O6" s="695"/>
      <c r="P6" s="695"/>
    </row>
    <row r="7" spans="2:41" ht="20.100000000000001" customHeight="1">
      <c r="B7" s="679" t="s">
        <v>10</v>
      </c>
      <c r="C7" s="20" t="s">
        <v>728</v>
      </c>
      <c r="D7" s="22" t="str">
        <f>IF(ISERROR(('1车间表2'!D7*'1车间表2'!F7+'2车间表2'!D7*'2车间表2'!F7)/磨浮作业区月表!F7),"0.00",('1车间表2'!D7*'1车间表2'!F7+'2车间表2'!D7*'2车间表2'!F7)/磨浮作业区月表!F7)</f>
        <v>0.00</v>
      </c>
      <c r="E7" s="22">
        <f>'1车间表2'!E7+'2车间表2'!E7</f>
        <v>0</v>
      </c>
      <c r="F7" s="22">
        <f>'1车间表2'!F7+'2车间表2'!F7</f>
        <v>0</v>
      </c>
      <c r="G7" s="23"/>
      <c r="H7" s="23" t="str">
        <f>IF(ISERROR(L7/F7*100),"0.00",L7/F7*100)</f>
        <v>0.00</v>
      </c>
      <c r="I7" s="23" t="str">
        <f>IF(ISERROR(M7/F7*100),"0.00",M7/F7*100)</f>
        <v>0.00</v>
      </c>
      <c r="J7" s="27" t="str">
        <f>IF(ISERROR(N7/F7*1000),"0",N7/F7*1000)</f>
        <v>0</v>
      </c>
      <c r="K7" s="23"/>
      <c r="L7" s="22">
        <f>'1车间表2'!J7+'2车间表2'!J7</f>
        <v>0</v>
      </c>
      <c r="M7" s="22">
        <f>'1车间表2'!K7+'2车间表2'!K7</f>
        <v>0</v>
      </c>
      <c r="N7" s="22">
        <f>'1车间表2'!L7+'2车间表2'!L7</f>
        <v>0</v>
      </c>
      <c r="P7" s="31" t="str">
        <f>D7</f>
        <v>0.00</v>
      </c>
      <c r="Q7" s="31" t="e">
        <f>F7/E7</f>
        <v>#DIV/0!</v>
      </c>
      <c r="R7" s="31">
        <f t="shared" ref="R7:U10" si="0">G7</f>
        <v>0</v>
      </c>
      <c r="S7" s="31" t="str">
        <f t="shared" si="0"/>
        <v>0.00</v>
      </c>
      <c r="T7" s="31" t="str">
        <f t="shared" si="0"/>
        <v>0.00</v>
      </c>
      <c r="U7" s="31" t="str">
        <f t="shared" si="0"/>
        <v>0</v>
      </c>
      <c r="V7" s="31">
        <f t="shared" ref="V7:Y10" si="1">G13</f>
        <v>0</v>
      </c>
      <c r="W7" s="31">
        <f t="shared" si="1"/>
        <v>0</v>
      </c>
      <c r="X7" s="31">
        <f t="shared" si="1"/>
        <v>0</v>
      </c>
      <c r="Y7" s="34">
        <f t="shared" si="1"/>
        <v>0</v>
      </c>
      <c r="Z7" s="31">
        <f t="shared" ref="Z7:AC10" si="2">G17</f>
        <v>0</v>
      </c>
      <c r="AA7" s="31" t="str">
        <f t="shared" si="2"/>
        <v>0.00</v>
      </c>
      <c r="AB7" s="31" t="str">
        <f t="shared" si="2"/>
        <v>0.00</v>
      </c>
      <c r="AC7" s="34" t="str">
        <f t="shared" si="2"/>
        <v>0</v>
      </c>
      <c r="AD7" s="31">
        <f t="shared" ref="AD7:AG10" si="3">G21</f>
        <v>0</v>
      </c>
      <c r="AE7" s="31" t="str">
        <f t="shared" si="3"/>
        <v>0.00</v>
      </c>
      <c r="AF7" s="31" t="str">
        <f t="shared" si="3"/>
        <v>0.00</v>
      </c>
      <c r="AG7" s="34" t="str">
        <f t="shared" si="3"/>
        <v>0</v>
      </c>
      <c r="AH7" s="31">
        <f t="shared" ref="AH7:AK10" si="4">G25</f>
        <v>0</v>
      </c>
      <c r="AI7" s="31" t="str">
        <f t="shared" si="4"/>
        <v>0.00</v>
      </c>
      <c r="AJ7" s="31" t="str">
        <f t="shared" si="4"/>
        <v>0.00</v>
      </c>
      <c r="AK7" s="34" t="str">
        <f t="shared" si="4"/>
        <v>0</v>
      </c>
      <c r="AL7" s="31">
        <f>D13</f>
        <v>0</v>
      </c>
      <c r="AM7" s="31" t="str">
        <f>D17</f>
        <v>0.00</v>
      </c>
      <c r="AN7" s="31" t="str">
        <f>D21</f>
        <v>0.00</v>
      </c>
      <c r="AO7" s="31">
        <f>E25</f>
        <v>0</v>
      </c>
    </row>
    <row r="8" spans="2:41" ht="20.100000000000001" customHeight="1">
      <c r="B8" s="679"/>
      <c r="C8" s="20" t="s">
        <v>729</v>
      </c>
      <c r="D8" s="22">
        <f>IF(ISERROR(('1车间表2'!D8*'1车间表2'!F8+'2车间表2'!D8*'2车间表2'!F8)/磨浮作业区月表!F8),"0.00",('1车间表2'!D8*'1车间表2'!F8+'2车间表2'!D8*'2车间表2'!F8)/磨浮作业区月表!F8)</f>
        <v>0</v>
      </c>
      <c r="E8" s="22">
        <f>'1车间表2'!E8+'2车间表2'!E8</f>
        <v>8</v>
      </c>
      <c r="F8" s="22">
        <f>'1车间表2'!F8+'2车间表2'!F8</f>
        <v>124.16</v>
      </c>
      <c r="G8" s="23"/>
      <c r="H8" s="23">
        <f>IF(ISERROR(L8/F8*100),"0.00",L8/F8*100)</f>
        <v>3.75</v>
      </c>
      <c r="I8" s="23">
        <f>IF(ISERROR(M8/F8*100),"0.00",M8/F8*100)</f>
        <v>0</v>
      </c>
      <c r="J8" s="27">
        <f>IF(ISERROR(N8/F8*1000),"0",N8/F8*1000)</f>
        <v>160.99999999999997</v>
      </c>
      <c r="K8" s="23"/>
      <c r="L8" s="22">
        <f>'1车间表2'!J8+'2车间表2'!J8</f>
        <v>4.6559999999999997</v>
      </c>
      <c r="M8" s="22">
        <f>'1车间表2'!K8+'2车间表2'!K8</f>
        <v>0</v>
      </c>
      <c r="N8" s="22">
        <f>'1车间表2'!L8+'2车间表2'!L8</f>
        <v>19.989759999999997</v>
      </c>
      <c r="P8" s="31">
        <f>D8</f>
        <v>0</v>
      </c>
      <c r="Q8" s="31">
        <f>F8/E8</f>
        <v>15.52</v>
      </c>
      <c r="R8" s="31">
        <f t="shared" si="0"/>
        <v>0</v>
      </c>
      <c r="S8" s="31">
        <f t="shared" si="0"/>
        <v>3.75</v>
      </c>
      <c r="T8" s="31">
        <f t="shared" si="0"/>
        <v>0</v>
      </c>
      <c r="U8" s="31">
        <f t="shared" si="0"/>
        <v>160.99999999999997</v>
      </c>
      <c r="V8" s="31">
        <f t="shared" si="1"/>
        <v>0</v>
      </c>
      <c r="W8" s="31">
        <f t="shared" si="1"/>
        <v>0</v>
      </c>
      <c r="X8" s="31">
        <f t="shared" si="1"/>
        <v>0</v>
      </c>
      <c r="Y8" s="34">
        <f t="shared" si="1"/>
        <v>0</v>
      </c>
      <c r="Z8" s="31">
        <f t="shared" si="2"/>
        <v>0</v>
      </c>
      <c r="AA8" s="31">
        <f t="shared" si="2"/>
        <v>65.27</v>
      </c>
      <c r="AB8" s="31">
        <f t="shared" si="2"/>
        <v>0</v>
      </c>
      <c r="AC8" s="34">
        <f t="shared" si="2"/>
        <v>3352</v>
      </c>
      <c r="AD8" s="31">
        <f t="shared" si="3"/>
        <v>0</v>
      </c>
      <c r="AE8" s="31" t="str">
        <f t="shared" si="3"/>
        <v>0.00</v>
      </c>
      <c r="AF8" s="31" t="str">
        <f t="shared" si="3"/>
        <v>0.00</v>
      </c>
      <c r="AG8" s="34" t="str">
        <f t="shared" si="3"/>
        <v>0</v>
      </c>
      <c r="AH8" s="31">
        <f t="shared" si="4"/>
        <v>0</v>
      </c>
      <c r="AI8" s="31">
        <f t="shared" si="4"/>
        <v>0.13</v>
      </c>
      <c r="AJ8" s="31">
        <f t="shared" si="4"/>
        <v>0</v>
      </c>
      <c r="AK8" s="34">
        <f t="shared" si="4"/>
        <v>-26.766905071521474</v>
      </c>
      <c r="AL8" s="31">
        <f>D14</f>
        <v>0</v>
      </c>
      <c r="AM8" s="31">
        <f>D18</f>
        <v>96.725985057824175</v>
      </c>
      <c r="AN8" s="31" t="str">
        <f>D22</f>
        <v>0.00</v>
      </c>
      <c r="AO8" s="31">
        <f>E26</f>
        <v>115.70148957715539</v>
      </c>
    </row>
    <row r="9" spans="2:41" ht="20.100000000000001" customHeight="1">
      <c r="B9" s="679"/>
      <c r="C9" s="20" t="s">
        <v>730</v>
      </c>
      <c r="D9" s="22">
        <f>IF(ISERROR(('1车间表2'!D9*'1车间表2'!F9+'2车间表2'!D9*'2车间表2'!F9)/磨浮作业区月表!F9),"0.00",('1车间表2'!D9*'1车间表2'!F9+'2车间表2'!D9*'2车间表2'!F9)/磨浮作业区月表!F9)</f>
        <v>0</v>
      </c>
      <c r="E9" s="22">
        <f>'1车间表2'!E9+'2车间表2'!E9</f>
        <v>8</v>
      </c>
      <c r="F9" s="22">
        <f>'1车间表2'!F9+'2车间表2'!F9</f>
        <v>124.16</v>
      </c>
      <c r="G9" s="23"/>
      <c r="H9" s="23">
        <f>IF(ISERROR(L9/F9*100),"0.00",L9/F9*100)</f>
        <v>4.07</v>
      </c>
      <c r="I9" s="23">
        <f>IF(ISERROR(M9/F9*100),"0.00",M9/F9*100)</f>
        <v>0</v>
      </c>
      <c r="J9" s="27">
        <f>IF(ISERROR(N9/F9*1000),"0",N9/F9*1000)</f>
        <v>230</v>
      </c>
      <c r="K9" s="23"/>
      <c r="L9" s="22">
        <f>'1车间表2'!J9+'2车间表2'!J9</f>
        <v>5.053312</v>
      </c>
      <c r="M9" s="22">
        <f>'1车间表2'!K9+'2车间表2'!K9</f>
        <v>0</v>
      </c>
      <c r="N9" s="22">
        <f>'1车间表2'!L9+'2车间表2'!L9</f>
        <v>28.556799999999999</v>
      </c>
      <c r="P9" s="31">
        <f>D9</f>
        <v>0</v>
      </c>
      <c r="Q9" s="31">
        <f>F9/E9</f>
        <v>15.52</v>
      </c>
      <c r="R9" s="31">
        <f t="shared" si="0"/>
        <v>0</v>
      </c>
      <c r="S9" s="31">
        <f t="shared" si="0"/>
        <v>4.07</v>
      </c>
      <c r="T9" s="31">
        <f t="shared" si="0"/>
        <v>0</v>
      </c>
      <c r="U9" s="31">
        <f t="shared" si="0"/>
        <v>230</v>
      </c>
      <c r="V9" s="31">
        <f t="shared" si="1"/>
        <v>0</v>
      </c>
      <c r="W9" s="31">
        <f t="shared" si="1"/>
        <v>0</v>
      </c>
      <c r="X9" s="31">
        <f t="shared" si="1"/>
        <v>0</v>
      </c>
      <c r="Y9" s="34">
        <f t="shared" si="1"/>
        <v>0</v>
      </c>
      <c r="Z9" s="31">
        <f t="shared" si="2"/>
        <v>0</v>
      </c>
      <c r="AA9" s="31">
        <f t="shared" si="2"/>
        <v>66.039999999999992</v>
      </c>
      <c r="AB9" s="31">
        <f t="shared" si="2"/>
        <v>0</v>
      </c>
      <c r="AC9" s="34">
        <f t="shared" si="2"/>
        <v>3380.0000000000005</v>
      </c>
      <c r="AD9" s="31">
        <f t="shared" si="3"/>
        <v>0</v>
      </c>
      <c r="AE9" s="31" t="str">
        <f t="shared" si="3"/>
        <v>0.00</v>
      </c>
      <c r="AF9" s="31" t="str">
        <f t="shared" si="3"/>
        <v>0.00</v>
      </c>
      <c r="AG9" s="34" t="str">
        <f t="shared" si="3"/>
        <v>0</v>
      </c>
      <c r="AH9" s="31">
        <f t="shared" si="4"/>
        <v>0</v>
      </c>
      <c r="AI9" s="31">
        <f t="shared" si="4"/>
        <v>8.9999999999999802E-2</v>
      </c>
      <c r="AJ9" s="31">
        <f t="shared" si="4"/>
        <v>0</v>
      </c>
      <c r="AK9" s="34">
        <f t="shared" si="4"/>
        <v>27.692431821849247</v>
      </c>
      <c r="AL9" s="31">
        <f>D15</f>
        <v>0</v>
      </c>
      <c r="AM9" s="31">
        <f>D19</f>
        <v>97.922147110926488</v>
      </c>
      <c r="AN9" s="31" t="str">
        <f>D23</f>
        <v>0.00</v>
      </c>
      <c r="AO9" s="31">
        <f>E27</f>
        <v>88.686422520354697</v>
      </c>
    </row>
    <row r="10" spans="2:41" ht="20.100000000000001" customHeight="1">
      <c r="B10" s="679"/>
      <c r="C10" s="20" t="s">
        <v>57</v>
      </c>
      <c r="D10" s="23">
        <f>IF(ISERROR((D7*F7+D8*F8+D9*F9)/F10),"0.00",(D7*F7+D8*F8+D9*F9)/F10)</f>
        <v>0</v>
      </c>
      <c r="E10" s="23">
        <f>E7+E8+E9</f>
        <v>16</v>
      </c>
      <c r="F10" s="23">
        <f>F7+F8+F9</f>
        <v>248.32</v>
      </c>
      <c r="G10" s="23"/>
      <c r="H10" s="23">
        <f>IF(ISERROR(L10/F10*100),"0.00",L10/F10*100)</f>
        <v>3.91</v>
      </c>
      <c r="I10" s="23">
        <f>IF(ISERROR(M10/F10*100),"0.00",M10/F10*100)</f>
        <v>0</v>
      </c>
      <c r="J10" s="27">
        <f>IF(ISERROR(N10/F10*1000),"0",N10/F10*1000)</f>
        <v>195.5</v>
      </c>
      <c r="K10" s="23"/>
      <c r="L10" s="23">
        <f>L7+L8+L9</f>
        <v>9.7093120000000006</v>
      </c>
      <c r="M10" s="23">
        <f>M7+M8+M9</f>
        <v>0</v>
      </c>
      <c r="N10" s="23">
        <f>N7+N8+N9</f>
        <v>48.546559999999999</v>
      </c>
      <c r="P10" s="31">
        <f>D10</f>
        <v>0</v>
      </c>
      <c r="Q10" s="31">
        <f>F10/E10</f>
        <v>15.52</v>
      </c>
      <c r="R10" s="31">
        <f t="shared" si="0"/>
        <v>0</v>
      </c>
      <c r="S10" s="31">
        <f t="shared" si="0"/>
        <v>3.91</v>
      </c>
      <c r="T10" s="31">
        <f t="shared" si="0"/>
        <v>0</v>
      </c>
      <c r="U10" s="31">
        <f t="shared" si="0"/>
        <v>195.5</v>
      </c>
      <c r="V10" s="31">
        <f t="shared" si="1"/>
        <v>0</v>
      </c>
      <c r="W10" s="31">
        <f t="shared" si="1"/>
        <v>0</v>
      </c>
      <c r="X10" s="31">
        <f t="shared" si="1"/>
        <v>0</v>
      </c>
      <c r="Y10" s="34">
        <f t="shared" si="1"/>
        <v>0</v>
      </c>
      <c r="Z10" s="31">
        <f t="shared" si="2"/>
        <v>0</v>
      </c>
      <c r="AA10" s="31">
        <f t="shared" si="2"/>
        <v>65.670862584895232</v>
      </c>
      <c r="AB10" s="31">
        <f t="shared" si="2"/>
        <v>0</v>
      </c>
      <c r="AC10" s="34">
        <f t="shared" si="2"/>
        <v>3366.5768212689172</v>
      </c>
      <c r="AD10" s="31">
        <f t="shared" si="3"/>
        <v>0</v>
      </c>
      <c r="AE10" s="31" t="str">
        <f t="shared" si="3"/>
        <v>0.00</v>
      </c>
      <c r="AF10" s="31" t="str">
        <f t="shared" si="3"/>
        <v>0.00</v>
      </c>
      <c r="AG10" s="34" t="str">
        <f t="shared" si="3"/>
        <v>0</v>
      </c>
      <c r="AH10" s="31">
        <f t="shared" si="4"/>
        <v>0</v>
      </c>
      <c r="AI10" s="31">
        <f t="shared" si="4"/>
        <v>0.11005069996678257</v>
      </c>
      <c r="AJ10" s="31">
        <f t="shared" si="4"/>
        <v>0</v>
      </c>
      <c r="AK10" s="34">
        <f t="shared" si="4"/>
        <v>0.39373621087637162</v>
      </c>
      <c r="AL10" s="31">
        <f>D16</f>
        <v>0</v>
      </c>
      <c r="AM10" s="31">
        <f>D20</f>
        <v>97.348539988275135</v>
      </c>
      <c r="AN10" s="31" t="str">
        <f>D24</f>
        <v>0.00</v>
      </c>
      <c r="AO10" s="31">
        <f>E28</f>
        <v>99.810273661390255</v>
      </c>
    </row>
    <row r="11" spans="2:41" ht="20.100000000000001" customHeight="1">
      <c r="B11" s="679" t="s">
        <v>42</v>
      </c>
      <c r="C11" s="679" t="s">
        <v>43</v>
      </c>
      <c r="D11" s="680" t="s">
        <v>59</v>
      </c>
      <c r="E11" s="680"/>
      <c r="F11" s="680" t="s">
        <v>50</v>
      </c>
      <c r="G11" s="680" t="s">
        <v>58</v>
      </c>
      <c r="H11" s="680"/>
      <c r="I11" s="680"/>
      <c r="J11" s="680"/>
      <c r="K11" s="680" t="s">
        <v>47</v>
      </c>
      <c r="L11" s="680"/>
      <c r="M11" s="680"/>
      <c r="N11" s="680"/>
      <c r="P11" s="31"/>
      <c r="Q11" s="31"/>
      <c r="R11" s="31"/>
      <c r="S11" s="31"/>
      <c r="T11" s="31"/>
      <c r="U11" s="31"/>
      <c r="V11" s="31"/>
      <c r="W11" s="31"/>
      <c r="X11" s="31"/>
      <c r="Y11" s="34"/>
      <c r="Z11" s="31"/>
      <c r="AA11" s="31"/>
      <c r="AB11" s="31"/>
      <c r="AC11" s="34"/>
      <c r="AD11" s="31"/>
      <c r="AE11" s="31"/>
      <c r="AF11" s="31"/>
      <c r="AG11" s="34"/>
      <c r="AH11" s="31"/>
      <c r="AI11" s="31"/>
      <c r="AJ11" s="31"/>
      <c r="AK11" s="34"/>
    </row>
    <row r="12" spans="2:41" ht="20.100000000000001" customHeight="1">
      <c r="B12" s="679"/>
      <c r="C12" s="679"/>
      <c r="D12" s="20" t="s">
        <v>63</v>
      </c>
      <c r="E12" s="20" t="s">
        <v>14</v>
      </c>
      <c r="F12" s="680"/>
      <c r="G12" s="20" t="s">
        <v>62</v>
      </c>
      <c r="H12" s="20" t="s">
        <v>6</v>
      </c>
      <c r="I12" s="20" t="s">
        <v>7</v>
      </c>
      <c r="J12" s="20" t="s">
        <v>51</v>
      </c>
      <c r="K12" s="20" t="s">
        <v>52</v>
      </c>
      <c r="L12" s="20" t="s">
        <v>53</v>
      </c>
      <c r="M12" s="20" t="s">
        <v>54</v>
      </c>
      <c r="N12" s="20" t="s">
        <v>55</v>
      </c>
      <c r="Y12" s="34"/>
      <c r="AC12" s="34"/>
      <c r="AG12" s="34"/>
      <c r="AK12" s="34"/>
    </row>
    <row r="13" spans="2:41" ht="20.100000000000001" customHeight="1">
      <c r="B13" s="679" t="s">
        <v>722</v>
      </c>
      <c r="C13" s="20" t="s">
        <v>728</v>
      </c>
      <c r="D13" s="23"/>
      <c r="E13" s="23"/>
      <c r="F13" s="23"/>
      <c r="G13" s="23"/>
      <c r="H13" s="23"/>
      <c r="I13" s="23"/>
      <c r="J13" s="27"/>
      <c r="K13" s="23"/>
      <c r="L13" s="23"/>
      <c r="M13" s="23"/>
      <c r="N13" s="23"/>
      <c r="P13" s="31" t="e">
        <f t="shared" ref="P13:S16" si="5">K13/K7*100</f>
        <v>#DIV/0!</v>
      </c>
      <c r="Q13" s="31" t="e">
        <f t="shared" si="5"/>
        <v>#DIV/0!</v>
      </c>
      <c r="R13" s="31" t="e">
        <f t="shared" si="5"/>
        <v>#DIV/0!</v>
      </c>
      <c r="S13" s="31" t="e">
        <f t="shared" si="5"/>
        <v>#DIV/0!</v>
      </c>
      <c r="U13" s="31" t="e">
        <f>Q17</f>
        <v>#DIV/0!</v>
      </c>
      <c r="V13" s="31" t="e">
        <f>Q21</f>
        <v>#DIV/0!</v>
      </c>
      <c r="W13" s="31" t="e">
        <f>Q13</f>
        <v>#DIV/0!</v>
      </c>
      <c r="X13" s="31" t="e">
        <f>Q25</f>
        <v>#DIV/0!</v>
      </c>
      <c r="Y13" s="31" t="e">
        <f>U13+V13+W13+X13</f>
        <v>#DIV/0!</v>
      </c>
      <c r="Z13" s="31" t="e">
        <f t="shared" ref="Z13:AC16" si="6">U17</f>
        <v>#DIV/0!</v>
      </c>
      <c r="AA13" s="31" t="e">
        <f t="shared" si="6"/>
        <v>#DIV/0!</v>
      </c>
      <c r="AB13" s="31" t="e">
        <f t="shared" si="6"/>
        <v>#DIV/0!</v>
      </c>
      <c r="AC13" s="31" t="e">
        <f t="shared" si="6"/>
        <v>#DIV/0!</v>
      </c>
      <c r="AD13" s="31" t="e">
        <f>Z13+AA13+AB13+AC13</f>
        <v>#DIV/0!</v>
      </c>
      <c r="AE13" s="31" t="e">
        <f t="shared" ref="AE13:AH16" si="7">U21</f>
        <v>#DIV/0!</v>
      </c>
      <c r="AF13" s="31" t="e">
        <f t="shared" si="7"/>
        <v>#DIV/0!</v>
      </c>
      <c r="AG13" s="33" t="e">
        <f t="shared" si="7"/>
        <v>#DIV/0!</v>
      </c>
      <c r="AH13" s="31" t="e">
        <f t="shared" si="7"/>
        <v>#DIV/0!</v>
      </c>
      <c r="AI13" s="31" t="e">
        <f>AE13+AF13+AG13+AH13</f>
        <v>#DIV/0!</v>
      </c>
      <c r="AJ13" s="31" t="e">
        <f t="shared" ref="AJ13:AM16" si="8">U25</f>
        <v>#DIV/0!</v>
      </c>
      <c r="AK13" s="33" t="e">
        <f t="shared" si="8"/>
        <v>#DIV/0!</v>
      </c>
      <c r="AL13" s="31" t="e">
        <f t="shared" si="8"/>
        <v>#DIV/0!</v>
      </c>
      <c r="AM13" s="31" t="e">
        <f t="shared" si="8"/>
        <v>#DIV/0!</v>
      </c>
      <c r="AN13" s="31" t="e">
        <f>AM13+AL13+AK13+AJ13</f>
        <v>#DIV/0!</v>
      </c>
    </row>
    <row r="14" spans="2:41" ht="20.100000000000001" customHeight="1">
      <c r="B14" s="743"/>
      <c r="C14" s="20" t="s">
        <v>729</v>
      </c>
      <c r="D14" s="23"/>
      <c r="E14" s="23"/>
      <c r="F14" s="23"/>
      <c r="G14" s="23"/>
      <c r="H14" s="23"/>
      <c r="I14" s="23"/>
      <c r="J14" s="27"/>
      <c r="K14" s="23"/>
      <c r="L14" s="23"/>
      <c r="M14" s="23"/>
      <c r="N14" s="23"/>
      <c r="P14" s="31" t="e">
        <f t="shared" si="5"/>
        <v>#DIV/0!</v>
      </c>
      <c r="Q14" s="31">
        <f t="shared" si="5"/>
        <v>0</v>
      </c>
      <c r="R14" s="31" t="e">
        <f t="shared" si="5"/>
        <v>#DIV/0!</v>
      </c>
      <c r="S14" s="31">
        <f t="shared" si="5"/>
        <v>0</v>
      </c>
      <c r="U14" s="31">
        <f>Q18</f>
        <v>96.725985057824175</v>
      </c>
      <c r="V14" s="31">
        <f>Q22</f>
        <v>0</v>
      </c>
      <c r="W14" s="31">
        <f>Q14</f>
        <v>0</v>
      </c>
      <c r="X14" s="31">
        <f>Q26</f>
        <v>3.2740149421758264</v>
      </c>
      <c r="Y14" s="31">
        <f>U14+V14+W14+X14</f>
        <v>100</v>
      </c>
      <c r="Z14" s="31" t="e">
        <f t="shared" si="6"/>
        <v>#DIV/0!</v>
      </c>
      <c r="AA14" s="31" t="e">
        <f t="shared" si="6"/>
        <v>#DIV/0!</v>
      </c>
      <c r="AB14" s="31" t="e">
        <f t="shared" si="6"/>
        <v>#DIV/0!</v>
      </c>
      <c r="AC14" s="31" t="e">
        <f t="shared" si="6"/>
        <v>#DIV/0!</v>
      </c>
      <c r="AD14" s="31" t="e">
        <f>Z14+AA14+AB14+AC14</f>
        <v>#DIV/0!</v>
      </c>
      <c r="AE14" s="31" t="e">
        <f t="shared" si="7"/>
        <v>#DIV/0!</v>
      </c>
      <c r="AF14" s="31" t="e">
        <f t="shared" si="7"/>
        <v>#DIV/0!</v>
      </c>
      <c r="AG14" s="33" t="e">
        <f t="shared" si="7"/>
        <v>#DIV/0!</v>
      </c>
      <c r="AH14" s="31" t="e">
        <f t="shared" si="7"/>
        <v>#DIV/0!</v>
      </c>
      <c r="AI14" s="31" t="e">
        <f>AE14+AF14+AG14+AH14</f>
        <v>#DIV/0!</v>
      </c>
      <c r="AJ14" s="31">
        <f t="shared" si="8"/>
        <v>115.70148957715539</v>
      </c>
      <c r="AK14" s="33">
        <f t="shared" si="8"/>
        <v>0</v>
      </c>
      <c r="AL14" s="31">
        <f t="shared" si="8"/>
        <v>0</v>
      </c>
      <c r="AM14" s="31">
        <f t="shared" si="8"/>
        <v>-15.701489577155382</v>
      </c>
      <c r="AN14" s="31">
        <f>AM14+AL14+AK14+AJ14</f>
        <v>100</v>
      </c>
    </row>
    <row r="15" spans="2:41" ht="20.100000000000001" customHeight="1">
      <c r="B15" s="743"/>
      <c r="C15" s="20" t="s">
        <v>730</v>
      </c>
      <c r="D15" s="23"/>
      <c r="E15" s="23"/>
      <c r="F15" s="23"/>
      <c r="G15" s="23"/>
      <c r="H15" s="23"/>
      <c r="I15" s="23"/>
      <c r="J15" s="27"/>
      <c r="K15" s="23"/>
      <c r="L15" s="23"/>
      <c r="M15" s="23"/>
      <c r="N15" s="23"/>
      <c r="P15" s="31" t="e">
        <f t="shared" si="5"/>
        <v>#DIV/0!</v>
      </c>
      <c r="Q15" s="31">
        <f t="shared" si="5"/>
        <v>0</v>
      </c>
      <c r="R15" s="31" t="e">
        <f t="shared" si="5"/>
        <v>#DIV/0!</v>
      </c>
      <c r="S15" s="31">
        <f t="shared" si="5"/>
        <v>0</v>
      </c>
      <c r="U15" s="31">
        <f>Q19</f>
        <v>97.922147110926488</v>
      </c>
      <c r="V15" s="31">
        <f>Q23</f>
        <v>0</v>
      </c>
      <c r="W15" s="31">
        <f>Q15</f>
        <v>0</v>
      </c>
      <c r="X15" s="31">
        <f>Q27</f>
        <v>2.077852889073506</v>
      </c>
      <c r="Y15" s="31">
        <f>U15+V15+W15+X15</f>
        <v>100</v>
      </c>
      <c r="Z15" s="31" t="e">
        <f t="shared" si="6"/>
        <v>#DIV/0!</v>
      </c>
      <c r="AA15" s="31" t="e">
        <f t="shared" si="6"/>
        <v>#DIV/0!</v>
      </c>
      <c r="AB15" s="31" t="e">
        <f t="shared" si="6"/>
        <v>#DIV/0!</v>
      </c>
      <c r="AC15" s="31" t="e">
        <f t="shared" si="6"/>
        <v>#DIV/0!</v>
      </c>
      <c r="AD15" s="31" t="e">
        <f>Z15+AA15+AB15+AC15</f>
        <v>#DIV/0!</v>
      </c>
      <c r="AE15" s="31" t="e">
        <f t="shared" si="7"/>
        <v>#DIV/0!</v>
      </c>
      <c r="AF15" s="31" t="e">
        <f t="shared" si="7"/>
        <v>#DIV/0!</v>
      </c>
      <c r="AG15" s="33" t="e">
        <f t="shared" si="7"/>
        <v>#DIV/0!</v>
      </c>
      <c r="AH15" s="31" t="e">
        <f t="shared" si="7"/>
        <v>#DIV/0!</v>
      </c>
      <c r="AI15" s="31" t="e">
        <f>AE15+AF15+AG15+AH15</f>
        <v>#DIV/0!</v>
      </c>
      <c r="AJ15" s="31">
        <f t="shared" si="8"/>
        <v>88.686422520354697</v>
      </c>
      <c r="AK15" s="33">
        <f t="shared" si="8"/>
        <v>0</v>
      </c>
      <c r="AL15" s="31">
        <f t="shared" si="8"/>
        <v>0</v>
      </c>
      <c r="AM15" s="31">
        <f t="shared" si="8"/>
        <v>11.313577479645303</v>
      </c>
      <c r="AN15" s="31">
        <f>AM15+AL15+AK15+AJ15</f>
        <v>100</v>
      </c>
    </row>
    <row r="16" spans="2:41" ht="20.100000000000001" customHeight="1">
      <c r="B16" s="743"/>
      <c r="C16" s="20" t="s">
        <v>57</v>
      </c>
      <c r="D16" s="23"/>
      <c r="E16" s="23"/>
      <c r="F16" s="23"/>
      <c r="G16" s="23"/>
      <c r="H16" s="23"/>
      <c r="I16" s="23"/>
      <c r="J16" s="27"/>
      <c r="K16" s="23"/>
      <c r="L16" s="23"/>
      <c r="M16" s="23"/>
      <c r="N16" s="23"/>
      <c r="P16" s="31" t="e">
        <f t="shared" si="5"/>
        <v>#DIV/0!</v>
      </c>
      <c r="Q16" s="31">
        <f t="shared" si="5"/>
        <v>0</v>
      </c>
      <c r="R16" s="31" t="e">
        <f t="shared" si="5"/>
        <v>#DIV/0!</v>
      </c>
      <c r="S16" s="31">
        <f t="shared" si="5"/>
        <v>0</v>
      </c>
      <c r="U16" s="31">
        <f>Q20</f>
        <v>97.348539988275135</v>
      </c>
      <c r="V16" s="31">
        <f>Q24</f>
        <v>0</v>
      </c>
      <c r="W16" s="31">
        <f>Q16</f>
        <v>0</v>
      </c>
      <c r="X16" s="31">
        <f>Q28</f>
        <v>2.6514600117248746</v>
      </c>
      <c r="Y16" s="31">
        <f>U16+V16+W16+X16</f>
        <v>100.00000000000001</v>
      </c>
      <c r="Z16" s="31" t="e">
        <f t="shared" si="6"/>
        <v>#DIV/0!</v>
      </c>
      <c r="AA16" s="31" t="e">
        <f t="shared" si="6"/>
        <v>#DIV/0!</v>
      </c>
      <c r="AB16" s="31" t="e">
        <f t="shared" si="6"/>
        <v>#DIV/0!</v>
      </c>
      <c r="AC16" s="31" t="e">
        <f t="shared" si="6"/>
        <v>#DIV/0!</v>
      </c>
      <c r="AD16" s="31" t="e">
        <f>Z16+AA16+AB16+AC16</f>
        <v>#DIV/0!</v>
      </c>
      <c r="AE16" s="31" t="e">
        <f t="shared" si="7"/>
        <v>#DIV/0!</v>
      </c>
      <c r="AF16" s="31" t="e">
        <f t="shared" si="7"/>
        <v>#DIV/0!</v>
      </c>
      <c r="AG16" s="33" t="e">
        <f t="shared" si="7"/>
        <v>#DIV/0!</v>
      </c>
      <c r="AH16" s="31" t="e">
        <f t="shared" si="7"/>
        <v>#DIV/0!</v>
      </c>
      <c r="AI16" s="31" t="e">
        <f>AE16+AF16+AG16+AH16</f>
        <v>#DIV/0!</v>
      </c>
      <c r="AJ16" s="31">
        <f t="shared" si="8"/>
        <v>99.810273661390255</v>
      </c>
      <c r="AK16" s="33">
        <f t="shared" si="8"/>
        <v>0</v>
      </c>
      <c r="AL16" s="31">
        <f t="shared" si="8"/>
        <v>0</v>
      </c>
      <c r="AM16" s="31">
        <f t="shared" si="8"/>
        <v>0.1897263386097286</v>
      </c>
      <c r="AN16" s="31">
        <f>AM16+AL16+AK16+AJ16</f>
        <v>99.999999999999986</v>
      </c>
    </row>
    <row r="17" spans="2:43" ht="20.100000000000001" customHeight="1">
      <c r="B17" s="679" t="s">
        <v>23</v>
      </c>
      <c r="C17" s="20" t="s">
        <v>728</v>
      </c>
      <c r="D17" s="23" t="str">
        <f>IF(ISERROR(L17/L7*100),"0.00",L17/L7*100)</f>
        <v>0.00</v>
      </c>
      <c r="E17" s="23" t="str">
        <f>IF(ISERROR(N17/N7*100),"0.00",N17/N7*100)</f>
        <v>0.00</v>
      </c>
      <c r="F17" s="22">
        <f>'1车间表2'!F13+'2车间表2'!F13</f>
        <v>0</v>
      </c>
      <c r="G17" s="23"/>
      <c r="H17" s="23" t="str">
        <f t="shared" ref="H17:H28" si="9">IF(ISERROR(L17/F17*100),"0.00",L17/F17*100)</f>
        <v>0.00</v>
      </c>
      <c r="I17" s="23" t="str">
        <f t="shared" ref="I17:I28" si="10">IF(ISERROR(M17/F17*100),"0.00",M17/F17*100)</f>
        <v>0.00</v>
      </c>
      <c r="J17" s="27" t="str">
        <f>IF(ISERROR(N17/F17*1000),"0",N17/F17*1000)</f>
        <v>0</v>
      </c>
      <c r="K17" s="23"/>
      <c r="L17" s="22">
        <f>'1车间表2'!J13+'2车间表2'!J13</f>
        <v>0</v>
      </c>
      <c r="M17" s="22">
        <f>'1车间表2'!K13+'2车间表2'!K13</f>
        <v>0</v>
      </c>
      <c r="N17" s="22">
        <f>'1车间表2'!L13+'2车间表2'!L13</f>
        <v>0</v>
      </c>
      <c r="P17" s="31" t="e">
        <f t="shared" ref="P17:S20" si="11">K17/K7*100</f>
        <v>#DIV/0!</v>
      </c>
      <c r="Q17" s="31" t="e">
        <f t="shared" si="11"/>
        <v>#DIV/0!</v>
      </c>
      <c r="R17" s="31" t="e">
        <f t="shared" si="11"/>
        <v>#DIV/0!</v>
      </c>
      <c r="S17" s="31" t="e">
        <f>N17/N7*100</f>
        <v>#DIV/0!</v>
      </c>
      <c r="U17" s="31" t="e">
        <f>R17</f>
        <v>#DIV/0!</v>
      </c>
      <c r="V17" s="31" t="e">
        <f>R21</f>
        <v>#DIV/0!</v>
      </c>
      <c r="W17" s="31" t="e">
        <f>R13</f>
        <v>#DIV/0!</v>
      </c>
      <c r="X17" s="31" t="e">
        <f>R25</f>
        <v>#DIV/0!</v>
      </c>
      <c r="Y17" s="31" t="e">
        <f t="shared" ref="Y17:Y28" si="12">U17+V17+W17+X17</f>
        <v>#DIV/0!</v>
      </c>
      <c r="Z17" s="31"/>
      <c r="AA17" s="31"/>
      <c r="AB17" s="31"/>
      <c r="AC17" s="31"/>
      <c r="AD17" s="31"/>
      <c r="AG17" s="34"/>
      <c r="AK17" s="34"/>
    </row>
    <row r="18" spans="2:43" ht="20.100000000000001" customHeight="1">
      <c r="B18" s="679"/>
      <c r="C18" s="20" t="s">
        <v>729</v>
      </c>
      <c r="D18" s="23">
        <f>IF(ISERROR(L18/L8*100),"0.00",L18/L8*100)</f>
        <v>96.725985057824175</v>
      </c>
      <c r="E18" s="23">
        <f>IF(ISERROR(N18/N8*100),"0.00",N18/N8*100)</f>
        <v>115.70148957715539</v>
      </c>
      <c r="F18" s="22">
        <f>'1车间表2'!F14+'2车间表2'!F14</f>
        <v>6.8998956094565553</v>
      </c>
      <c r="G18" s="23"/>
      <c r="H18" s="23">
        <f t="shared" si="9"/>
        <v>65.27</v>
      </c>
      <c r="I18" s="23">
        <f t="shared" si="10"/>
        <v>0</v>
      </c>
      <c r="J18" s="27">
        <f t="shared" ref="J18:J28" si="13">IF(ISERROR(N18/F18*1000),"0",N18/F18*1000)</f>
        <v>3352</v>
      </c>
      <c r="K18" s="23"/>
      <c r="L18" s="22">
        <f>'1车间表2'!J14+'2车间表2'!J14</f>
        <v>4.5035618642922932</v>
      </c>
      <c r="M18" s="22">
        <f>'1车间表2'!K14+'2车间表2'!K14</f>
        <v>0</v>
      </c>
      <c r="N18" s="22">
        <f>'1车间表2'!L14+'2车间表2'!L14</f>
        <v>23.128450082898372</v>
      </c>
      <c r="P18" s="31" t="e">
        <f t="shared" si="11"/>
        <v>#DIV/0!</v>
      </c>
      <c r="Q18" s="31">
        <f t="shared" si="11"/>
        <v>96.725985057824175</v>
      </c>
      <c r="R18" s="31" t="e">
        <f t="shared" si="11"/>
        <v>#DIV/0!</v>
      </c>
      <c r="S18" s="31">
        <f t="shared" si="11"/>
        <v>115.70148957715539</v>
      </c>
      <c r="U18" s="31" t="e">
        <f>R18</f>
        <v>#DIV/0!</v>
      </c>
      <c r="V18" s="31" t="e">
        <f>R22</f>
        <v>#DIV/0!</v>
      </c>
      <c r="W18" s="31" t="e">
        <f>R14</f>
        <v>#DIV/0!</v>
      </c>
      <c r="X18" s="31" t="e">
        <f>R26</f>
        <v>#DIV/0!</v>
      </c>
      <c r="Y18" s="31" t="e">
        <f t="shared" si="12"/>
        <v>#DIV/0!</v>
      </c>
      <c r="AC18" s="34"/>
      <c r="AG18" s="34"/>
      <c r="AK18" s="34"/>
    </row>
    <row r="19" spans="2:43" ht="20.100000000000001" customHeight="1">
      <c r="B19" s="679"/>
      <c r="C19" s="20" t="s">
        <v>730</v>
      </c>
      <c r="D19" s="23">
        <f>IF(ISERROR(L19/L9*100),"0.00",L19/L9*100)</f>
        <v>97.922147110926488</v>
      </c>
      <c r="E19" s="23">
        <f>IF(ISERROR(N19/N9*100),"0.00",N19/N9*100)</f>
        <v>88.686422520354697</v>
      </c>
      <c r="F19" s="22">
        <f>'1车间表2'!F15+'2车间表2'!F15</f>
        <v>7.4929006823351028</v>
      </c>
      <c r="G19" s="23"/>
      <c r="H19" s="23">
        <f t="shared" si="9"/>
        <v>66.039999999999992</v>
      </c>
      <c r="I19" s="23">
        <f t="shared" si="10"/>
        <v>0</v>
      </c>
      <c r="J19" s="27">
        <f t="shared" si="13"/>
        <v>3380.0000000000005</v>
      </c>
      <c r="K19" s="23"/>
      <c r="L19" s="22">
        <f>'1车间表2'!J15+'2车间表2'!J15</f>
        <v>4.9483116106141019</v>
      </c>
      <c r="M19" s="22">
        <f>'1车间表2'!K15+'2车间表2'!K15</f>
        <v>0</v>
      </c>
      <c r="N19" s="22">
        <f>'1车间表2'!L15+'2车间表2'!L15</f>
        <v>25.326004306292649</v>
      </c>
      <c r="P19" s="31" t="e">
        <f t="shared" si="11"/>
        <v>#DIV/0!</v>
      </c>
      <c r="Q19" s="31">
        <f t="shared" si="11"/>
        <v>97.922147110926488</v>
      </c>
      <c r="R19" s="31" t="e">
        <f t="shared" si="11"/>
        <v>#DIV/0!</v>
      </c>
      <c r="S19" s="31">
        <f t="shared" si="11"/>
        <v>88.686422520354697</v>
      </c>
      <c r="U19" s="31" t="e">
        <f>R19</f>
        <v>#DIV/0!</v>
      </c>
      <c r="V19" s="31" t="e">
        <f>R23</f>
        <v>#DIV/0!</v>
      </c>
      <c r="W19" s="31" t="e">
        <f>R15</f>
        <v>#DIV/0!</v>
      </c>
      <c r="X19" s="31" t="e">
        <f>R27</f>
        <v>#DIV/0!</v>
      </c>
      <c r="Y19" s="31" t="e">
        <f t="shared" si="12"/>
        <v>#DIV/0!</v>
      </c>
      <c r="AC19" s="34"/>
      <c r="AG19" s="34"/>
      <c r="AK19" s="34"/>
      <c r="AQ19" s="18" t="s">
        <v>0</v>
      </c>
    </row>
    <row r="20" spans="2:43" ht="20.100000000000001" customHeight="1">
      <c r="B20" s="679"/>
      <c r="C20" s="20" t="s">
        <v>57</v>
      </c>
      <c r="D20" s="23">
        <f>IF(ISERROR(L20/L10*100),"0.00",L20/L10*100)</f>
        <v>97.348539988275135</v>
      </c>
      <c r="E20" s="23">
        <f>IF(ISERROR(N20/N10*100),"0.00",N20/N10*100)</f>
        <v>99.810273661390255</v>
      </c>
      <c r="F20" s="23">
        <f>F17+F18+F19</f>
        <v>14.392796291791658</v>
      </c>
      <c r="G20" s="23"/>
      <c r="H20" s="23">
        <f t="shared" si="9"/>
        <v>65.670862584895232</v>
      </c>
      <c r="I20" s="23">
        <f t="shared" si="10"/>
        <v>0</v>
      </c>
      <c r="J20" s="27">
        <f t="shared" si="13"/>
        <v>3366.5768212689172</v>
      </c>
      <c r="K20" s="23"/>
      <c r="L20" s="23">
        <f>L17+L18+L19</f>
        <v>9.451873474906396</v>
      </c>
      <c r="M20" s="23">
        <f>M17+M18+M19</f>
        <v>0</v>
      </c>
      <c r="N20" s="23">
        <f>N17+N18+N19</f>
        <v>48.454454389191021</v>
      </c>
      <c r="P20" s="31" t="e">
        <f t="shared" si="11"/>
        <v>#DIV/0!</v>
      </c>
      <c r="Q20" s="31">
        <f t="shared" si="11"/>
        <v>97.348539988275135</v>
      </c>
      <c r="R20" s="31" t="e">
        <f t="shared" si="11"/>
        <v>#DIV/0!</v>
      </c>
      <c r="S20" s="31">
        <f t="shared" si="11"/>
        <v>99.810273661390255</v>
      </c>
      <c r="U20" s="31" t="e">
        <f>R20</f>
        <v>#DIV/0!</v>
      </c>
      <c r="V20" s="31" t="e">
        <f>R24</f>
        <v>#DIV/0!</v>
      </c>
      <c r="W20" s="31" t="e">
        <f>R16</f>
        <v>#DIV/0!</v>
      </c>
      <c r="X20" s="31" t="e">
        <f>R28</f>
        <v>#DIV/0!</v>
      </c>
      <c r="Y20" s="31" t="e">
        <f t="shared" si="12"/>
        <v>#DIV/0!</v>
      </c>
      <c r="AC20" s="34"/>
      <c r="AG20" s="34"/>
      <c r="AK20" s="34"/>
    </row>
    <row r="21" spans="2:43" ht="20.100000000000001" customHeight="1">
      <c r="B21" s="679" t="s">
        <v>25</v>
      </c>
      <c r="C21" s="20" t="s">
        <v>728</v>
      </c>
      <c r="D21" s="23" t="str">
        <f t="shared" ref="D21:E24" si="14">IF(ISERROR(M21/M7*100),"0.00",M21/M7*100)</f>
        <v>0.00</v>
      </c>
      <c r="E21" s="23" t="str">
        <f>IF(ISERROR(N21/N7*100),"0.00",N21/N7*100)</f>
        <v>0.00</v>
      </c>
      <c r="F21" s="22">
        <f>'1车间表2'!F17+'2车间表2'!F17</f>
        <v>0</v>
      </c>
      <c r="G21" s="23"/>
      <c r="H21" s="23" t="str">
        <f t="shared" si="9"/>
        <v>0.00</v>
      </c>
      <c r="I21" s="23" t="str">
        <f t="shared" si="10"/>
        <v>0.00</v>
      </c>
      <c r="J21" s="27" t="str">
        <f t="shared" si="13"/>
        <v>0</v>
      </c>
      <c r="K21" s="23"/>
      <c r="L21" s="22">
        <f>'1车间表2'!J17+'2车间表2'!J17</f>
        <v>0</v>
      </c>
      <c r="M21" s="22">
        <f>'1车间表2'!K17+'2车间表2'!K17</f>
        <v>0</v>
      </c>
      <c r="N21" s="22">
        <f>'1车间表2'!L17+'2车间表2'!L17</f>
        <v>0</v>
      </c>
      <c r="P21" s="31" t="e">
        <f t="shared" ref="P21:S24" si="15">K21/K7*100</f>
        <v>#DIV/0!</v>
      </c>
      <c r="Q21" s="31" t="e">
        <f t="shared" si="15"/>
        <v>#DIV/0!</v>
      </c>
      <c r="R21" s="31" t="e">
        <f t="shared" si="15"/>
        <v>#DIV/0!</v>
      </c>
      <c r="S21" s="31" t="e">
        <f t="shared" si="15"/>
        <v>#DIV/0!</v>
      </c>
      <c r="U21" s="31" t="e">
        <f>P17</f>
        <v>#DIV/0!</v>
      </c>
      <c r="V21" s="31" t="e">
        <f>P21</f>
        <v>#DIV/0!</v>
      </c>
      <c r="W21" s="31" t="e">
        <f>P13</f>
        <v>#DIV/0!</v>
      </c>
      <c r="X21" s="31" t="e">
        <f>P25</f>
        <v>#DIV/0!</v>
      </c>
      <c r="Y21" s="31" t="e">
        <f t="shared" si="12"/>
        <v>#DIV/0!</v>
      </c>
      <c r="AC21" s="34"/>
      <c r="AG21" s="34"/>
      <c r="AK21" s="34"/>
    </row>
    <row r="22" spans="2:43" ht="20.100000000000001" customHeight="1">
      <c r="B22" s="679"/>
      <c r="C22" s="20" t="s">
        <v>729</v>
      </c>
      <c r="D22" s="23" t="str">
        <f t="shared" si="14"/>
        <v>0.00</v>
      </c>
      <c r="E22" s="23">
        <f t="shared" si="14"/>
        <v>0</v>
      </c>
      <c r="F22" s="22">
        <f>'1车间表2'!F18+'2车间表2'!F18</f>
        <v>0</v>
      </c>
      <c r="G22" s="23"/>
      <c r="H22" s="23" t="str">
        <f t="shared" si="9"/>
        <v>0.00</v>
      </c>
      <c r="I22" s="23" t="str">
        <f t="shared" si="10"/>
        <v>0.00</v>
      </c>
      <c r="J22" s="27" t="str">
        <f t="shared" si="13"/>
        <v>0</v>
      </c>
      <c r="K22" s="23"/>
      <c r="L22" s="22">
        <f>'1车间表2'!J18+'2车间表2'!J18</f>
        <v>0</v>
      </c>
      <c r="M22" s="22">
        <f>'1车间表2'!K18+'2车间表2'!K18</f>
        <v>0</v>
      </c>
      <c r="N22" s="22">
        <f>'1车间表2'!L18+'2车间表2'!L18</f>
        <v>0</v>
      </c>
      <c r="P22" s="31" t="e">
        <f t="shared" si="15"/>
        <v>#DIV/0!</v>
      </c>
      <c r="Q22" s="31">
        <f t="shared" si="15"/>
        <v>0</v>
      </c>
      <c r="R22" s="31" t="e">
        <f t="shared" si="15"/>
        <v>#DIV/0!</v>
      </c>
      <c r="S22" s="31">
        <f t="shared" si="15"/>
        <v>0</v>
      </c>
      <c r="U22" s="31" t="e">
        <f>P18</f>
        <v>#DIV/0!</v>
      </c>
      <c r="V22" s="31" t="e">
        <f>P22</f>
        <v>#DIV/0!</v>
      </c>
      <c r="W22" s="31" t="e">
        <f>P14</f>
        <v>#DIV/0!</v>
      </c>
      <c r="X22" s="31" t="e">
        <f>P26</f>
        <v>#DIV/0!</v>
      </c>
      <c r="Y22" s="31" t="e">
        <f t="shared" si="12"/>
        <v>#DIV/0!</v>
      </c>
      <c r="AC22" s="34"/>
      <c r="AG22" s="34"/>
      <c r="AK22" s="34"/>
    </row>
    <row r="23" spans="2:43" ht="20.100000000000001" customHeight="1">
      <c r="B23" s="679"/>
      <c r="C23" s="20" t="s">
        <v>730</v>
      </c>
      <c r="D23" s="23" t="str">
        <f t="shared" si="14"/>
        <v>0.00</v>
      </c>
      <c r="E23" s="23">
        <f t="shared" si="14"/>
        <v>0</v>
      </c>
      <c r="F23" s="22">
        <f>'1车间表2'!F19+'2车间表2'!F19</f>
        <v>0</v>
      </c>
      <c r="G23" s="23"/>
      <c r="H23" s="23" t="str">
        <f t="shared" si="9"/>
        <v>0.00</v>
      </c>
      <c r="I23" s="23" t="str">
        <f t="shared" si="10"/>
        <v>0.00</v>
      </c>
      <c r="J23" s="27" t="str">
        <f t="shared" si="13"/>
        <v>0</v>
      </c>
      <c r="K23" s="23"/>
      <c r="L23" s="22">
        <f>'1车间表2'!J19+'2车间表2'!J19</f>
        <v>0</v>
      </c>
      <c r="M23" s="22">
        <f>'1车间表2'!K19+'2车间表2'!K19</f>
        <v>0</v>
      </c>
      <c r="N23" s="22">
        <f>'1车间表2'!L19+'2车间表2'!L19</f>
        <v>0</v>
      </c>
      <c r="P23" s="31" t="e">
        <f t="shared" si="15"/>
        <v>#DIV/0!</v>
      </c>
      <c r="Q23" s="31">
        <f t="shared" si="15"/>
        <v>0</v>
      </c>
      <c r="R23" s="31" t="e">
        <f t="shared" si="15"/>
        <v>#DIV/0!</v>
      </c>
      <c r="S23" s="31">
        <f t="shared" si="15"/>
        <v>0</v>
      </c>
      <c r="U23" s="31" t="e">
        <f>P19</f>
        <v>#DIV/0!</v>
      </c>
      <c r="V23" s="31" t="e">
        <f>P23</f>
        <v>#DIV/0!</v>
      </c>
      <c r="W23" s="31" t="e">
        <f>P15</f>
        <v>#DIV/0!</v>
      </c>
      <c r="X23" s="31" t="e">
        <f>P27</f>
        <v>#DIV/0!</v>
      </c>
      <c r="Y23" s="31" t="e">
        <f t="shared" si="12"/>
        <v>#DIV/0!</v>
      </c>
      <c r="AC23" s="34"/>
      <c r="AG23" s="34"/>
      <c r="AK23" s="34"/>
    </row>
    <row r="24" spans="2:43" ht="20.100000000000001" customHeight="1">
      <c r="B24" s="679"/>
      <c r="C24" s="20" t="s">
        <v>57</v>
      </c>
      <c r="D24" s="23" t="str">
        <f t="shared" si="14"/>
        <v>0.00</v>
      </c>
      <c r="E24" s="23">
        <f t="shared" si="14"/>
        <v>0</v>
      </c>
      <c r="F24" s="23">
        <f>F21+F22+F23</f>
        <v>0</v>
      </c>
      <c r="G24" s="23"/>
      <c r="H24" s="23" t="str">
        <f t="shared" si="9"/>
        <v>0.00</v>
      </c>
      <c r="I24" s="23" t="str">
        <f t="shared" si="10"/>
        <v>0.00</v>
      </c>
      <c r="J24" s="27" t="str">
        <f t="shared" si="13"/>
        <v>0</v>
      </c>
      <c r="K24" s="23"/>
      <c r="L24" s="23">
        <f>L21+L22+L23</f>
        <v>0</v>
      </c>
      <c r="M24" s="23">
        <f>M21+M22+M23</f>
        <v>0</v>
      </c>
      <c r="N24" s="23">
        <f>N21+N22+N23</f>
        <v>0</v>
      </c>
      <c r="P24" s="31" t="e">
        <f t="shared" si="15"/>
        <v>#DIV/0!</v>
      </c>
      <c r="Q24" s="31">
        <f t="shared" si="15"/>
        <v>0</v>
      </c>
      <c r="R24" s="31" t="e">
        <f t="shared" si="15"/>
        <v>#DIV/0!</v>
      </c>
      <c r="S24" s="31">
        <f t="shared" si="15"/>
        <v>0</v>
      </c>
      <c r="U24" s="31" t="e">
        <f>P20</f>
        <v>#DIV/0!</v>
      </c>
      <c r="V24" s="31" t="e">
        <f>P24</f>
        <v>#DIV/0!</v>
      </c>
      <c r="W24" s="31" t="e">
        <f>P16</f>
        <v>#DIV/0!</v>
      </c>
      <c r="X24" s="31" t="e">
        <f>P28</f>
        <v>#DIV/0!</v>
      </c>
      <c r="Y24" s="31" t="e">
        <f t="shared" si="12"/>
        <v>#DIV/0!</v>
      </c>
      <c r="AC24" s="34"/>
      <c r="AG24" s="34"/>
      <c r="AK24" s="34"/>
    </row>
    <row r="25" spans="2:43" ht="20.100000000000001" customHeight="1">
      <c r="B25" s="679" t="s">
        <v>26</v>
      </c>
      <c r="C25" s="20" t="s">
        <v>728</v>
      </c>
      <c r="D25" s="23"/>
      <c r="E25" s="23">
        <f>E13+E17</f>
        <v>0</v>
      </c>
      <c r="F25" s="22">
        <f>'1车间表2'!F21+'2车间表2'!F21</f>
        <v>0</v>
      </c>
      <c r="G25" s="23"/>
      <c r="H25" s="23" t="str">
        <f t="shared" si="9"/>
        <v>0.00</v>
      </c>
      <c r="I25" s="23" t="str">
        <f t="shared" si="10"/>
        <v>0.00</v>
      </c>
      <c r="J25" s="27" t="str">
        <f t="shared" si="13"/>
        <v>0</v>
      </c>
      <c r="K25" s="23"/>
      <c r="L25" s="22">
        <f>'1车间表2'!J21+'2车间表2'!J21</f>
        <v>0</v>
      </c>
      <c r="M25" s="22">
        <f>'1车间表2'!K21+'2车间表2'!K21</f>
        <v>0</v>
      </c>
      <c r="N25" s="22">
        <f>'1车间表2'!L21+'2车间表2'!L21</f>
        <v>0</v>
      </c>
      <c r="P25" s="31" t="e">
        <f t="shared" ref="P25:S28" si="16">K25/K7*100</f>
        <v>#DIV/0!</v>
      </c>
      <c r="Q25" s="31" t="e">
        <f t="shared" si="16"/>
        <v>#DIV/0!</v>
      </c>
      <c r="R25" s="31" t="e">
        <f t="shared" si="16"/>
        <v>#DIV/0!</v>
      </c>
      <c r="S25" s="31" t="e">
        <f t="shared" si="16"/>
        <v>#DIV/0!</v>
      </c>
      <c r="U25" s="31" t="e">
        <f>S17</f>
        <v>#DIV/0!</v>
      </c>
      <c r="V25" s="31" t="e">
        <f>S21</f>
        <v>#DIV/0!</v>
      </c>
      <c r="W25" s="31" t="e">
        <f>S13</f>
        <v>#DIV/0!</v>
      </c>
      <c r="X25" s="31" t="e">
        <f>S25</f>
        <v>#DIV/0!</v>
      </c>
      <c r="Y25" s="31" t="e">
        <f t="shared" si="12"/>
        <v>#DIV/0!</v>
      </c>
      <c r="AC25" s="34"/>
      <c r="AG25" s="34"/>
      <c r="AK25" s="34"/>
    </row>
    <row r="26" spans="2:43" ht="20.100000000000001" customHeight="1">
      <c r="B26" s="679"/>
      <c r="C26" s="20" t="s">
        <v>729</v>
      </c>
      <c r="D26" s="23"/>
      <c r="E26" s="23">
        <f>E14+E18</f>
        <v>115.70148957715539</v>
      </c>
      <c r="F26" s="22">
        <f>'1车间表2'!F22+'2车间表2'!F22</f>
        <v>117.26010439054345</v>
      </c>
      <c r="G26" s="23"/>
      <c r="H26" s="23">
        <f t="shared" si="9"/>
        <v>0.13</v>
      </c>
      <c r="I26" s="23">
        <f t="shared" si="10"/>
        <v>0</v>
      </c>
      <c r="J26" s="27">
        <f t="shared" si="13"/>
        <v>-26.766905071521474</v>
      </c>
      <c r="K26" s="23"/>
      <c r="L26" s="22">
        <f>'1车间表2'!J22+'2车间表2'!J22</f>
        <v>0.15243813570770648</v>
      </c>
      <c r="M26" s="22">
        <f>'1车间表2'!K22+'2车间表2'!K22</f>
        <v>0</v>
      </c>
      <c r="N26" s="22">
        <f>'1车间表2'!L22+'2车间表2'!L22</f>
        <v>-3.1386900828983748</v>
      </c>
      <c r="P26" s="31" t="e">
        <f t="shared" si="16"/>
        <v>#DIV/0!</v>
      </c>
      <c r="Q26" s="31">
        <f t="shared" si="16"/>
        <v>3.2740149421758264</v>
      </c>
      <c r="R26" s="31" t="e">
        <f t="shared" si="16"/>
        <v>#DIV/0!</v>
      </c>
      <c r="S26" s="31">
        <f t="shared" si="16"/>
        <v>-15.701489577155382</v>
      </c>
      <c r="U26" s="31">
        <f>S18</f>
        <v>115.70148957715539</v>
      </c>
      <c r="V26" s="31">
        <f>S22</f>
        <v>0</v>
      </c>
      <c r="W26" s="31">
        <f>S14</f>
        <v>0</v>
      </c>
      <c r="X26" s="31">
        <f>S26</f>
        <v>-15.701489577155382</v>
      </c>
      <c r="Y26" s="31">
        <f t="shared" si="12"/>
        <v>100</v>
      </c>
      <c r="AC26" s="34"/>
      <c r="AG26" s="34"/>
      <c r="AK26" s="34"/>
    </row>
    <row r="27" spans="2:43" ht="20.100000000000001" customHeight="1">
      <c r="B27" s="679"/>
      <c r="C27" s="20" t="s">
        <v>730</v>
      </c>
      <c r="D27" s="23"/>
      <c r="E27" s="23">
        <f>E15+E19</f>
        <v>88.686422520354697</v>
      </c>
      <c r="F27" s="22">
        <f>'1车间表2'!F23+'2车间表2'!F23</f>
        <v>116.66709931766489</v>
      </c>
      <c r="G27" s="23"/>
      <c r="H27" s="23">
        <f t="shared" si="9"/>
        <v>8.9999999999999802E-2</v>
      </c>
      <c r="I27" s="23">
        <f t="shared" si="10"/>
        <v>0</v>
      </c>
      <c r="J27" s="27">
        <f t="shared" si="13"/>
        <v>27.692431821849247</v>
      </c>
      <c r="K27" s="23"/>
      <c r="L27" s="22">
        <f>'1车间表2'!J23+'2车间表2'!J23</f>
        <v>0.10500038938589817</v>
      </c>
      <c r="M27" s="22">
        <f>'1车间表2'!K23+'2车间表2'!K23</f>
        <v>0</v>
      </c>
      <c r="N27" s="22">
        <f>'1车间表2'!L23+'2车间表2'!L23</f>
        <v>3.2307956937073499</v>
      </c>
      <c r="P27" s="31" t="e">
        <f t="shared" si="16"/>
        <v>#DIV/0!</v>
      </c>
      <c r="Q27" s="31">
        <f t="shared" si="16"/>
        <v>2.077852889073506</v>
      </c>
      <c r="R27" s="31" t="e">
        <f t="shared" si="16"/>
        <v>#DIV/0!</v>
      </c>
      <c r="S27" s="31">
        <f t="shared" si="16"/>
        <v>11.313577479645303</v>
      </c>
      <c r="U27" s="31">
        <f>S19</f>
        <v>88.686422520354697</v>
      </c>
      <c r="V27" s="31">
        <f>S23</f>
        <v>0</v>
      </c>
      <c r="W27" s="31">
        <f>S15</f>
        <v>0</v>
      </c>
      <c r="X27" s="31">
        <f>S27</f>
        <v>11.313577479645303</v>
      </c>
      <c r="Y27" s="31">
        <f t="shared" si="12"/>
        <v>100</v>
      </c>
      <c r="AC27" s="34"/>
      <c r="AG27" s="34"/>
      <c r="AK27" s="34"/>
    </row>
    <row r="28" spans="2:43" ht="20.100000000000001" customHeight="1">
      <c r="B28" s="679"/>
      <c r="C28" s="20" t="s">
        <v>57</v>
      </c>
      <c r="D28" s="23"/>
      <c r="E28" s="23">
        <f>E16+E20</f>
        <v>99.810273661390255</v>
      </c>
      <c r="F28" s="23">
        <f>F25+F26+F27</f>
        <v>233.92720370820834</v>
      </c>
      <c r="G28" s="23"/>
      <c r="H28" s="23">
        <f t="shared" si="9"/>
        <v>0.11005069996678257</v>
      </c>
      <c r="I28" s="23">
        <f t="shared" si="10"/>
        <v>0</v>
      </c>
      <c r="J28" s="27">
        <f t="shared" si="13"/>
        <v>0.39373621087637162</v>
      </c>
      <c r="K28" s="23"/>
      <c r="L28" s="23">
        <f>L25+L26+L27</f>
        <v>0.25743852509360465</v>
      </c>
      <c r="M28" s="23">
        <f>M25+M26+M27</f>
        <v>0</v>
      </c>
      <c r="N28" s="23">
        <f>N25+N26+N27</f>
        <v>9.2105610808975058E-2</v>
      </c>
      <c r="P28" s="31" t="e">
        <f t="shared" si="16"/>
        <v>#DIV/0!</v>
      </c>
      <c r="Q28" s="31">
        <f t="shared" si="16"/>
        <v>2.6514600117248746</v>
      </c>
      <c r="R28" s="31" t="e">
        <f t="shared" si="16"/>
        <v>#DIV/0!</v>
      </c>
      <c r="S28" s="31">
        <f t="shared" si="16"/>
        <v>0.1897263386097286</v>
      </c>
      <c r="U28" s="31">
        <f>S20</f>
        <v>99.810273661390255</v>
      </c>
      <c r="V28" s="31">
        <f>S24</f>
        <v>0</v>
      </c>
      <c r="W28" s="31">
        <f>S16</f>
        <v>0</v>
      </c>
      <c r="X28" s="31">
        <f>S28</f>
        <v>0.1897263386097286</v>
      </c>
      <c r="Y28" s="31">
        <f t="shared" si="12"/>
        <v>99.999999999999986</v>
      </c>
      <c r="AC28" s="34"/>
      <c r="AG28" s="34"/>
      <c r="AK28" s="34"/>
    </row>
    <row r="29" spans="2:43">
      <c r="B29" s="19"/>
      <c r="C29" s="694" t="s">
        <v>66</v>
      </c>
      <c r="D29" s="694"/>
      <c r="E29" s="694"/>
      <c r="F29" s="19"/>
      <c r="G29" s="19"/>
      <c r="H29" s="19"/>
      <c r="I29" s="19"/>
      <c r="J29" s="19"/>
      <c r="K29" s="694" t="s">
        <v>67</v>
      </c>
      <c r="L29" s="694"/>
      <c r="M29" s="694"/>
      <c r="N29" s="19"/>
    </row>
    <row r="30" spans="2:43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</sheetData>
  <mergeCells count="27">
    <mergeCell ref="O5:O6"/>
    <mergeCell ref="P5:P6"/>
    <mergeCell ref="B2:N3"/>
    <mergeCell ref="B21:B24"/>
    <mergeCell ref="B25:B28"/>
    <mergeCell ref="C5:C6"/>
    <mergeCell ref="C11:C12"/>
    <mergeCell ref="D5:D6"/>
    <mergeCell ref="B5:B6"/>
    <mergeCell ref="B7:B10"/>
    <mergeCell ref="B11:B12"/>
    <mergeCell ref="B13:B16"/>
    <mergeCell ref="B17:B20"/>
    <mergeCell ref="D11:E11"/>
    <mergeCell ref="G11:J11"/>
    <mergeCell ref="K11:N11"/>
    <mergeCell ref="C29:E29"/>
    <mergeCell ref="K29:M29"/>
    <mergeCell ref="F11:F12"/>
    <mergeCell ref="C4:D4"/>
    <mergeCell ref="E4:F4"/>
    <mergeCell ref="H4:J4"/>
    <mergeCell ref="L4:M4"/>
    <mergeCell ref="G5:J5"/>
    <mergeCell ref="K5:N5"/>
    <mergeCell ref="E5:E6"/>
    <mergeCell ref="F5:F6"/>
  </mergeCells>
  <phoneticPr fontId="54" type="noConversion"/>
  <printOptions horizontalCentered="1" verticalCentered="1"/>
  <pageMargins left="0" right="0" top="0" bottom="0" header="0" footer="0"/>
  <pageSetup paperSize="9" orientation="landscape" horizontalDpi="180" verticalDpi="18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9">
    <tabColor indexed="12"/>
  </sheetPr>
  <dimension ref="B2:AS30"/>
  <sheetViews>
    <sheetView topLeftCell="A8" workbookViewId="0">
      <selection activeCell="O18" sqref="O18:AS27"/>
    </sheetView>
  </sheetViews>
  <sheetFormatPr defaultColWidth="9" defaultRowHeight="15.6"/>
  <cols>
    <col min="1" max="1" width="4.6640625" style="18" customWidth="1"/>
    <col min="2" max="2" width="6.33203125" style="18" customWidth="1"/>
    <col min="3" max="3" width="7" style="18" customWidth="1"/>
    <col min="4" max="4" width="10.21875" style="18" customWidth="1"/>
    <col min="5" max="5" width="9.88671875" style="18" customWidth="1"/>
    <col min="6" max="6" width="11.6640625" style="18" customWidth="1"/>
    <col min="7" max="9" width="9" style="18"/>
    <col min="10" max="10" width="9.33203125" style="18" customWidth="1"/>
    <col min="11" max="11" width="11.21875" style="18" customWidth="1"/>
    <col min="12" max="12" width="11.6640625" style="18" customWidth="1"/>
    <col min="13" max="13" width="10.44140625" style="18" customWidth="1"/>
    <col min="14" max="14" width="12.21875" style="18" customWidth="1"/>
    <col min="15" max="15" width="13.88671875" style="18" customWidth="1"/>
    <col min="16" max="18" width="9" style="18" hidden="1" customWidth="1"/>
    <col min="19" max="19" width="9.77734375" style="18" hidden="1" customWidth="1"/>
    <col min="20" max="20" width="9" style="18" hidden="1" customWidth="1"/>
    <col min="21" max="21" width="9.109375" style="18" hidden="1" customWidth="1"/>
    <col min="22" max="22" width="9.44140625" style="18" hidden="1" customWidth="1"/>
    <col min="23" max="23" width="10.77734375" style="18" hidden="1" customWidth="1"/>
    <col min="24" max="24" width="10.21875" style="18" hidden="1" customWidth="1"/>
    <col min="25" max="42" width="9" style="18" hidden="1" customWidth="1"/>
    <col min="43" max="43" width="9" style="18"/>
    <col min="44" max="44" width="9.44140625" style="18" customWidth="1"/>
    <col min="45" max="45" width="11.6640625" style="18" customWidth="1"/>
    <col min="46" max="256" width="9" style="18"/>
    <col min="257" max="257" width="4.6640625" style="18" customWidth="1"/>
    <col min="258" max="258" width="6.33203125" style="18" customWidth="1"/>
    <col min="259" max="259" width="7" style="18" customWidth="1"/>
    <col min="260" max="260" width="10.21875" style="18" customWidth="1"/>
    <col min="261" max="261" width="9.88671875" style="18" customWidth="1"/>
    <col min="262" max="262" width="11.6640625" style="18" customWidth="1"/>
    <col min="263" max="265" width="9" style="18"/>
    <col min="266" max="266" width="9.33203125" style="18" customWidth="1"/>
    <col min="267" max="267" width="11.21875" style="18" customWidth="1"/>
    <col min="268" max="269" width="9" style="18"/>
    <col min="270" max="270" width="10.109375" style="18" customWidth="1"/>
    <col min="271" max="274" width="9" style="18"/>
    <col min="275" max="275" width="9.77734375" style="18" customWidth="1"/>
    <col min="276" max="276" width="9" style="18"/>
    <col min="277" max="277" width="9.109375" style="18" customWidth="1"/>
    <col min="278" max="278" width="9.44140625" style="18" customWidth="1"/>
    <col min="279" max="279" width="10.77734375" style="18" customWidth="1"/>
    <col min="280" max="280" width="10.21875" style="18" customWidth="1"/>
    <col min="281" max="512" width="9" style="18"/>
    <col min="513" max="513" width="4.6640625" style="18" customWidth="1"/>
    <col min="514" max="514" width="6.33203125" style="18" customWidth="1"/>
    <col min="515" max="515" width="7" style="18" customWidth="1"/>
    <col min="516" max="516" width="10.21875" style="18" customWidth="1"/>
    <col min="517" max="517" width="9.88671875" style="18" customWidth="1"/>
    <col min="518" max="518" width="11.6640625" style="18" customWidth="1"/>
    <col min="519" max="521" width="9" style="18"/>
    <col min="522" max="522" width="9.33203125" style="18" customWidth="1"/>
    <col min="523" max="523" width="11.21875" style="18" customWidth="1"/>
    <col min="524" max="525" width="9" style="18"/>
    <col min="526" max="526" width="10.109375" style="18" customWidth="1"/>
    <col min="527" max="530" width="9" style="18"/>
    <col min="531" max="531" width="9.77734375" style="18" customWidth="1"/>
    <col min="532" max="532" width="9" style="18"/>
    <col min="533" max="533" width="9.109375" style="18" customWidth="1"/>
    <col min="534" max="534" width="9.44140625" style="18" customWidth="1"/>
    <col min="535" max="535" width="10.77734375" style="18" customWidth="1"/>
    <col min="536" max="536" width="10.21875" style="18" customWidth="1"/>
    <col min="537" max="768" width="9" style="18"/>
    <col min="769" max="769" width="4.6640625" style="18" customWidth="1"/>
    <col min="770" max="770" width="6.33203125" style="18" customWidth="1"/>
    <col min="771" max="771" width="7" style="18" customWidth="1"/>
    <col min="772" max="772" width="10.21875" style="18" customWidth="1"/>
    <col min="773" max="773" width="9.88671875" style="18" customWidth="1"/>
    <col min="774" max="774" width="11.6640625" style="18" customWidth="1"/>
    <col min="775" max="777" width="9" style="18"/>
    <col min="778" max="778" width="9.33203125" style="18" customWidth="1"/>
    <col min="779" max="779" width="11.21875" style="18" customWidth="1"/>
    <col min="780" max="781" width="9" style="18"/>
    <col min="782" max="782" width="10.109375" style="18" customWidth="1"/>
    <col min="783" max="786" width="9" style="18"/>
    <col min="787" max="787" width="9.77734375" style="18" customWidth="1"/>
    <col min="788" max="788" width="9" style="18"/>
    <col min="789" max="789" width="9.109375" style="18" customWidth="1"/>
    <col min="790" max="790" width="9.44140625" style="18" customWidth="1"/>
    <col min="791" max="791" width="10.77734375" style="18" customWidth="1"/>
    <col min="792" max="792" width="10.21875" style="18" customWidth="1"/>
    <col min="793" max="1024" width="9" style="18"/>
    <col min="1025" max="1025" width="4.6640625" style="18" customWidth="1"/>
    <col min="1026" max="1026" width="6.33203125" style="18" customWidth="1"/>
    <col min="1027" max="1027" width="7" style="18" customWidth="1"/>
    <col min="1028" max="1028" width="10.21875" style="18" customWidth="1"/>
    <col min="1029" max="1029" width="9.88671875" style="18" customWidth="1"/>
    <col min="1030" max="1030" width="11.6640625" style="18" customWidth="1"/>
    <col min="1031" max="1033" width="9" style="18"/>
    <col min="1034" max="1034" width="9.33203125" style="18" customWidth="1"/>
    <col min="1035" max="1035" width="11.21875" style="18" customWidth="1"/>
    <col min="1036" max="1037" width="9" style="18"/>
    <col min="1038" max="1038" width="10.109375" style="18" customWidth="1"/>
    <col min="1039" max="1042" width="9" style="18"/>
    <col min="1043" max="1043" width="9.77734375" style="18" customWidth="1"/>
    <col min="1044" max="1044" width="9" style="18"/>
    <col min="1045" max="1045" width="9.109375" style="18" customWidth="1"/>
    <col min="1046" max="1046" width="9.44140625" style="18" customWidth="1"/>
    <col min="1047" max="1047" width="10.77734375" style="18" customWidth="1"/>
    <col min="1048" max="1048" width="10.21875" style="18" customWidth="1"/>
    <col min="1049" max="1280" width="9" style="18"/>
    <col min="1281" max="1281" width="4.6640625" style="18" customWidth="1"/>
    <col min="1282" max="1282" width="6.33203125" style="18" customWidth="1"/>
    <col min="1283" max="1283" width="7" style="18" customWidth="1"/>
    <col min="1284" max="1284" width="10.21875" style="18" customWidth="1"/>
    <col min="1285" max="1285" width="9.88671875" style="18" customWidth="1"/>
    <col min="1286" max="1286" width="11.6640625" style="18" customWidth="1"/>
    <col min="1287" max="1289" width="9" style="18"/>
    <col min="1290" max="1290" width="9.33203125" style="18" customWidth="1"/>
    <col min="1291" max="1291" width="11.21875" style="18" customWidth="1"/>
    <col min="1292" max="1293" width="9" style="18"/>
    <col min="1294" max="1294" width="10.109375" style="18" customWidth="1"/>
    <col min="1295" max="1298" width="9" style="18"/>
    <col min="1299" max="1299" width="9.77734375" style="18" customWidth="1"/>
    <col min="1300" max="1300" width="9" style="18"/>
    <col min="1301" max="1301" width="9.109375" style="18" customWidth="1"/>
    <col min="1302" max="1302" width="9.44140625" style="18" customWidth="1"/>
    <col min="1303" max="1303" width="10.77734375" style="18" customWidth="1"/>
    <col min="1304" max="1304" width="10.21875" style="18" customWidth="1"/>
    <col min="1305" max="1536" width="9" style="18"/>
    <col min="1537" max="1537" width="4.6640625" style="18" customWidth="1"/>
    <col min="1538" max="1538" width="6.33203125" style="18" customWidth="1"/>
    <col min="1539" max="1539" width="7" style="18" customWidth="1"/>
    <col min="1540" max="1540" width="10.21875" style="18" customWidth="1"/>
    <col min="1541" max="1541" width="9.88671875" style="18" customWidth="1"/>
    <col min="1542" max="1542" width="11.6640625" style="18" customWidth="1"/>
    <col min="1543" max="1545" width="9" style="18"/>
    <col min="1546" max="1546" width="9.33203125" style="18" customWidth="1"/>
    <col min="1547" max="1547" width="11.21875" style="18" customWidth="1"/>
    <col min="1548" max="1549" width="9" style="18"/>
    <col min="1550" max="1550" width="10.109375" style="18" customWidth="1"/>
    <col min="1551" max="1554" width="9" style="18"/>
    <col min="1555" max="1555" width="9.77734375" style="18" customWidth="1"/>
    <col min="1556" max="1556" width="9" style="18"/>
    <col min="1557" max="1557" width="9.109375" style="18" customWidth="1"/>
    <col min="1558" max="1558" width="9.44140625" style="18" customWidth="1"/>
    <col min="1559" max="1559" width="10.77734375" style="18" customWidth="1"/>
    <col min="1560" max="1560" width="10.21875" style="18" customWidth="1"/>
    <col min="1561" max="1792" width="9" style="18"/>
    <col min="1793" max="1793" width="4.6640625" style="18" customWidth="1"/>
    <col min="1794" max="1794" width="6.33203125" style="18" customWidth="1"/>
    <col min="1795" max="1795" width="7" style="18" customWidth="1"/>
    <col min="1796" max="1796" width="10.21875" style="18" customWidth="1"/>
    <col min="1797" max="1797" width="9.88671875" style="18" customWidth="1"/>
    <col min="1798" max="1798" width="11.6640625" style="18" customWidth="1"/>
    <col min="1799" max="1801" width="9" style="18"/>
    <col min="1802" max="1802" width="9.33203125" style="18" customWidth="1"/>
    <col min="1803" max="1803" width="11.21875" style="18" customWidth="1"/>
    <col min="1804" max="1805" width="9" style="18"/>
    <col min="1806" max="1806" width="10.109375" style="18" customWidth="1"/>
    <col min="1807" max="1810" width="9" style="18"/>
    <col min="1811" max="1811" width="9.77734375" style="18" customWidth="1"/>
    <col min="1812" max="1812" width="9" style="18"/>
    <col min="1813" max="1813" width="9.109375" style="18" customWidth="1"/>
    <col min="1814" max="1814" width="9.44140625" style="18" customWidth="1"/>
    <col min="1815" max="1815" width="10.77734375" style="18" customWidth="1"/>
    <col min="1816" max="1816" width="10.21875" style="18" customWidth="1"/>
    <col min="1817" max="2048" width="9" style="18"/>
    <col min="2049" max="2049" width="4.6640625" style="18" customWidth="1"/>
    <col min="2050" max="2050" width="6.33203125" style="18" customWidth="1"/>
    <col min="2051" max="2051" width="7" style="18" customWidth="1"/>
    <col min="2052" max="2052" width="10.21875" style="18" customWidth="1"/>
    <col min="2053" max="2053" width="9.88671875" style="18" customWidth="1"/>
    <col min="2054" max="2054" width="11.6640625" style="18" customWidth="1"/>
    <col min="2055" max="2057" width="9" style="18"/>
    <col min="2058" max="2058" width="9.33203125" style="18" customWidth="1"/>
    <col min="2059" max="2059" width="11.21875" style="18" customWidth="1"/>
    <col min="2060" max="2061" width="9" style="18"/>
    <col min="2062" max="2062" width="10.109375" style="18" customWidth="1"/>
    <col min="2063" max="2066" width="9" style="18"/>
    <col min="2067" max="2067" width="9.77734375" style="18" customWidth="1"/>
    <col min="2068" max="2068" width="9" style="18"/>
    <col min="2069" max="2069" width="9.109375" style="18" customWidth="1"/>
    <col min="2070" max="2070" width="9.44140625" style="18" customWidth="1"/>
    <col min="2071" max="2071" width="10.77734375" style="18" customWidth="1"/>
    <col min="2072" max="2072" width="10.21875" style="18" customWidth="1"/>
    <col min="2073" max="2304" width="9" style="18"/>
    <col min="2305" max="2305" width="4.6640625" style="18" customWidth="1"/>
    <col min="2306" max="2306" width="6.33203125" style="18" customWidth="1"/>
    <col min="2307" max="2307" width="7" style="18" customWidth="1"/>
    <col min="2308" max="2308" width="10.21875" style="18" customWidth="1"/>
    <col min="2309" max="2309" width="9.88671875" style="18" customWidth="1"/>
    <col min="2310" max="2310" width="11.6640625" style="18" customWidth="1"/>
    <col min="2311" max="2313" width="9" style="18"/>
    <col min="2314" max="2314" width="9.33203125" style="18" customWidth="1"/>
    <col min="2315" max="2315" width="11.21875" style="18" customWidth="1"/>
    <col min="2316" max="2317" width="9" style="18"/>
    <col min="2318" max="2318" width="10.109375" style="18" customWidth="1"/>
    <col min="2319" max="2322" width="9" style="18"/>
    <col min="2323" max="2323" width="9.77734375" style="18" customWidth="1"/>
    <col min="2324" max="2324" width="9" style="18"/>
    <col min="2325" max="2325" width="9.109375" style="18" customWidth="1"/>
    <col min="2326" max="2326" width="9.44140625" style="18" customWidth="1"/>
    <col min="2327" max="2327" width="10.77734375" style="18" customWidth="1"/>
    <col min="2328" max="2328" width="10.21875" style="18" customWidth="1"/>
    <col min="2329" max="2560" width="9" style="18"/>
    <col min="2561" max="2561" width="4.6640625" style="18" customWidth="1"/>
    <col min="2562" max="2562" width="6.33203125" style="18" customWidth="1"/>
    <col min="2563" max="2563" width="7" style="18" customWidth="1"/>
    <col min="2564" max="2564" width="10.21875" style="18" customWidth="1"/>
    <col min="2565" max="2565" width="9.88671875" style="18" customWidth="1"/>
    <col min="2566" max="2566" width="11.6640625" style="18" customWidth="1"/>
    <col min="2567" max="2569" width="9" style="18"/>
    <col min="2570" max="2570" width="9.33203125" style="18" customWidth="1"/>
    <col min="2571" max="2571" width="11.21875" style="18" customWidth="1"/>
    <col min="2572" max="2573" width="9" style="18"/>
    <col min="2574" max="2574" width="10.109375" style="18" customWidth="1"/>
    <col min="2575" max="2578" width="9" style="18"/>
    <col min="2579" max="2579" width="9.77734375" style="18" customWidth="1"/>
    <col min="2580" max="2580" width="9" style="18"/>
    <col min="2581" max="2581" width="9.109375" style="18" customWidth="1"/>
    <col min="2582" max="2582" width="9.44140625" style="18" customWidth="1"/>
    <col min="2583" max="2583" width="10.77734375" style="18" customWidth="1"/>
    <col min="2584" max="2584" width="10.21875" style="18" customWidth="1"/>
    <col min="2585" max="2816" width="9" style="18"/>
    <col min="2817" max="2817" width="4.6640625" style="18" customWidth="1"/>
    <col min="2818" max="2818" width="6.33203125" style="18" customWidth="1"/>
    <col min="2819" max="2819" width="7" style="18" customWidth="1"/>
    <col min="2820" max="2820" width="10.21875" style="18" customWidth="1"/>
    <col min="2821" max="2821" width="9.88671875" style="18" customWidth="1"/>
    <col min="2822" max="2822" width="11.6640625" style="18" customWidth="1"/>
    <col min="2823" max="2825" width="9" style="18"/>
    <col min="2826" max="2826" width="9.33203125" style="18" customWidth="1"/>
    <col min="2827" max="2827" width="11.21875" style="18" customWidth="1"/>
    <col min="2828" max="2829" width="9" style="18"/>
    <col min="2830" max="2830" width="10.109375" style="18" customWidth="1"/>
    <col min="2831" max="2834" width="9" style="18"/>
    <col min="2835" max="2835" width="9.77734375" style="18" customWidth="1"/>
    <col min="2836" max="2836" width="9" style="18"/>
    <col min="2837" max="2837" width="9.109375" style="18" customWidth="1"/>
    <col min="2838" max="2838" width="9.44140625" style="18" customWidth="1"/>
    <col min="2839" max="2839" width="10.77734375" style="18" customWidth="1"/>
    <col min="2840" max="2840" width="10.21875" style="18" customWidth="1"/>
    <col min="2841" max="3072" width="9" style="18"/>
    <col min="3073" max="3073" width="4.6640625" style="18" customWidth="1"/>
    <col min="3074" max="3074" width="6.33203125" style="18" customWidth="1"/>
    <col min="3075" max="3075" width="7" style="18" customWidth="1"/>
    <col min="3076" max="3076" width="10.21875" style="18" customWidth="1"/>
    <col min="3077" max="3077" width="9.88671875" style="18" customWidth="1"/>
    <col min="3078" max="3078" width="11.6640625" style="18" customWidth="1"/>
    <col min="3079" max="3081" width="9" style="18"/>
    <col min="3082" max="3082" width="9.33203125" style="18" customWidth="1"/>
    <col min="3083" max="3083" width="11.21875" style="18" customWidth="1"/>
    <col min="3084" max="3085" width="9" style="18"/>
    <col min="3086" max="3086" width="10.109375" style="18" customWidth="1"/>
    <col min="3087" max="3090" width="9" style="18"/>
    <col min="3091" max="3091" width="9.77734375" style="18" customWidth="1"/>
    <col min="3092" max="3092" width="9" style="18"/>
    <col min="3093" max="3093" width="9.109375" style="18" customWidth="1"/>
    <col min="3094" max="3094" width="9.44140625" style="18" customWidth="1"/>
    <col min="3095" max="3095" width="10.77734375" style="18" customWidth="1"/>
    <col min="3096" max="3096" width="10.21875" style="18" customWidth="1"/>
    <col min="3097" max="3328" width="9" style="18"/>
    <col min="3329" max="3329" width="4.6640625" style="18" customWidth="1"/>
    <col min="3330" max="3330" width="6.33203125" style="18" customWidth="1"/>
    <col min="3331" max="3331" width="7" style="18" customWidth="1"/>
    <col min="3332" max="3332" width="10.21875" style="18" customWidth="1"/>
    <col min="3333" max="3333" width="9.88671875" style="18" customWidth="1"/>
    <col min="3334" max="3334" width="11.6640625" style="18" customWidth="1"/>
    <col min="3335" max="3337" width="9" style="18"/>
    <col min="3338" max="3338" width="9.33203125" style="18" customWidth="1"/>
    <col min="3339" max="3339" width="11.21875" style="18" customWidth="1"/>
    <col min="3340" max="3341" width="9" style="18"/>
    <col min="3342" max="3342" width="10.109375" style="18" customWidth="1"/>
    <col min="3343" max="3346" width="9" style="18"/>
    <col min="3347" max="3347" width="9.77734375" style="18" customWidth="1"/>
    <col min="3348" max="3348" width="9" style="18"/>
    <col min="3349" max="3349" width="9.109375" style="18" customWidth="1"/>
    <col min="3350" max="3350" width="9.44140625" style="18" customWidth="1"/>
    <col min="3351" max="3351" width="10.77734375" style="18" customWidth="1"/>
    <col min="3352" max="3352" width="10.21875" style="18" customWidth="1"/>
    <col min="3353" max="3584" width="9" style="18"/>
    <col min="3585" max="3585" width="4.6640625" style="18" customWidth="1"/>
    <col min="3586" max="3586" width="6.33203125" style="18" customWidth="1"/>
    <col min="3587" max="3587" width="7" style="18" customWidth="1"/>
    <col min="3588" max="3588" width="10.21875" style="18" customWidth="1"/>
    <col min="3589" max="3589" width="9.88671875" style="18" customWidth="1"/>
    <col min="3590" max="3590" width="11.6640625" style="18" customWidth="1"/>
    <col min="3591" max="3593" width="9" style="18"/>
    <col min="3594" max="3594" width="9.33203125" style="18" customWidth="1"/>
    <col min="3595" max="3595" width="11.21875" style="18" customWidth="1"/>
    <col min="3596" max="3597" width="9" style="18"/>
    <col min="3598" max="3598" width="10.109375" style="18" customWidth="1"/>
    <col min="3599" max="3602" width="9" style="18"/>
    <col min="3603" max="3603" width="9.77734375" style="18" customWidth="1"/>
    <col min="3604" max="3604" width="9" style="18"/>
    <col min="3605" max="3605" width="9.109375" style="18" customWidth="1"/>
    <col min="3606" max="3606" width="9.44140625" style="18" customWidth="1"/>
    <col min="3607" max="3607" width="10.77734375" style="18" customWidth="1"/>
    <col min="3608" max="3608" width="10.21875" style="18" customWidth="1"/>
    <col min="3609" max="3840" width="9" style="18"/>
    <col min="3841" max="3841" width="4.6640625" style="18" customWidth="1"/>
    <col min="3842" max="3842" width="6.33203125" style="18" customWidth="1"/>
    <col min="3843" max="3843" width="7" style="18" customWidth="1"/>
    <col min="3844" max="3844" width="10.21875" style="18" customWidth="1"/>
    <col min="3845" max="3845" width="9.88671875" style="18" customWidth="1"/>
    <col min="3846" max="3846" width="11.6640625" style="18" customWidth="1"/>
    <col min="3847" max="3849" width="9" style="18"/>
    <col min="3850" max="3850" width="9.33203125" style="18" customWidth="1"/>
    <col min="3851" max="3851" width="11.21875" style="18" customWidth="1"/>
    <col min="3852" max="3853" width="9" style="18"/>
    <col min="3854" max="3854" width="10.109375" style="18" customWidth="1"/>
    <col min="3855" max="3858" width="9" style="18"/>
    <col min="3859" max="3859" width="9.77734375" style="18" customWidth="1"/>
    <col min="3860" max="3860" width="9" style="18"/>
    <col min="3861" max="3861" width="9.109375" style="18" customWidth="1"/>
    <col min="3862" max="3862" width="9.44140625" style="18" customWidth="1"/>
    <col min="3863" max="3863" width="10.77734375" style="18" customWidth="1"/>
    <col min="3864" max="3864" width="10.21875" style="18" customWidth="1"/>
    <col min="3865" max="4096" width="9" style="18"/>
    <col min="4097" max="4097" width="4.6640625" style="18" customWidth="1"/>
    <col min="4098" max="4098" width="6.33203125" style="18" customWidth="1"/>
    <col min="4099" max="4099" width="7" style="18" customWidth="1"/>
    <col min="4100" max="4100" width="10.21875" style="18" customWidth="1"/>
    <col min="4101" max="4101" width="9.88671875" style="18" customWidth="1"/>
    <col min="4102" max="4102" width="11.6640625" style="18" customWidth="1"/>
    <col min="4103" max="4105" width="9" style="18"/>
    <col min="4106" max="4106" width="9.33203125" style="18" customWidth="1"/>
    <col min="4107" max="4107" width="11.21875" style="18" customWidth="1"/>
    <col min="4108" max="4109" width="9" style="18"/>
    <col min="4110" max="4110" width="10.109375" style="18" customWidth="1"/>
    <col min="4111" max="4114" width="9" style="18"/>
    <col min="4115" max="4115" width="9.77734375" style="18" customWidth="1"/>
    <col min="4116" max="4116" width="9" style="18"/>
    <col min="4117" max="4117" width="9.109375" style="18" customWidth="1"/>
    <col min="4118" max="4118" width="9.44140625" style="18" customWidth="1"/>
    <col min="4119" max="4119" width="10.77734375" style="18" customWidth="1"/>
    <col min="4120" max="4120" width="10.21875" style="18" customWidth="1"/>
    <col min="4121" max="4352" width="9" style="18"/>
    <col min="4353" max="4353" width="4.6640625" style="18" customWidth="1"/>
    <col min="4354" max="4354" width="6.33203125" style="18" customWidth="1"/>
    <col min="4355" max="4355" width="7" style="18" customWidth="1"/>
    <col min="4356" max="4356" width="10.21875" style="18" customWidth="1"/>
    <col min="4357" max="4357" width="9.88671875" style="18" customWidth="1"/>
    <col min="4358" max="4358" width="11.6640625" style="18" customWidth="1"/>
    <col min="4359" max="4361" width="9" style="18"/>
    <col min="4362" max="4362" width="9.33203125" style="18" customWidth="1"/>
    <col min="4363" max="4363" width="11.21875" style="18" customWidth="1"/>
    <col min="4364" max="4365" width="9" style="18"/>
    <col min="4366" max="4366" width="10.109375" style="18" customWidth="1"/>
    <col min="4367" max="4370" width="9" style="18"/>
    <col min="4371" max="4371" width="9.77734375" style="18" customWidth="1"/>
    <col min="4372" max="4372" width="9" style="18"/>
    <col min="4373" max="4373" width="9.109375" style="18" customWidth="1"/>
    <col min="4374" max="4374" width="9.44140625" style="18" customWidth="1"/>
    <col min="4375" max="4375" width="10.77734375" style="18" customWidth="1"/>
    <col min="4376" max="4376" width="10.21875" style="18" customWidth="1"/>
    <col min="4377" max="4608" width="9" style="18"/>
    <col min="4609" max="4609" width="4.6640625" style="18" customWidth="1"/>
    <col min="4610" max="4610" width="6.33203125" style="18" customWidth="1"/>
    <col min="4611" max="4611" width="7" style="18" customWidth="1"/>
    <col min="4612" max="4612" width="10.21875" style="18" customWidth="1"/>
    <col min="4613" max="4613" width="9.88671875" style="18" customWidth="1"/>
    <col min="4614" max="4614" width="11.6640625" style="18" customWidth="1"/>
    <col min="4615" max="4617" width="9" style="18"/>
    <col min="4618" max="4618" width="9.33203125" style="18" customWidth="1"/>
    <col min="4619" max="4619" width="11.21875" style="18" customWidth="1"/>
    <col min="4620" max="4621" width="9" style="18"/>
    <col min="4622" max="4622" width="10.109375" style="18" customWidth="1"/>
    <col min="4623" max="4626" width="9" style="18"/>
    <col min="4627" max="4627" width="9.77734375" style="18" customWidth="1"/>
    <col min="4628" max="4628" width="9" style="18"/>
    <col min="4629" max="4629" width="9.109375" style="18" customWidth="1"/>
    <col min="4630" max="4630" width="9.44140625" style="18" customWidth="1"/>
    <col min="4631" max="4631" width="10.77734375" style="18" customWidth="1"/>
    <col min="4632" max="4632" width="10.21875" style="18" customWidth="1"/>
    <col min="4633" max="4864" width="9" style="18"/>
    <col min="4865" max="4865" width="4.6640625" style="18" customWidth="1"/>
    <col min="4866" max="4866" width="6.33203125" style="18" customWidth="1"/>
    <col min="4867" max="4867" width="7" style="18" customWidth="1"/>
    <col min="4868" max="4868" width="10.21875" style="18" customWidth="1"/>
    <col min="4869" max="4869" width="9.88671875" style="18" customWidth="1"/>
    <col min="4870" max="4870" width="11.6640625" style="18" customWidth="1"/>
    <col min="4871" max="4873" width="9" style="18"/>
    <col min="4874" max="4874" width="9.33203125" style="18" customWidth="1"/>
    <col min="4875" max="4875" width="11.21875" style="18" customWidth="1"/>
    <col min="4876" max="4877" width="9" style="18"/>
    <col min="4878" max="4878" width="10.109375" style="18" customWidth="1"/>
    <col min="4879" max="4882" width="9" style="18"/>
    <col min="4883" max="4883" width="9.77734375" style="18" customWidth="1"/>
    <col min="4884" max="4884" width="9" style="18"/>
    <col min="4885" max="4885" width="9.109375" style="18" customWidth="1"/>
    <col min="4886" max="4886" width="9.44140625" style="18" customWidth="1"/>
    <col min="4887" max="4887" width="10.77734375" style="18" customWidth="1"/>
    <col min="4888" max="4888" width="10.21875" style="18" customWidth="1"/>
    <col min="4889" max="5120" width="9" style="18"/>
    <col min="5121" max="5121" width="4.6640625" style="18" customWidth="1"/>
    <col min="5122" max="5122" width="6.33203125" style="18" customWidth="1"/>
    <col min="5123" max="5123" width="7" style="18" customWidth="1"/>
    <col min="5124" max="5124" width="10.21875" style="18" customWidth="1"/>
    <col min="5125" max="5125" width="9.88671875" style="18" customWidth="1"/>
    <col min="5126" max="5126" width="11.6640625" style="18" customWidth="1"/>
    <col min="5127" max="5129" width="9" style="18"/>
    <col min="5130" max="5130" width="9.33203125" style="18" customWidth="1"/>
    <col min="5131" max="5131" width="11.21875" style="18" customWidth="1"/>
    <col min="5132" max="5133" width="9" style="18"/>
    <col min="5134" max="5134" width="10.109375" style="18" customWidth="1"/>
    <col min="5135" max="5138" width="9" style="18"/>
    <col min="5139" max="5139" width="9.77734375" style="18" customWidth="1"/>
    <col min="5140" max="5140" width="9" style="18"/>
    <col min="5141" max="5141" width="9.109375" style="18" customWidth="1"/>
    <col min="5142" max="5142" width="9.44140625" style="18" customWidth="1"/>
    <col min="5143" max="5143" width="10.77734375" style="18" customWidth="1"/>
    <col min="5144" max="5144" width="10.21875" style="18" customWidth="1"/>
    <col min="5145" max="5376" width="9" style="18"/>
    <col min="5377" max="5377" width="4.6640625" style="18" customWidth="1"/>
    <col min="5378" max="5378" width="6.33203125" style="18" customWidth="1"/>
    <col min="5379" max="5379" width="7" style="18" customWidth="1"/>
    <col min="5380" max="5380" width="10.21875" style="18" customWidth="1"/>
    <col min="5381" max="5381" width="9.88671875" style="18" customWidth="1"/>
    <col min="5382" max="5382" width="11.6640625" style="18" customWidth="1"/>
    <col min="5383" max="5385" width="9" style="18"/>
    <col min="5386" max="5386" width="9.33203125" style="18" customWidth="1"/>
    <col min="5387" max="5387" width="11.21875" style="18" customWidth="1"/>
    <col min="5388" max="5389" width="9" style="18"/>
    <col min="5390" max="5390" width="10.109375" style="18" customWidth="1"/>
    <col min="5391" max="5394" width="9" style="18"/>
    <col min="5395" max="5395" width="9.77734375" style="18" customWidth="1"/>
    <col min="5396" max="5396" width="9" style="18"/>
    <col min="5397" max="5397" width="9.109375" style="18" customWidth="1"/>
    <col min="5398" max="5398" width="9.44140625" style="18" customWidth="1"/>
    <col min="5399" max="5399" width="10.77734375" style="18" customWidth="1"/>
    <col min="5400" max="5400" width="10.21875" style="18" customWidth="1"/>
    <col min="5401" max="5632" width="9" style="18"/>
    <col min="5633" max="5633" width="4.6640625" style="18" customWidth="1"/>
    <col min="5634" max="5634" width="6.33203125" style="18" customWidth="1"/>
    <col min="5635" max="5635" width="7" style="18" customWidth="1"/>
    <col min="5636" max="5636" width="10.21875" style="18" customWidth="1"/>
    <col min="5637" max="5637" width="9.88671875" style="18" customWidth="1"/>
    <col min="5638" max="5638" width="11.6640625" style="18" customWidth="1"/>
    <col min="5639" max="5641" width="9" style="18"/>
    <col min="5642" max="5642" width="9.33203125" style="18" customWidth="1"/>
    <col min="5643" max="5643" width="11.21875" style="18" customWidth="1"/>
    <col min="5644" max="5645" width="9" style="18"/>
    <col min="5646" max="5646" width="10.109375" style="18" customWidth="1"/>
    <col min="5647" max="5650" width="9" style="18"/>
    <col min="5651" max="5651" width="9.77734375" style="18" customWidth="1"/>
    <col min="5652" max="5652" width="9" style="18"/>
    <col min="5653" max="5653" width="9.109375" style="18" customWidth="1"/>
    <col min="5654" max="5654" width="9.44140625" style="18" customWidth="1"/>
    <col min="5655" max="5655" width="10.77734375" style="18" customWidth="1"/>
    <col min="5656" max="5656" width="10.21875" style="18" customWidth="1"/>
    <col min="5657" max="5888" width="9" style="18"/>
    <col min="5889" max="5889" width="4.6640625" style="18" customWidth="1"/>
    <col min="5890" max="5890" width="6.33203125" style="18" customWidth="1"/>
    <col min="5891" max="5891" width="7" style="18" customWidth="1"/>
    <col min="5892" max="5892" width="10.21875" style="18" customWidth="1"/>
    <col min="5893" max="5893" width="9.88671875" style="18" customWidth="1"/>
    <col min="5894" max="5894" width="11.6640625" style="18" customWidth="1"/>
    <col min="5895" max="5897" width="9" style="18"/>
    <col min="5898" max="5898" width="9.33203125" style="18" customWidth="1"/>
    <col min="5899" max="5899" width="11.21875" style="18" customWidth="1"/>
    <col min="5900" max="5901" width="9" style="18"/>
    <col min="5902" max="5902" width="10.109375" style="18" customWidth="1"/>
    <col min="5903" max="5906" width="9" style="18"/>
    <col min="5907" max="5907" width="9.77734375" style="18" customWidth="1"/>
    <col min="5908" max="5908" width="9" style="18"/>
    <col min="5909" max="5909" width="9.109375" style="18" customWidth="1"/>
    <col min="5910" max="5910" width="9.44140625" style="18" customWidth="1"/>
    <col min="5911" max="5911" width="10.77734375" style="18" customWidth="1"/>
    <col min="5912" max="5912" width="10.21875" style="18" customWidth="1"/>
    <col min="5913" max="6144" width="9" style="18"/>
    <col min="6145" max="6145" width="4.6640625" style="18" customWidth="1"/>
    <col min="6146" max="6146" width="6.33203125" style="18" customWidth="1"/>
    <col min="6147" max="6147" width="7" style="18" customWidth="1"/>
    <col min="6148" max="6148" width="10.21875" style="18" customWidth="1"/>
    <col min="6149" max="6149" width="9.88671875" style="18" customWidth="1"/>
    <col min="6150" max="6150" width="11.6640625" style="18" customWidth="1"/>
    <col min="6151" max="6153" width="9" style="18"/>
    <col min="6154" max="6154" width="9.33203125" style="18" customWidth="1"/>
    <col min="6155" max="6155" width="11.21875" style="18" customWidth="1"/>
    <col min="6156" max="6157" width="9" style="18"/>
    <col min="6158" max="6158" width="10.109375" style="18" customWidth="1"/>
    <col min="6159" max="6162" width="9" style="18"/>
    <col min="6163" max="6163" width="9.77734375" style="18" customWidth="1"/>
    <col min="6164" max="6164" width="9" style="18"/>
    <col min="6165" max="6165" width="9.109375" style="18" customWidth="1"/>
    <col min="6166" max="6166" width="9.44140625" style="18" customWidth="1"/>
    <col min="6167" max="6167" width="10.77734375" style="18" customWidth="1"/>
    <col min="6168" max="6168" width="10.21875" style="18" customWidth="1"/>
    <col min="6169" max="6400" width="9" style="18"/>
    <col min="6401" max="6401" width="4.6640625" style="18" customWidth="1"/>
    <col min="6402" max="6402" width="6.33203125" style="18" customWidth="1"/>
    <col min="6403" max="6403" width="7" style="18" customWidth="1"/>
    <col min="6404" max="6404" width="10.21875" style="18" customWidth="1"/>
    <col min="6405" max="6405" width="9.88671875" style="18" customWidth="1"/>
    <col min="6406" max="6406" width="11.6640625" style="18" customWidth="1"/>
    <col min="6407" max="6409" width="9" style="18"/>
    <col min="6410" max="6410" width="9.33203125" style="18" customWidth="1"/>
    <col min="6411" max="6411" width="11.21875" style="18" customWidth="1"/>
    <col min="6412" max="6413" width="9" style="18"/>
    <col min="6414" max="6414" width="10.109375" style="18" customWidth="1"/>
    <col min="6415" max="6418" width="9" style="18"/>
    <col min="6419" max="6419" width="9.77734375" style="18" customWidth="1"/>
    <col min="6420" max="6420" width="9" style="18"/>
    <col min="6421" max="6421" width="9.109375" style="18" customWidth="1"/>
    <col min="6422" max="6422" width="9.44140625" style="18" customWidth="1"/>
    <col min="6423" max="6423" width="10.77734375" style="18" customWidth="1"/>
    <col min="6424" max="6424" width="10.21875" style="18" customWidth="1"/>
    <col min="6425" max="6656" width="9" style="18"/>
    <col min="6657" max="6657" width="4.6640625" style="18" customWidth="1"/>
    <col min="6658" max="6658" width="6.33203125" style="18" customWidth="1"/>
    <col min="6659" max="6659" width="7" style="18" customWidth="1"/>
    <col min="6660" max="6660" width="10.21875" style="18" customWidth="1"/>
    <col min="6661" max="6661" width="9.88671875" style="18" customWidth="1"/>
    <col min="6662" max="6662" width="11.6640625" style="18" customWidth="1"/>
    <col min="6663" max="6665" width="9" style="18"/>
    <col min="6666" max="6666" width="9.33203125" style="18" customWidth="1"/>
    <col min="6667" max="6667" width="11.21875" style="18" customWidth="1"/>
    <col min="6668" max="6669" width="9" style="18"/>
    <col min="6670" max="6670" width="10.109375" style="18" customWidth="1"/>
    <col min="6671" max="6674" width="9" style="18"/>
    <col min="6675" max="6675" width="9.77734375" style="18" customWidth="1"/>
    <col min="6676" max="6676" width="9" style="18"/>
    <col min="6677" max="6677" width="9.109375" style="18" customWidth="1"/>
    <col min="6678" max="6678" width="9.44140625" style="18" customWidth="1"/>
    <col min="6679" max="6679" width="10.77734375" style="18" customWidth="1"/>
    <col min="6680" max="6680" width="10.21875" style="18" customWidth="1"/>
    <col min="6681" max="6912" width="9" style="18"/>
    <col min="6913" max="6913" width="4.6640625" style="18" customWidth="1"/>
    <col min="6914" max="6914" width="6.33203125" style="18" customWidth="1"/>
    <col min="6915" max="6915" width="7" style="18" customWidth="1"/>
    <col min="6916" max="6916" width="10.21875" style="18" customWidth="1"/>
    <col min="6917" max="6917" width="9.88671875" style="18" customWidth="1"/>
    <col min="6918" max="6918" width="11.6640625" style="18" customWidth="1"/>
    <col min="6919" max="6921" width="9" style="18"/>
    <col min="6922" max="6922" width="9.33203125" style="18" customWidth="1"/>
    <col min="6923" max="6923" width="11.21875" style="18" customWidth="1"/>
    <col min="6924" max="6925" width="9" style="18"/>
    <col min="6926" max="6926" width="10.109375" style="18" customWidth="1"/>
    <col min="6927" max="6930" width="9" style="18"/>
    <col min="6931" max="6931" width="9.77734375" style="18" customWidth="1"/>
    <col min="6932" max="6932" width="9" style="18"/>
    <col min="6933" max="6933" width="9.109375" style="18" customWidth="1"/>
    <col min="6934" max="6934" width="9.44140625" style="18" customWidth="1"/>
    <col min="6935" max="6935" width="10.77734375" style="18" customWidth="1"/>
    <col min="6936" max="6936" width="10.21875" style="18" customWidth="1"/>
    <col min="6937" max="7168" width="9" style="18"/>
    <col min="7169" max="7169" width="4.6640625" style="18" customWidth="1"/>
    <col min="7170" max="7170" width="6.33203125" style="18" customWidth="1"/>
    <col min="7171" max="7171" width="7" style="18" customWidth="1"/>
    <col min="7172" max="7172" width="10.21875" style="18" customWidth="1"/>
    <col min="7173" max="7173" width="9.88671875" style="18" customWidth="1"/>
    <col min="7174" max="7174" width="11.6640625" style="18" customWidth="1"/>
    <col min="7175" max="7177" width="9" style="18"/>
    <col min="7178" max="7178" width="9.33203125" style="18" customWidth="1"/>
    <col min="7179" max="7179" width="11.21875" style="18" customWidth="1"/>
    <col min="7180" max="7181" width="9" style="18"/>
    <col min="7182" max="7182" width="10.109375" style="18" customWidth="1"/>
    <col min="7183" max="7186" width="9" style="18"/>
    <col min="7187" max="7187" width="9.77734375" style="18" customWidth="1"/>
    <col min="7188" max="7188" width="9" style="18"/>
    <col min="7189" max="7189" width="9.109375" style="18" customWidth="1"/>
    <col min="7190" max="7190" width="9.44140625" style="18" customWidth="1"/>
    <col min="7191" max="7191" width="10.77734375" style="18" customWidth="1"/>
    <col min="7192" max="7192" width="10.21875" style="18" customWidth="1"/>
    <col min="7193" max="7424" width="9" style="18"/>
    <col min="7425" max="7425" width="4.6640625" style="18" customWidth="1"/>
    <col min="7426" max="7426" width="6.33203125" style="18" customWidth="1"/>
    <col min="7427" max="7427" width="7" style="18" customWidth="1"/>
    <col min="7428" max="7428" width="10.21875" style="18" customWidth="1"/>
    <col min="7429" max="7429" width="9.88671875" style="18" customWidth="1"/>
    <col min="7430" max="7430" width="11.6640625" style="18" customWidth="1"/>
    <col min="7431" max="7433" width="9" style="18"/>
    <col min="7434" max="7434" width="9.33203125" style="18" customWidth="1"/>
    <col min="7435" max="7435" width="11.21875" style="18" customWidth="1"/>
    <col min="7436" max="7437" width="9" style="18"/>
    <col min="7438" max="7438" width="10.109375" style="18" customWidth="1"/>
    <col min="7439" max="7442" width="9" style="18"/>
    <col min="7443" max="7443" width="9.77734375" style="18" customWidth="1"/>
    <col min="7444" max="7444" width="9" style="18"/>
    <col min="7445" max="7445" width="9.109375" style="18" customWidth="1"/>
    <col min="7446" max="7446" width="9.44140625" style="18" customWidth="1"/>
    <col min="7447" max="7447" width="10.77734375" style="18" customWidth="1"/>
    <col min="7448" max="7448" width="10.21875" style="18" customWidth="1"/>
    <col min="7449" max="7680" width="9" style="18"/>
    <col min="7681" max="7681" width="4.6640625" style="18" customWidth="1"/>
    <col min="7682" max="7682" width="6.33203125" style="18" customWidth="1"/>
    <col min="7683" max="7683" width="7" style="18" customWidth="1"/>
    <col min="7684" max="7684" width="10.21875" style="18" customWidth="1"/>
    <col min="7685" max="7685" width="9.88671875" style="18" customWidth="1"/>
    <col min="7686" max="7686" width="11.6640625" style="18" customWidth="1"/>
    <col min="7687" max="7689" width="9" style="18"/>
    <col min="7690" max="7690" width="9.33203125" style="18" customWidth="1"/>
    <col min="7691" max="7691" width="11.21875" style="18" customWidth="1"/>
    <col min="7692" max="7693" width="9" style="18"/>
    <col min="7694" max="7694" width="10.109375" style="18" customWidth="1"/>
    <col min="7695" max="7698" width="9" style="18"/>
    <col min="7699" max="7699" width="9.77734375" style="18" customWidth="1"/>
    <col min="7700" max="7700" width="9" style="18"/>
    <col min="7701" max="7701" width="9.109375" style="18" customWidth="1"/>
    <col min="7702" max="7702" width="9.44140625" style="18" customWidth="1"/>
    <col min="7703" max="7703" width="10.77734375" style="18" customWidth="1"/>
    <col min="7704" max="7704" width="10.21875" style="18" customWidth="1"/>
    <col min="7705" max="7936" width="9" style="18"/>
    <col min="7937" max="7937" width="4.6640625" style="18" customWidth="1"/>
    <col min="7938" max="7938" width="6.33203125" style="18" customWidth="1"/>
    <col min="7939" max="7939" width="7" style="18" customWidth="1"/>
    <col min="7940" max="7940" width="10.21875" style="18" customWidth="1"/>
    <col min="7941" max="7941" width="9.88671875" style="18" customWidth="1"/>
    <col min="7942" max="7942" width="11.6640625" style="18" customWidth="1"/>
    <col min="7943" max="7945" width="9" style="18"/>
    <col min="7946" max="7946" width="9.33203125" style="18" customWidth="1"/>
    <col min="7947" max="7947" width="11.21875" style="18" customWidth="1"/>
    <col min="7948" max="7949" width="9" style="18"/>
    <col min="7950" max="7950" width="10.109375" style="18" customWidth="1"/>
    <col min="7951" max="7954" width="9" style="18"/>
    <col min="7955" max="7955" width="9.77734375" style="18" customWidth="1"/>
    <col min="7956" max="7956" width="9" style="18"/>
    <col min="7957" max="7957" width="9.109375" style="18" customWidth="1"/>
    <col min="7958" max="7958" width="9.44140625" style="18" customWidth="1"/>
    <col min="7959" max="7959" width="10.77734375" style="18" customWidth="1"/>
    <col min="7960" max="7960" width="10.21875" style="18" customWidth="1"/>
    <col min="7961" max="8192" width="9" style="18"/>
    <col min="8193" max="8193" width="4.6640625" style="18" customWidth="1"/>
    <col min="8194" max="8194" width="6.33203125" style="18" customWidth="1"/>
    <col min="8195" max="8195" width="7" style="18" customWidth="1"/>
    <col min="8196" max="8196" width="10.21875" style="18" customWidth="1"/>
    <col min="8197" max="8197" width="9.88671875" style="18" customWidth="1"/>
    <col min="8198" max="8198" width="11.6640625" style="18" customWidth="1"/>
    <col min="8199" max="8201" width="9" style="18"/>
    <col min="8202" max="8202" width="9.33203125" style="18" customWidth="1"/>
    <col min="8203" max="8203" width="11.21875" style="18" customWidth="1"/>
    <col min="8204" max="8205" width="9" style="18"/>
    <col min="8206" max="8206" width="10.109375" style="18" customWidth="1"/>
    <col min="8207" max="8210" width="9" style="18"/>
    <col min="8211" max="8211" width="9.77734375" style="18" customWidth="1"/>
    <col min="8212" max="8212" width="9" style="18"/>
    <col min="8213" max="8213" width="9.109375" style="18" customWidth="1"/>
    <col min="8214" max="8214" width="9.44140625" style="18" customWidth="1"/>
    <col min="8215" max="8215" width="10.77734375" style="18" customWidth="1"/>
    <col min="8216" max="8216" width="10.21875" style="18" customWidth="1"/>
    <col min="8217" max="8448" width="9" style="18"/>
    <col min="8449" max="8449" width="4.6640625" style="18" customWidth="1"/>
    <col min="8450" max="8450" width="6.33203125" style="18" customWidth="1"/>
    <col min="8451" max="8451" width="7" style="18" customWidth="1"/>
    <col min="8452" max="8452" width="10.21875" style="18" customWidth="1"/>
    <col min="8453" max="8453" width="9.88671875" style="18" customWidth="1"/>
    <col min="8454" max="8454" width="11.6640625" style="18" customWidth="1"/>
    <col min="8455" max="8457" width="9" style="18"/>
    <col min="8458" max="8458" width="9.33203125" style="18" customWidth="1"/>
    <col min="8459" max="8459" width="11.21875" style="18" customWidth="1"/>
    <col min="8460" max="8461" width="9" style="18"/>
    <col min="8462" max="8462" width="10.109375" style="18" customWidth="1"/>
    <col min="8463" max="8466" width="9" style="18"/>
    <col min="8467" max="8467" width="9.77734375" style="18" customWidth="1"/>
    <col min="8468" max="8468" width="9" style="18"/>
    <col min="8469" max="8469" width="9.109375" style="18" customWidth="1"/>
    <col min="8470" max="8470" width="9.44140625" style="18" customWidth="1"/>
    <col min="8471" max="8471" width="10.77734375" style="18" customWidth="1"/>
    <col min="8472" max="8472" width="10.21875" style="18" customWidth="1"/>
    <col min="8473" max="8704" width="9" style="18"/>
    <col min="8705" max="8705" width="4.6640625" style="18" customWidth="1"/>
    <col min="8706" max="8706" width="6.33203125" style="18" customWidth="1"/>
    <col min="8707" max="8707" width="7" style="18" customWidth="1"/>
    <col min="8708" max="8708" width="10.21875" style="18" customWidth="1"/>
    <col min="8709" max="8709" width="9.88671875" style="18" customWidth="1"/>
    <col min="8710" max="8710" width="11.6640625" style="18" customWidth="1"/>
    <col min="8711" max="8713" width="9" style="18"/>
    <col min="8714" max="8714" width="9.33203125" style="18" customWidth="1"/>
    <col min="8715" max="8715" width="11.21875" style="18" customWidth="1"/>
    <col min="8716" max="8717" width="9" style="18"/>
    <col min="8718" max="8718" width="10.109375" style="18" customWidth="1"/>
    <col min="8719" max="8722" width="9" style="18"/>
    <col min="8723" max="8723" width="9.77734375" style="18" customWidth="1"/>
    <col min="8724" max="8724" width="9" style="18"/>
    <col min="8725" max="8725" width="9.109375" style="18" customWidth="1"/>
    <col min="8726" max="8726" width="9.44140625" style="18" customWidth="1"/>
    <col min="8727" max="8727" width="10.77734375" style="18" customWidth="1"/>
    <col min="8728" max="8728" width="10.21875" style="18" customWidth="1"/>
    <col min="8729" max="8960" width="9" style="18"/>
    <col min="8961" max="8961" width="4.6640625" style="18" customWidth="1"/>
    <col min="8962" max="8962" width="6.33203125" style="18" customWidth="1"/>
    <col min="8963" max="8963" width="7" style="18" customWidth="1"/>
    <col min="8964" max="8964" width="10.21875" style="18" customWidth="1"/>
    <col min="8965" max="8965" width="9.88671875" style="18" customWidth="1"/>
    <col min="8966" max="8966" width="11.6640625" style="18" customWidth="1"/>
    <col min="8967" max="8969" width="9" style="18"/>
    <col min="8970" max="8970" width="9.33203125" style="18" customWidth="1"/>
    <col min="8971" max="8971" width="11.21875" style="18" customWidth="1"/>
    <col min="8972" max="8973" width="9" style="18"/>
    <col min="8974" max="8974" width="10.109375" style="18" customWidth="1"/>
    <col min="8975" max="8978" width="9" style="18"/>
    <col min="8979" max="8979" width="9.77734375" style="18" customWidth="1"/>
    <col min="8980" max="8980" width="9" style="18"/>
    <col min="8981" max="8981" width="9.109375" style="18" customWidth="1"/>
    <col min="8982" max="8982" width="9.44140625" style="18" customWidth="1"/>
    <col min="8983" max="8983" width="10.77734375" style="18" customWidth="1"/>
    <col min="8984" max="8984" width="10.21875" style="18" customWidth="1"/>
    <col min="8985" max="9216" width="9" style="18"/>
    <col min="9217" max="9217" width="4.6640625" style="18" customWidth="1"/>
    <col min="9218" max="9218" width="6.33203125" style="18" customWidth="1"/>
    <col min="9219" max="9219" width="7" style="18" customWidth="1"/>
    <col min="9220" max="9220" width="10.21875" style="18" customWidth="1"/>
    <col min="9221" max="9221" width="9.88671875" style="18" customWidth="1"/>
    <col min="9222" max="9222" width="11.6640625" style="18" customWidth="1"/>
    <col min="9223" max="9225" width="9" style="18"/>
    <col min="9226" max="9226" width="9.33203125" style="18" customWidth="1"/>
    <col min="9227" max="9227" width="11.21875" style="18" customWidth="1"/>
    <col min="9228" max="9229" width="9" style="18"/>
    <col min="9230" max="9230" width="10.109375" style="18" customWidth="1"/>
    <col min="9231" max="9234" width="9" style="18"/>
    <col min="9235" max="9235" width="9.77734375" style="18" customWidth="1"/>
    <col min="9236" max="9236" width="9" style="18"/>
    <col min="9237" max="9237" width="9.109375" style="18" customWidth="1"/>
    <col min="9238" max="9238" width="9.44140625" style="18" customWidth="1"/>
    <col min="9239" max="9239" width="10.77734375" style="18" customWidth="1"/>
    <col min="9240" max="9240" width="10.21875" style="18" customWidth="1"/>
    <col min="9241" max="9472" width="9" style="18"/>
    <col min="9473" max="9473" width="4.6640625" style="18" customWidth="1"/>
    <col min="9474" max="9474" width="6.33203125" style="18" customWidth="1"/>
    <col min="9475" max="9475" width="7" style="18" customWidth="1"/>
    <col min="9476" max="9476" width="10.21875" style="18" customWidth="1"/>
    <col min="9477" max="9477" width="9.88671875" style="18" customWidth="1"/>
    <col min="9478" max="9478" width="11.6640625" style="18" customWidth="1"/>
    <col min="9479" max="9481" width="9" style="18"/>
    <col min="9482" max="9482" width="9.33203125" style="18" customWidth="1"/>
    <col min="9483" max="9483" width="11.21875" style="18" customWidth="1"/>
    <col min="9484" max="9485" width="9" style="18"/>
    <col min="9486" max="9486" width="10.109375" style="18" customWidth="1"/>
    <col min="9487" max="9490" width="9" style="18"/>
    <col min="9491" max="9491" width="9.77734375" style="18" customWidth="1"/>
    <col min="9492" max="9492" width="9" style="18"/>
    <col min="9493" max="9493" width="9.109375" style="18" customWidth="1"/>
    <col min="9494" max="9494" width="9.44140625" style="18" customWidth="1"/>
    <col min="9495" max="9495" width="10.77734375" style="18" customWidth="1"/>
    <col min="9496" max="9496" width="10.21875" style="18" customWidth="1"/>
    <col min="9497" max="9728" width="9" style="18"/>
    <col min="9729" max="9729" width="4.6640625" style="18" customWidth="1"/>
    <col min="9730" max="9730" width="6.33203125" style="18" customWidth="1"/>
    <col min="9731" max="9731" width="7" style="18" customWidth="1"/>
    <col min="9732" max="9732" width="10.21875" style="18" customWidth="1"/>
    <col min="9733" max="9733" width="9.88671875" style="18" customWidth="1"/>
    <col min="9734" max="9734" width="11.6640625" style="18" customWidth="1"/>
    <col min="9735" max="9737" width="9" style="18"/>
    <col min="9738" max="9738" width="9.33203125" style="18" customWidth="1"/>
    <col min="9739" max="9739" width="11.21875" style="18" customWidth="1"/>
    <col min="9740" max="9741" width="9" style="18"/>
    <col min="9742" max="9742" width="10.109375" style="18" customWidth="1"/>
    <col min="9743" max="9746" width="9" style="18"/>
    <col min="9747" max="9747" width="9.77734375" style="18" customWidth="1"/>
    <col min="9748" max="9748" width="9" style="18"/>
    <col min="9749" max="9749" width="9.109375" style="18" customWidth="1"/>
    <col min="9750" max="9750" width="9.44140625" style="18" customWidth="1"/>
    <col min="9751" max="9751" width="10.77734375" style="18" customWidth="1"/>
    <col min="9752" max="9752" width="10.21875" style="18" customWidth="1"/>
    <col min="9753" max="9984" width="9" style="18"/>
    <col min="9985" max="9985" width="4.6640625" style="18" customWidth="1"/>
    <col min="9986" max="9986" width="6.33203125" style="18" customWidth="1"/>
    <col min="9987" max="9987" width="7" style="18" customWidth="1"/>
    <col min="9988" max="9988" width="10.21875" style="18" customWidth="1"/>
    <col min="9989" max="9989" width="9.88671875" style="18" customWidth="1"/>
    <col min="9990" max="9990" width="11.6640625" style="18" customWidth="1"/>
    <col min="9991" max="9993" width="9" style="18"/>
    <col min="9994" max="9994" width="9.33203125" style="18" customWidth="1"/>
    <col min="9995" max="9995" width="11.21875" style="18" customWidth="1"/>
    <col min="9996" max="9997" width="9" style="18"/>
    <col min="9998" max="9998" width="10.109375" style="18" customWidth="1"/>
    <col min="9999" max="10002" width="9" style="18"/>
    <col min="10003" max="10003" width="9.77734375" style="18" customWidth="1"/>
    <col min="10004" max="10004" width="9" style="18"/>
    <col min="10005" max="10005" width="9.109375" style="18" customWidth="1"/>
    <col min="10006" max="10006" width="9.44140625" style="18" customWidth="1"/>
    <col min="10007" max="10007" width="10.77734375" style="18" customWidth="1"/>
    <col min="10008" max="10008" width="10.21875" style="18" customWidth="1"/>
    <col min="10009" max="10240" width="9" style="18"/>
    <col min="10241" max="10241" width="4.6640625" style="18" customWidth="1"/>
    <col min="10242" max="10242" width="6.33203125" style="18" customWidth="1"/>
    <col min="10243" max="10243" width="7" style="18" customWidth="1"/>
    <col min="10244" max="10244" width="10.21875" style="18" customWidth="1"/>
    <col min="10245" max="10245" width="9.88671875" style="18" customWidth="1"/>
    <col min="10246" max="10246" width="11.6640625" style="18" customWidth="1"/>
    <col min="10247" max="10249" width="9" style="18"/>
    <col min="10250" max="10250" width="9.33203125" style="18" customWidth="1"/>
    <col min="10251" max="10251" width="11.21875" style="18" customWidth="1"/>
    <col min="10252" max="10253" width="9" style="18"/>
    <col min="10254" max="10254" width="10.109375" style="18" customWidth="1"/>
    <col min="10255" max="10258" width="9" style="18"/>
    <col min="10259" max="10259" width="9.77734375" style="18" customWidth="1"/>
    <col min="10260" max="10260" width="9" style="18"/>
    <col min="10261" max="10261" width="9.109375" style="18" customWidth="1"/>
    <col min="10262" max="10262" width="9.44140625" style="18" customWidth="1"/>
    <col min="10263" max="10263" width="10.77734375" style="18" customWidth="1"/>
    <col min="10264" max="10264" width="10.21875" style="18" customWidth="1"/>
    <col min="10265" max="10496" width="9" style="18"/>
    <col min="10497" max="10497" width="4.6640625" style="18" customWidth="1"/>
    <col min="10498" max="10498" width="6.33203125" style="18" customWidth="1"/>
    <col min="10499" max="10499" width="7" style="18" customWidth="1"/>
    <col min="10500" max="10500" width="10.21875" style="18" customWidth="1"/>
    <col min="10501" max="10501" width="9.88671875" style="18" customWidth="1"/>
    <col min="10502" max="10502" width="11.6640625" style="18" customWidth="1"/>
    <col min="10503" max="10505" width="9" style="18"/>
    <col min="10506" max="10506" width="9.33203125" style="18" customWidth="1"/>
    <col min="10507" max="10507" width="11.21875" style="18" customWidth="1"/>
    <col min="10508" max="10509" width="9" style="18"/>
    <col min="10510" max="10510" width="10.109375" style="18" customWidth="1"/>
    <col min="10511" max="10514" width="9" style="18"/>
    <col min="10515" max="10515" width="9.77734375" style="18" customWidth="1"/>
    <col min="10516" max="10516" width="9" style="18"/>
    <col min="10517" max="10517" width="9.109375" style="18" customWidth="1"/>
    <col min="10518" max="10518" width="9.44140625" style="18" customWidth="1"/>
    <col min="10519" max="10519" width="10.77734375" style="18" customWidth="1"/>
    <col min="10520" max="10520" width="10.21875" style="18" customWidth="1"/>
    <col min="10521" max="10752" width="9" style="18"/>
    <col min="10753" max="10753" width="4.6640625" style="18" customWidth="1"/>
    <col min="10754" max="10754" width="6.33203125" style="18" customWidth="1"/>
    <col min="10755" max="10755" width="7" style="18" customWidth="1"/>
    <col min="10756" max="10756" width="10.21875" style="18" customWidth="1"/>
    <col min="10757" max="10757" width="9.88671875" style="18" customWidth="1"/>
    <col min="10758" max="10758" width="11.6640625" style="18" customWidth="1"/>
    <col min="10759" max="10761" width="9" style="18"/>
    <col min="10762" max="10762" width="9.33203125" style="18" customWidth="1"/>
    <col min="10763" max="10763" width="11.21875" style="18" customWidth="1"/>
    <col min="10764" max="10765" width="9" style="18"/>
    <col min="10766" max="10766" width="10.109375" style="18" customWidth="1"/>
    <col min="10767" max="10770" width="9" style="18"/>
    <col min="10771" max="10771" width="9.77734375" style="18" customWidth="1"/>
    <col min="10772" max="10772" width="9" style="18"/>
    <col min="10773" max="10773" width="9.109375" style="18" customWidth="1"/>
    <col min="10774" max="10774" width="9.44140625" style="18" customWidth="1"/>
    <col min="10775" max="10775" width="10.77734375" style="18" customWidth="1"/>
    <col min="10776" max="10776" width="10.21875" style="18" customWidth="1"/>
    <col min="10777" max="11008" width="9" style="18"/>
    <col min="11009" max="11009" width="4.6640625" style="18" customWidth="1"/>
    <col min="11010" max="11010" width="6.33203125" style="18" customWidth="1"/>
    <col min="11011" max="11011" width="7" style="18" customWidth="1"/>
    <col min="11012" max="11012" width="10.21875" style="18" customWidth="1"/>
    <col min="11013" max="11013" width="9.88671875" style="18" customWidth="1"/>
    <col min="11014" max="11014" width="11.6640625" style="18" customWidth="1"/>
    <col min="11015" max="11017" width="9" style="18"/>
    <col min="11018" max="11018" width="9.33203125" style="18" customWidth="1"/>
    <col min="11019" max="11019" width="11.21875" style="18" customWidth="1"/>
    <col min="11020" max="11021" width="9" style="18"/>
    <col min="11022" max="11022" width="10.109375" style="18" customWidth="1"/>
    <col min="11023" max="11026" width="9" style="18"/>
    <col min="11027" max="11027" width="9.77734375" style="18" customWidth="1"/>
    <col min="11028" max="11028" width="9" style="18"/>
    <col min="11029" max="11029" width="9.109375" style="18" customWidth="1"/>
    <col min="11030" max="11030" width="9.44140625" style="18" customWidth="1"/>
    <col min="11031" max="11031" width="10.77734375" style="18" customWidth="1"/>
    <col min="11032" max="11032" width="10.21875" style="18" customWidth="1"/>
    <col min="11033" max="11264" width="9" style="18"/>
    <col min="11265" max="11265" width="4.6640625" style="18" customWidth="1"/>
    <col min="11266" max="11266" width="6.33203125" style="18" customWidth="1"/>
    <col min="11267" max="11267" width="7" style="18" customWidth="1"/>
    <col min="11268" max="11268" width="10.21875" style="18" customWidth="1"/>
    <col min="11269" max="11269" width="9.88671875" style="18" customWidth="1"/>
    <col min="11270" max="11270" width="11.6640625" style="18" customWidth="1"/>
    <col min="11271" max="11273" width="9" style="18"/>
    <col min="11274" max="11274" width="9.33203125" style="18" customWidth="1"/>
    <col min="11275" max="11275" width="11.21875" style="18" customWidth="1"/>
    <col min="11276" max="11277" width="9" style="18"/>
    <col min="11278" max="11278" width="10.109375" style="18" customWidth="1"/>
    <col min="11279" max="11282" width="9" style="18"/>
    <col min="11283" max="11283" width="9.77734375" style="18" customWidth="1"/>
    <col min="11284" max="11284" width="9" style="18"/>
    <col min="11285" max="11285" width="9.109375" style="18" customWidth="1"/>
    <col min="11286" max="11286" width="9.44140625" style="18" customWidth="1"/>
    <col min="11287" max="11287" width="10.77734375" style="18" customWidth="1"/>
    <col min="11288" max="11288" width="10.21875" style="18" customWidth="1"/>
    <col min="11289" max="11520" width="9" style="18"/>
    <col min="11521" max="11521" width="4.6640625" style="18" customWidth="1"/>
    <col min="11522" max="11522" width="6.33203125" style="18" customWidth="1"/>
    <col min="11523" max="11523" width="7" style="18" customWidth="1"/>
    <col min="11524" max="11524" width="10.21875" style="18" customWidth="1"/>
    <col min="11525" max="11525" width="9.88671875" style="18" customWidth="1"/>
    <col min="11526" max="11526" width="11.6640625" style="18" customWidth="1"/>
    <col min="11527" max="11529" width="9" style="18"/>
    <col min="11530" max="11530" width="9.33203125" style="18" customWidth="1"/>
    <col min="11531" max="11531" width="11.21875" style="18" customWidth="1"/>
    <col min="11532" max="11533" width="9" style="18"/>
    <col min="11534" max="11534" width="10.109375" style="18" customWidth="1"/>
    <col min="11535" max="11538" width="9" style="18"/>
    <col min="11539" max="11539" width="9.77734375" style="18" customWidth="1"/>
    <col min="11540" max="11540" width="9" style="18"/>
    <col min="11541" max="11541" width="9.109375" style="18" customWidth="1"/>
    <col min="11542" max="11542" width="9.44140625" style="18" customWidth="1"/>
    <col min="11543" max="11543" width="10.77734375" style="18" customWidth="1"/>
    <col min="11544" max="11544" width="10.21875" style="18" customWidth="1"/>
    <col min="11545" max="11776" width="9" style="18"/>
    <col min="11777" max="11777" width="4.6640625" style="18" customWidth="1"/>
    <col min="11778" max="11778" width="6.33203125" style="18" customWidth="1"/>
    <col min="11779" max="11779" width="7" style="18" customWidth="1"/>
    <col min="11780" max="11780" width="10.21875" style="18" customWidth="1"/>
    <col min="11781" max="11781" width="9.88671875" style="18" customWidth="1"/>
    <col min="11782" max="11782" width="11.6640625" style="18" customWidth="1"/>
    <col min="11783" max="11785" width="9" style="18"/>
    <col min="11786" max="11786" width="9.33203125" style="18" customWidth="1"/>
    <col min="11787" max="11787" width="11.21875" style="18" customWidth="1"/>
    <col min="11788" max="11789" width="9" style="18"/>
    <col min="11790" max="11790" width="10.109375" style="18" customWidth="1"/>
    <col min="11791" max="11794" width="9" style="18"/>
    <col min="11795" max="11795" width="9.77734375" style="18" customWidth="1"/>
    <col min="11796" max="11796" width="9" style="18"/>
    <col min="11797" max="11797" width="9.109375" style="18" customWidth="1"/>
    <col min="11798" max="11798" width="9.44140625" style="18" customWidth="1"/>
    <col min="11799" max="11799" width="10.77734375" style="18" customWidth="1"/>
    <col min="11800" max="11800" width="10.21875" style="18" customWidth="1"/>
    <col min="11801" max="12032" width="9" style="18"/>
    <col min="12033" max="12033" width="4.6640625" style="18" customWidth="1"/>
    <col min="12034" max="12034" width="6.33203125" style="18" customWidth="1"/>
    <col min="12035" max="12035" width="7" style="18" customWidth="1"/>
    <col min="12036" max="12036" width="10.21875" style="18" customWidth="1"/>
    <col min="12037" max="12037" width="9.88671875" style="18" customWidth="1"/>
    <col min="12038" max="12038" width="11.6640625" style="18" customWidth="1"/>
    <col min="12039" max="12041" width="9" style="18"/>
    <col min="12042" max="12042" width="9.33203125" style="18" customWidth="1"/>
    <col min="12043" max="12043" width="11.21875" style="18" customWidth="1"/>
    <col min="12044" max="12045" width="9" style="18"/>
    <col min="12046" max="12046" width="10.109375" style="18" customWidth="1"/>
    <col min="12047" max="12050" width="9" style="18"/>
    <col min="12051" max="12051" width="9.77734375" style="18" customWidth="1"/>
    <col min="12052" max="12052" width="9" style="18"/>
    <col min="12053" max="12053" width="9.109375" style="18" customWidth="1"/>
    <col min="12054" max="12054" width="9.44140625" style="18" customWidth="1"/>
    <col min="12055" max="12055" width="10.77734375" style="18" customWidth="1"/>
    <col min="12056" max="12056" width="10.21875" style="18" customWidth="1"/>
    <col min="12057" max="12288" width="9" style="18"/>
    <col min="12289" max="12289" width="4.6640625" style="18" customWidth="1"/>
    <col min="12290" max="12290" width="6.33203125" style="18" customWidth="1"/>
    <col min="12291" max="12291" width="7" style="18" customWidth="1"/>
    <col min="12292" max="12292" width="10.21875" style="18" customWidth="1"/>
    <col min="12293" max="12293" width="9.88671875" style="18" customWidth="1"/>
    <col min="12294" max="12294" width="11.6640625" style="18" customWidth="1"/>
    <col min="12295" max="12297" width="9" style="18"/>
    <col min="12298" max="12298" width="9.33203125" style="18" customWidth="1"/>
    <col min="12299" max="12299" width="11.21875" style="18" customWidth="1"/>
    <col min="12300" max="12301" width="9" style="18"/>
    <col min="12302" max="12302" width="10.109375" style="18" customWidth="1"/>
    <col min="12303" max="12306" width="9" style="18"/>
    <col min="12307" max="12307" width="9.77734375" style="18" customWidth="1"/>
    <col min="12308" max="12308" width="9" style="18"/>
    <col min="12309" max="12309" width="9.109375" style="18" customWidth="1"/>
    <col min="12310" max="12310" width="9.44140625" style="18" customWidth="1"/>
    <col min="12311" max="12311" width="10.77734375" style="18" customWidth="1"/>
    <col min="12312" max="12312" width="10.21875" style="18" customWidth="1"/>
    <col min="12313" max="12544" width="9" style="18"/>
    <col min="12545" max="12545" width="4.6640625" style="18" customWidth="1"/>
    <col min="12546" max="12546" width="6.33203125" style="18" customWidth="1"/>
    <col min="12547" max="12547" width="7" style="18" customWidth="1"/>
    <col min="12548" max="12548" width="10.21875" style="18" customWidth="1"/>
    <col min="12549" max="12549" width="9.88671875" style="18" customWidth="1"/>
    <col min="12550" max="12550" width="11.6640625" style="18" customWidth="1"/>
    <col min="12551" max="12553" width="9" style="18"/>
    <col min="12554" max="12554" width="9.33203125" style="18" customWidth="1"/>
    <col min="12555" max="12555" width="11.21875" style="18" customWidth="1"/>
    <col min="12556" max="12557" width="9" style="18"/>
    <col min="12558" max="12558" width="10.109375" style="18" customWidth="1"/>
    <col min="12559" max="12562" width="9" style="18"/>
    <col min="12563" max="12563" width="9.77734375" style="18" customWidth="1"/>
    <col min="12564" max="12564" width="9" style="18"/>
    <col min="12565" max="12565" width="9.109375" style="18" customWidth="1"/>
    <col min="12566" max="12566" width="9.44140625" style="18" customWidth="1"/>
    <col min="12567" max="12567" width="10.77734375" style="18" customWidth="1"/>
    <col min="12568" max="12568" width="10.21875" style="18" customWidth="1"/>
    <col min="12569" max="12800" width="9" style="18"/>
    <col min="12801" max="12801" width="4.6640625" style="18" customWidth="1"/>
    <col min="12802" max="12802" width="6.33203125" style="18" customWidth="1"/>
    <col min="12803" max="12803" width="7" style="18" customWidth="1"/>
    <col min="12804" max="12804" width="10.21875" style="18" customWidth="1"/>
    <col min="12805" max="12805" width="9.88671875" style="18" customWidth="1"/>
    <col min="12806" max="12806" width="11.6640625" style="18" customWidth="1"/>
    <col min="12807" max="12809" width="9" style="18"/>
    <col min="12810" max="12810" width="9.33203125" style="18" customWidth="1"/>
    <col min="12811" max="12811" width="11.21875" style="18" customWidth="1"/>
    <col min="12812" max="12813" width="9" style="18"/>
    <col min="12814" max="12814" width="10.109375" style="18" customWidth="1"/>
    <col min="12815" max="12818" width="9" style="18"/>
    <col min="12819" max="12819" width="9.77734375" style="18" customWidth="1"/>
    <col min="12820" max="12820" width="9" style="18"/>
    <col min="12821" max="12821" width="9.109375" style="18" customWidth="1"/>
    <col min="12822" max="12822" width="9.44140625" style="18" customWidth="1"/>
    <col min="12823" max="12823" width="10.77734375" style="18" customWidth="1"/>
    <col min="12824" max="12824" width="10.21875" style="18" customWidth="1"/>
    <col min="12825" max="13056" width="9" style="18"/>
    <col min="13057" max="13057" width="4.6640625" style="18" customWidth="1"/>
    <col min="13058" max="13058" width="6.33203125" style="18" customWidth="1"/>
    <col min="13059" max="13059" width="7" style="18" customWidth="1"/>
    <col min="13060" max="13060" width="10.21875" style="18" customWidth="1"/>
    <col min="13061" max="13061" width="9.88671875" style="18" customWidth="1"/>
    <col min="13062" max="13062" width="11.6640625" style="18" customWidth="1"/>
    <col min="13063" max="13065" width="9" style="18"/>
    <col min="13066" max="13066" width="9.33203125" style="18" customWidth="1"/>
    <col min="13067" max="13067" width="11.21875" style="18" customWidth="1"/>
    <col min="13068" max="13069" width="9" style="18"/>
    <col min="13070" max="13070" width="10.109375" style="18" customWidth="1"/>
    <col min="13071" max="13074" width="9" style="18"/>
    <col min="13075" max="13075" width="9.77734375" style="18" customWidth="1"/>
    <col min="13076" max="13076" width="9" style="18"/>
    <col min="13077" max="13077" width="9.109375" style="18" customWidth="1"/>
    <col min="13078" max="13078" width="9.44140625" style="18" customWidth="1"/>
    <col min="13079" max="13079" width="10.77734375" style="18" customWidth="1"/>
    <col min="13080" max="13080" width="10.21875" style="18" customWidth="1"/>
    <col min="13081" max="13312" width="9" style="18"/>
    <col min="13313" max="13313" width="4.6640625" style="18" customWidth="1"/>
    <col min="13314" max="13314" width="6.33203125" style="18" customWidth="1"/>
    <col min="13315" max="13315" width="7" style="18" customWidth="1"/>
    <col min="13316" max="13316" width="10.21875" style="18" customWidth="1"/>
    <col min="13317" max="13317" width="9.88671875" style="18" customWidth="1"/>
    <col min="13318" max="13318" width="11.6640625" style="18" customWidth="1"/>
    <col min="13319" max="13321" width="9" style="18"/>
    <col min="13322" max="13322" width="9.33203125" style="18" customWidth="1"/>
    <col min="13323" max="13323" width="11.21875" style="18" customWidth="1"/>
    <col min="13324" max="13325" width="9" style="18"/>
    <col min="13326" max="13326" width="10.109375" style="18" customWidth="1"/>
    <col min="13327" max="13330" width="9" style="18"/>
    <col min="13331" max="13331" width="9.77734375" style="18" customWidth="1"/>
    <col min="13332" max="13332" width="9" style="18"/>
    <col min="13333" max="13333" width="9.109375" style="18" customWidth="1"/>
    <col min="13334" max="13334" width="9.44140625" style="18" customWidth="1"/>
    <col min="13335" max="13335" width="10.77734375" style="18" customWidth="1"/>
    <col min="13336" max="13336" width="10.21875" style="18" customWidth="1"/>
    <col min="13337" max="13568" width="9" style="18"/>
    <col min="13569" max="13569" width="4.6640625" style="18" customWidth="1"/>
    <col min="13570" max="13570" width="6.33203125" style="18" customWidth="1"/>
    <col min="13571" max="13571" width="7" style="18" customWidth="1"/>
    <col min="13572" max="13572" width="10.21875" style="18" customWidth="1"/>
    <col min="13573" max="13573" width="9.88671875" style="18" customWidth="1"/>
    <col min="13574" max="13574" width="11.6640625" style="18" customWidth="1"/>
    <col min="13575" max="13577" width="9" style="18"/>
    <col min="13578" max="13578" width="9.33203125" style="18" customWidth="1"/>
    <col min="13579" max="13579" width="11.21875" style="18" customWidth="1"/>
    <col min="13580" max="13581" width="9" style="18"/>
    <col min="13582" max="13582" width="10.109375" style="18" customWidth="1"/>
    <col min="13583" max="13586" width="9" style="18"/>
    <col min="13587" max="13587" width="9.77734375" style="18" customWidth="1"/>
    <col min="13588" max="13588" width="9" style="18"/>
    <col min="13589" max="13589" width="9.109375" style="18" customWidth="1"/>
    <col min="13590" max="13590" width="9.44140625" style="18" customWidth="1"/>
    <col min="13591" max="13591" width="10.77734375" style="18" customWidth="1"/>
    <col min="13592" max="13592" width="10.21875" style="18" customWidth="1"/>
    <col min="13593" max="13824" width="9" style="18"/>
    <col min="13825" max="13825" width="4.6640625" style="18" customWidth="1"/>
    <col min="13826" max="13826" width="6.33203125" style="18" customWidth="1"/>
    <col min="13827" max="13827" width="7" style="18" customWidth="1"/>
    <col min="13828" max="13828" width="10.21875" style="18" customWidth="1"/>
    <col min="13829" max="13829" width="9.88671875" style="18" customWidth="1"/>
    <col min="13830" max="13830" width="11.6640625" style="18" customWidth="1"/>
    <col min="13831" max="13833" width="9" style="18"/>
    <col min="13834" max="13834" width="9.33203125" style="18" customWidth="1"/>
    <col min="13835" max="13835" width="11.21875" style="18" customWidth="1"/>
    <col min="13836" max="13837" width="9" style="18"/>
    <col min="13838" max="13838" width="10.109375" style="18" customWidth="1"/>
    <col min="13839" max="13842" width="9" style="18"/>
    <col min="13843" max="13843" width="9.77734375" style="18" customWidth="1"/>
    <col min="13844" max="13844" width="9" style="18"/>
    <col min="13845" max="13845" width="9.109375" style="18" customWidth="1"/>
    <col min="13846" max="13846" width="9.44140625" style="18" customWidth="1"/>
    <col min="13847" max="13847" width="10.77734375" style="18" customWidth="1"/>
    <col min="13848" max="13848" width="10.21875" style="18" customWidth="1"/>
    <col min="13849" max="14080" width="9" style="18"/>
    <col min="14081" max="14081" width="4.6640625" style="18" customWidth="1"/>
    <col min="14082" max="14082" width="6.33203125" style="18" customWidth="1"/>
    <col min="14083" max="14083" width="7" style="18" customWidth="1"/>
    <col min="14084" max="14084" width="10.21875" style="18" customWidth="1"/>
    <col min="14085" max="14085" width="9.88671875" style="18" customWidth="1"/>
    <col min="14086" max="14086" width="11.6640625" style="18" customWidth="1"/>
    <col min="14087" max="14089" width="9" style="18"/>
    <col min="14090" max="14090" width="9.33203125" style="18" customWidth="1"/>
    <col min="14091" max="14091" width="11.21875" style="18" customWidth="1"/>
    <col min="14092" max="14093" width="9" style="18"/>
    <col min="14094" max="14094" width="10.109375" style="18" customWidth="1"/>
    <col min="14095" max="14098" width="9" style="18"/>
    <col min="14099" max="14099" width="9.77734375" style="18" customWidth="1"/>
    <col min="14100" max="14100" width="9" style="18"/>
    <col min="14101" max="14101" width="9.109375" style="18" customWidth="1"/>
    <col min="14102" max="14102" width="9.44140625" style="18" customWidth="1"/>
    <col min="14103" max="14103" width="10.77734375" style="18" customWidth="1"/>
    <col min="14104" max="14104" width="10.21875" style="18" customWidth="1"/>
    <col min="14105" max="14336" width="9" style="18"/>
    <col min="14337" max="14337" width="4.6640625" style="18" customWidth="1"/>
    <col min="14338" max="14338" width="6.33203125" style="18" customWidth="1"/>
    <col min="14339" max="14339" width="7" style="18" customWidth="1"/>
    <col min="14340" max="14340" width="10.21875" style="18" customWidth="1"/>
    <col min="14341" max="14341" width="9.88671875" style="18" customWidth="1"/>
    <col min="14342" max="14342" width="11.6640625" style="18" customWidth="1"/>
    <col min="14343" max="14345" width="9" style="18"/>
    <col min="14346" max="14346" width="9.33203125" style="18" customWidth="1"/>
    <col min="14347" max="14347" width="11.21875" style="18" customWidth="1"/>
    <col min="14348" max="14349" width="9" style="18"/>
    <col min="14350" max="14350" width="10.109375" style="18" customWidth="1"/>
    <col min="14351" max="14354" width="9" style="18"/>
    <col min="14355" max="14355" width="9.77734375" style="18" customWidth="1"/>
    <col min="14356" max="14356" width="9" style="18"/>
    <col min="14357" max="14357" width="9.109375" style="18" customWidth="1"/>
    <col min="14358" max="14358" width="9.44140625" style="18" customWidth="1"/>
    <col min="14359" max="14359" width="10.77734375" style="18" customWidth="1"/>
    <col min="14360" max="14360" width="10.21875" style="18" customWidth="1"/>
    <col min="14361" max="14592" width="9" style="18"/>
    <col min="14593" max="14593" width="4.6640625" style="18" customWidth="1"/>
    <col min="14594" max="14594" width="6.33203125" style="18" customWidth="1"/>
    <col min="14595" max="14595" width="7" style="18" customWidth="1"/>
    <col min="14596" max="14596" width="10.21875" style="18" customWidth="1"/>
    <col min="14597" max="14597" width="9.88671875" style="18" customWidth="1"/>
    <col min="14598" max="14598" width="11.6640625" style="18" customWidth="1"/>
    <col min="14599" max="14601" width="9" style="18"/>
    <col min="14602" max="14602" width="9.33203125" style="18" customWidth="1"/>
    <col min="14603" max="14603" width="11.21875" style="18" customWidth="1"/>
    <col min="14604" max="14605" width="9" style="18"/>
    <col min="14606" max="14606" width="10.109375" style="18" customWidth="1"/>
    <col min="14607" max="14610" width="9" style="18"/>
    <col min="14611" max="14611" width="9.77734375" style="18" customWidth="1"/>
    <col min="14612" max="14612" width="9" style="18"/>
    <col min="14613" max="14613" width="9.109375" style="18" customWidth="1"/>
    <col min="14614" max="14614" width="9.44140625" style="18" customWidth="1"/>
    <col min="14615" max="14615" width="10.77734375" style="18" customWidth="1"/>
    <col min="14616" max="14616" width="10.21875" style="18" customWidth="1"/>
    <col min="14617" max="14848" width="9" style="18"/>
    <col min="14849" max="14849" width="4.6640625" style="18" customWidth="1"/>
    <col min="14850" max="14850" width="6.33203125" style="18" customWidth="1"/>
    <col min="14851" max="14851" width="7" style="18" customWidth="1"/>
    <col min="14852" max="14852" width="10.21875" style="18" customWidth="1"/>
    <col min="14853" max="14853" width="9.88671875" style="18" customWidth="1"/>
    <col min="14854" max="14854" width="11.6640625" style="18" customWidth="1"/>
    <col min="14855" max="14857" width="9" style="18"/>
    <col min="14858" max="14858" width="9.33203125" style="18" customWidth="1"/>
    <col min="14859" max="14859" width="11.21875" style="18" customWidth="1"/>
    <col min="14860" max="14861" width="9" style="18"/>
    <col min="14862" max="14862" width="10.109375" style="18" customWidth="1"/>
    <col min="14863" max="14866" width="9" style="18"/>
    <col min="14867" max="14867" width="9.77734375" style="18" customWidth="1"/>
    <col min="14868" max="14868" width="9" style="18"/>
    <col min="14869" max="14869" width="9.109375" style="18" customWidth="1"/>
    <col min="14870" max="14870" width="9.44140625" style="18" customWidth="1"/>
    <col min="14871" max="14871" width="10.77734375" style="18" customWidth="1"/>
    <col min="14872" max="14872" width="10.21875" style="18" customWidth="1"/>
    <col min="14873" max="15104" width="9" style="18"/>
    <col min="15105" max="15105" width="4.6640625" style="18" customWidth="1"/>
    <col min="15106" max="15106" width="6.33203125" style="18" customWidth="1"/>
    <col min="15107" max="15107" width="7" style="18" customWidth="1"/>
    <col min="15108" max="15108" width="10.21875" style="18" customWidth="1"/>
    <col min="15109" max="15109" width="9.88671875" style="18" customWidth="1"/>
    <col min="15110" max="15110" width="11.6640625" style="18" customWidth="1"/>
    <col min="15111" max="15113" width="9" style="18"/>
    <col min="15114" max="15114" width="9.33203125" style="18" customWidth="1"/>
    <col min="15115" max="15115" width="11.21875" style="18" customWidth="1"/>
    <col min="15116" max="15117" width="9" style="18"/>
    <col min="15118" max="15118" width="10.109375" style="18" customWidth="1"/>
    <col min="15119" max="15122" width="9" style="18"/>
    <col min="15123" max="15123" width="9.77734375" style="18" customWidth="1"/>
    <col min="15124" max="15124" width="9" style="18"/>
    <col min="15125" max="15125" width="9.109375" style="18" customWidth="1"/>
    <col min="15126" max="15126" width="9.44140625" style="18" customWidth="1"/>
    <col min="15127" max="15127" width="10.77734375" style="18" customWidth="1"/>
    <col min="15128" max="15128" width="10.21875" style="18" customWidth="1"/>
    <col min="15129" max="15360" width="9" style="18"/>
    <col min="15361" max="15361" width="4.6640625" style="18" customWidth="1"/>
    <col min="15362" max="15362" width="6.33203125" style="18" customWidth="1"/>
    <col min="15363" max="15363" width="7" style="18" customWidth="1"/>
    <col min="15364" max="15364" width="10.21875" style="18" customWidth="1"/>
    <col min="15365" max="15365" width="9.88671875" style="18" customWidth="1"/>
    <col min="15366" max="15366" width="11.6640625" style="18" customWidth="1"/>
    <col min="15367" max="15369" width="9" style="18"/>
    <col min="15370" max="15370" width="9.33203125" style="18" customWidth="1"/>
    <col min="15371" max="15371" width="11.21875" style="18" customWidth="1"/>
    <col min="15372" max="15373" width="9" style="18"/>
    <col min="15374" max="15374" width="10.109375" style="18" customWidth="1"/>
    <col min="15375" max="15378" width="9" style="18"/>
    <col min="15379" max="15379" width="9.77734375" style="18" customWidth="1"/>
    <col min="15380" max="15380" width="9" style="18"/>
    <col min="15381" max="15381" width="9.109375" style="18" customWidth="1"/>
    <col min="15382" max="15382" width="9.44140625" style="18" customWidth="1"/>
    <col min="15383" max="15383" width="10.77734375" style="18" customWidth="1"/>
    <col min="15384" max="15384" width="10.21875" style="18" customWidth="1"/>
    <col min="15385" max="15616" width="9" style="18"/>
    <col min="15617" max="15617" width="4.6640625" style="18" customWidth="1"/>
    <col min="15618" max="15618" width="6.33203125" style="18" customWidth="1"/>
    <col min="15619" max="15619" width="7" style="18" customWidth="1"/>
    <col min="15620" max="15620" width="10.21875" style="18" customWidth="1"/>
    <col min="15621" max="15621" width="9.88671875" style="18" customWidth="1"/>
    <col min="15622" max="15622" width="11.6640625" style="18" customWidth="1"/>
    <col min="15623" max="15625" width="9" style="18"/>
    <col min="15626" max="15626" width="9.33203125" style="18" customWidth="1"/>
    <col min="15627" max="15627" width="11.21875" style="18" customWidth="1"/>
    <col min="15628" max="15629" width="9" style="18"/>
    <col min="15630" max="15630" width="10.109375" style="18" customWidth="1"/>
    <col min="15631" max="15634" width="9" style="18"/>
    <col min="15635" max="15635" width="9.77734375" style="18" customWidth="1"/>
    <col min="15636" max="15636" width="9" style="18"/>
    <col min="15637" max="15637" width="9.109375" style="18" customWidth="1"/>
    <col min="15638" max="15638" width="9.44140625" style="18" customWidth="1"/>
    <col min="15639" max="15639" width="10.77734375" style="18" customWidth="1"/>
    <col min="15640" max="15640" width="10.21875" style="18" customWidth="1"/>
    <col min="15641" max="15872" width="9" style="18"/>
    <col min="15873" max="15873" width="4.6640625" style="18" customWidth="1"/>
    <col min="15874" max="15874" width="6.33203125" style="18" customWidth="1"/>
    <col min="15875" max="15875" width="7" style="18" customWidth="1"/>
    <col min="15876" max="15876" width="10.21875" style="18" customWidth="1"/>
    <col min="15877" max="15877" width="9.88671875" style="18" customWidth="1"/>
    <col min="15878" max="15878" width="11.6640625" style="18" customWidth="1"/>
    <col min="15879" max="15881" width="9" style="18"/>
    <col min="15882" max="15882" width="9.33203125" style="18" customWidth="1"/>
    <col min="15883" max="15883" width="11.21875" style="18" customWidth="1"/>
    <col min="15884" max="15885" width="9" style="18"/>
    <col min="15886" max="15886" width="10.109375" style="18" customWidth="1"/>
    <col min="15887" max="15890" width="9" style="18"/>
    <col min="15891" max="15891" width="9.77734375" style="18" customWidth="1"/>
    <col min="15892" max="15892" width="9" style="18"/>
    <col min="15893" max="15893" width="9.109375" style="18" customWidth="1"/>
    <col min="15894" max="15894" width="9.44140625" style="18" customWidth="1"/>
    <col min="15895" max="15895" width="10.77734375" style="18" customWidth="1"/>
    <col min="15896" max="15896" width="10.21875" style="18" customWidth="1"/>
    <col min="15897" max="16128" width="9" style="18"/>
    <col min="16129" max="16129" width="4.6640625" style="18" customWidth="1"/>
    <col min="16130" max="16130" width="6.33203125" style="18" customWidth="1"/>
    <col min="16131" max="16131" width="7" style="18" customWidth="1"/>
    <col min="16132" max="16132" width="10.21875" style="18" customWidth="1"/>
    <col min="16133" max="16133" width="9.88671875" style="18" customWidth="1"/>
    <col min="16134" max="16134" width="11.6640625" style="18" customWidth="1"/>
    <col min="16135" max="16137" width="9" style="18"/>
    <col min="16138" max="16138" width="9.33203125" style="18" customWidth="1"/>
    <col min="16139" max="16139" width="11.21875" style="18" customWidth="1"/>
    <col min="16140" max="16141" width="9" style="18"/>
    <col min="16142" max="16142" width="10.109375" style="18" customWidth="1"/>
    <col min="16143" max="16146" width="9" style="18"/>
    <col min="16147" max="16147" width="9.77734375" style="18" customWidth="1"/>
    <col min="16148" max="16148" width="9" style="18"/>
    <col min="16149" max="16149" width="9.109375" style="18" customWidth="1"/>
    <col min="16150" max="16150" width="9.44140625" style="18" customWidth="1"/>
    <col min="16151" max="16151" width="10.77734375" style="18" customWidth="1"/>
    <col min="16152" max="16152" width="10.21875" style="18" customWidth="1"/>
    <col min="16153" max="16384" width="9" style="18"/>
  </cols>
  <sheetData>
    <row r="2" spans="2:41" ht="14.25" customHeight="1">
      <c r="B2" s="696" t="s">
        <v>731</v>
      </c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Q2" s="31" t="e">
        <f>(L17+M21)/(L7+M7)*100</f>
        <v>#DIV/0!</v>
      </c>
    </row>
    <row r="3" spans="2:41"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  <c r="N3" s="696"/>
      <c r="Q3" s="31">
        <f>(L18+M22)/(L8+M8)*100</f>
        <v>96.725985057824175</v>
      </c>
    </row>
    <row r="4" spans="2:41">
      <c r="B4" s="19"/>
      <c r="C4" s="693"/>
      <c r="D4" s="693"/>
      <c r="E4" s="694"/>
      <c r="F4" s="694"/>
      <c r="H4" s="694"/>
      <c r="I4" s="694"/>
      <c r="J4" s="694"/>
      <c r="K4" s="25"/>
      <c r="L4" s="675">
        <f>基础数据!A2</f>
        <v>45836</v>
      </c>
      <c r="M4" s="675"/>
      <c r="N4" s="26"/>
      <c r="Q4" s="31">
        <f>(L19+M23)/(L9+M9)*100</f>
        <v>97.922147110926488</v>
      </c>
    </row>
    <row r="5" spans="2:41" ht="20.100000000000001" customHeight="1">
      <c r="B5" s="679" t="s">
        <v>42</v>
      </c>
      <c r="C5" s="679" t="s">
        <v>43</v>
      </c>
      <c r="D5" s="679" t="s">
        <v>44</v>
      </c>
      <c r="E5" s="679" t="s">
        <v>45</v>
      </c>
      <c r="F5" s="680" t="s">
        <v>50</v>
      </c>
      <c r="G5" s="680" t="s">
        <v>162</v>
      </c>
      <c r="H5" s="680"/>
      <c r="I5" s="680"/>
      <c r="J5" s="680"/>
      <c r="K5" s="680" t="s">
        <v>47</v>
      </c>
      <c r="L5" s="680"/>
      <c r="M5" s="680"/>
      <c r="N5" s="680"/>
      <c r="O5" s="695" t="s">
        <v>0</v>
      </c>
      <c r="P5" s="695" t="s">
        <v>0</v>
      </c>
      <c r="Q5" s="31">
        <f>(L20+M24)/(L10+M10)*100</f>
        <v>97.348539988275135</v>
      </c>
    </row>
    <row r="6" spans="2:41" ht="20.100000000000001" customHeight="1">
      <c r="B6" s="679"/>
      <c r="C6" s="679"/>
      <c r="D6" s="679"/>
      <c r="E6" s="679"/>
      <c r="F6" s="680"/>
      <c r="G6" s="20" t="s">
        <v>62</v>
      </c>
      <c r="H6" s="20" t="s">
        <v>6</v>
      </c>
      <c r="I6" s="20" t="s">
        <v>7</v>
      </c>
      <c r="J6" s="20" t="s">
        <v>51</v>
      </c>
      <c r="K6" s="20" t="s">
        <v>52</v>
      </c>
      <c r="L6" s="20" t="s">
        <v>53</v>
      </c>
      <c r="M6" s="20" t="s">
        <v>54</v>
      </c>
      <c r="N6" s="20" t="s">
        <v>55</v>
      </c>
      <c r="O6" s="695"/>
      <c r="P6" s="695"/>
    </row>
    <row r="7" spans="2:41" ht="20.100000000000001" customHeight="1">
      <c r="B7" s="679" t="s">
        <v>10</v>
      </c>
      <c r="C7" s="21" t="s">
        <v>732</v>
      </c>
      <c r="D7" s="22" t="str">
        <f>IF(ISERROR(('1车间表3'!D7*'1车间表3'!F7+'2车间表3'!D7*'2车间表3'!F7)/磨浮作业区年表!F7),"0.00",('1车间表3'!D7*'1车间表3'!F7+'2车间表3'!D7*'2车间表3'!F7)/磨浮作业区年表!F7)</f>
        <v>0.00</v>
      </c>
      <c r="E7" s="22">
        <f>'1车间表3'!E7+'2车间表3'!E7</f>
        <v>0</v>
      </c>
      <c r="F7" s="22">
        <f>'1车间表3'!F7+'2车间表3'!F7</f>
        <v>0</v>
      </c>
      <c r="G7" s="23">
        <v>0</v>
      </c>
      <c r="H7" s="23" t="str">
        <f>IF(ISERROR(L7/F7*100),"0.00",L7/F7*100)</f>
        <v>0.00</v>
      </c>
      <c r="I7" s="23" t="str">
        <f>IF(ISERROR(M7/F7*100),"0.00",M7/F7*100)</f>
        <v>0.00</v>
      </c>
      <c r="J7" s="27" t="str">
        <f>IF(ISERROR(N7/F7*1000),"0.00",N7/F7*1000)</f>
        <v>0.00</v>
      </c>
      <c r="K7" s="28">
        <v>0</v>
      </c>
      <c r="L7" s="29">
        <f>'1车间表3'!J7+'2车间表3'!J7</f>
        <v>0</v>
      </c>
      <c r="M7" s="29">
        <f>'1车间表3'!K7+'2车间表3'!K7</f>
        <v>0</v>
      </c>
      <c r="N7" s="30">
        <f>'1车间表3'!L7+'2车间表3'!L7</f>
        <v>0</v>
      </c>
      <c r="P7" s="31" t="str">
        <f>D7</f>
        <v>0.00</v>
      </c>
      <c r="Q7" s="31" t="e">
        <f>F7/E7</f>
        <v>#DIV/0!</v>
      </c>
      <c r="R7" s="31">
        <f t="shared" ref="R7:U10" si="0">G7</f>
        <v>0</v>
      </c>
      <c r="S7" s="31" t="str">
        <f t="shared" si="0"/>
        <v>0.00</v>
      </c>
      <c r="T7" s="31" t="str">
        <f t="shared" si="0"/>
        <v>0.00</v>
      </c>
      <c r="U7" s="31" t="str">
        <f t="shared" si="0"/>
        <v>0.00</v>
      </c>
      <c r="V7" s="31">
        <f t="shared" ref="V7:Y10" si="1">G13</f>
        <v>0</v>
      </c>
      <c r="W7" s="31">
        <f t="shared" si="1"/>
        <v>0</v>
      </c>
      <c r="X7" s="31">
        <f t="shared" si="1"/>
        <v>0</v>
      </c>
      <c r="Y7" s="34">
        <f t="shared" si="1"/>
        <v>0</v>
      </c>
      <c r="Z7" s="31">
        <f t="shared" ref="Z7:AC10" si="2">G17</f>
        <v>0</v>
      </c>
      <c r="AA7" s="31" t="str">
        <f t="shared" si="2"/>
        <v>0.00</v>
      </c>
      <c r="AB7" s="31" t="str">
        <f t="shared" si="2"/>
        <v>0.00</v>
      </c>
      <c r="AC7" s="34" t="str">
        <f t="shared" si="2"/>
        <v>0.00</v>
      </c>
      <c r="AD7" s="31">
        <f t="shared" ref="AD7:AG10" si="3">G21</f>
        <v>0</v>
      </c>
      <c r="AE7" s="31" t="str">
        <f t="shared" si="3"/>
        <v>0.00</v>
      </c>
      <c r="AF7" s="31" t="str">
        <f t="shared" si="3"/>
        <v>0.00</v>
      </c>
      <c r="AG7" s="34" t="str">
        <f t="shared" si="3"/>
        <v>0.00</v>
      </c>
      <c r="AH7" s="31">
        <f t="shared" ref="AH7:AK10" si="4">G25</f>
        <v>0</v>
      </c>
      <c r="AI7" s="31" t="str">
        <f t="shared" si="4"/>
        <v>0.00</v>
      </c>
      <c r="AJ7" s="31" t="str">
        <f t="shared" si="4"/>
        <v>0.00</v>
      </c>
      <c r="AK7" s="34" t="str">
        <f t="shared" si="4"/>
        <v>0.00</v>
      </c>
      <c r="AL7" s="31">
        <f>D13</f>
        <v>0</v>
      </c>
      <c r="AM7" s="31" t="str">
        <f>D17</f>
        <v>0.00</v>
      </c>
      <c r="AN7" s="31" t="str">
        <f>D21</f>
        <v>0.00</v>
      </c>
      <c r="AO7" s="31">
        <f>E25</f>
        <v>0</v>
      </c>
    </row>
    <row r="8" spans="2:41" ht="20.100000000000001" customHeight="1">
      <c r="B8" s="679"/>
      <c r="C8" s="21" t="s">
        <v>733</v>
      </c>
      <c r="D8" s="22">
        <f>IF(ISERROR(('1车间表3'!D8*'1车间表3'!F8+'2车间表3'!D8*'2车间表3'!F8)/磨浮作业区年表!F8),"0.00",('1车间表3'!D8*'1车间表3'!F8+'2车间表3'!D8*'2车间表3'!F8)/磨浮作业区年表!F8)</f>
        <v>0</v>
      </c>
      <c r="E8" s="22">
        <f>'1车间表3'!E8+'2车间表3'!E8</f>
        <v>8</v>
      </c>
      <c r="F8" s="22">
        <f>'1车间表3'!F8+'2车间表3'!F8</f>
        <v>124.16</v>
      </c>
      <c r="G8" s="23">
        <v>0</v>
      </c>
      <c r="H8" s="23">
        <f>IF(ISERROR(L8/F8*100),"0.00",L8/F8*100)</f>
        <v>3.75</v>
      </c>
      <c r="I8" s="23">
        <f>IF(ISERROR(M8/F8*100),"0.00",M8/F8*100)</f>
        <v>0</v>
      </c>
      <c r="J8" s="27">
        <f>IF(ISERROR(N8/F8*1000),"0.00",N8/F8*1000)</f>
        <v>160.99999999999997</v>
      </c>
      <c r="K8" s="28">
        <v>0</v>
      </c>
      <c r="L8" s="29">
        <f>'1车间表3'!J8+'2车间表3'!J8</f>
        <v>4.6559999999999997</v>
      </c>
      <c r="M8" s="29">
        <f>'1车间表3'!K8+'2车间表3'!K8</f>
        <v>0</v>
      </c>
      <c r="N8" s="30">
        <f>'1车间表3'!L8+'2车间表3'!L8</f>
        <v>19.989759999999997</v>
      </c>
      <c r="P8" s="31">
        <f>D8</f>
        <v>0</v>
      </c>
      <c r="Q8" s="31">
        <f>F8/E8</f>
        <v>15.52</v>
      </c>
      <c r="R8" s="31">
        <f t="shared" si="0"/>
        <v>0</v>
      </c>
      <c r="S8" s="31">
        <f t="shared" si="0"/>
        <v>3.75</v>
      </c>
      <c r="T8" s="31">
        <f t="shared" si="0"/>
        <v>0</v>
      </c>
      <c r="U8" s="31">
        <f t="shared" si="0"/>
        <v>160.99999999999997</v>
      </c>
      <c r="V8" s="31">
        <f t="shared" si="1"/>
        <v>0</v>
      </c>
      <c r="W8" s="31">
        <f t="shared" si="1"/>
        <v>0</v>
      </c>
      <c r="X8" s="31">
        <f t="shared" si="1"/>
        <v>0</v>
      </c>
      <c r="Y8" s="34">
        <f t="shared" si="1"/>
        <v>0</v>
      </c>
      <c r="Z8" s="31">
        <f t="shared" si="2"/>
        <v>0</v>
      </c>
      <c r="AA8" s="31">
        <f t="shared" si="2"/>
        <v>65.27</v>
      </c>
      <c r="AB8" s="31">
        <f t="shared" si="2"/>
        <v>0</v>
      </c>
      <c r="AC8" s="34">
        <f t="shared" si="2"/>
        <v>3352</v>
      </c>
      <c r="AD8" s="31">
        <f t="shared" si="3"/>
        <v>0</v>
      </c>
      <c r="AE8" s="31" t="str">
        <f t="shared" si="3"/>
        <v>0.00</v>
      </c>
      <c r="AF8" s="31" t="str">
        <f t="shared" si="3"/>
        <v>0.00</v>
      </c>
      <c r="AG8" s="34" t="str">
        <f t="shared" si="3"/>
        <v>0.00</v>
      </c>
      <c r="AH8" s="31">
        <f t="shared" si="4"/>
        <v>0</v>
      </c>
      <c r="AI8" s="31">
        <f t="shared" si="4"/>
        <v>0.13</v>
      </c>
      <c r="AJ8" s="31">
        <f t="shared" si="4"/>
        <v>0</v>
      </c>
      <c r="AK8" s="34">
        <f t="shared" si="4"/>
        <v>-26.766905071521474</v>
      </c>
      <c r="AL8" s="31">
        <f>D14</f>
        <v>0</v>
      </c>
      <c r="AM8" s="31">
        <f>D18</f>
        <v>96.725985057824175</v>
      </c>
      <c r="AN8" s="31" t="str">
        <f>D22</f>
        <v>0.00</v>
      </c>
      <c r="AO8" s="31">
        <f>E26</f>
        <v>115.70148957715539</v>
      </c>
    </row>
    <row r="9" spans="2:41" ht="20.100000000000001" customHeight="1">
      <c r="B9" s="679"/>
      <c r="C9" s="21" t="s">
        <v>734</v>
      </c>
      <c r="D9" s="22">
        <f>IF(ISERROR(('1车间表3'!D9*'1车间表3'!F9+'2车间表3'!D9*'2车间表3'!F9)/磨浮作业区年表!F9),"0.00",('1车间表3'!D9*'1车间表3'!F9+'2车间表3'!D9*'2车间表3'!F9)/磨浮作业区年表!F9)</f>
        <v>0</v>
      </c>
      <c r="E9" s="22">
        <f>'1车间表3'!E9+'2车间表3'!E9</f>
        <v>8</v>
      </c>
      <c r="F9" s="22">
        <f>'1车间表3'!F9+'2车间表3'!F9</f>
        <v>124.16</v>
      </c>
      <c r="G9" s="23">
        <v>0</v>
      </c>
      <c r="H9" s="23">
        <f>IF(ISERROR(L9/F9*100),"0.00",L9/F9*100)</f>
        <v>4.07</v>
      </c>
      <c r="I9" s="23">
        <f>IF(ISERROR(M9/F9*100),"0.00",M9/F9*100)</f>
        <v>0</v>
      </c>
      <c r="J9" s="27">
        <f>IF(ISERROR(N9/F9*1000),"0.00",N9/F9*1000)</f>
        <v>230</v>
      </c>
      <c r="K9" s="28">
        <v>0</v>
      </c>
      <c r="L9" s="29">
        <f>'1车间表3'!J9+'2车间表3'!J9</f>
        <v>5.053312</v>
      </c>
      <c r="M9" s="29">
        <f>'1车间表3'!K9+'2车间表3'!K9</f>
        <v>0</v>
      </c>
      <c r="N9" s="30">
        <f>'1车间表3'!L9+'2车间表3'!L9</f>
        <v>28.556799999999999</v>
      </c>
      <c r="P9" s="31">
        <f>D9</f>
        <v>0</v>
      </c>
      <c r="Q9" s="31">
        <f>F9/E9</f>
        <v>15.52</v>
      </c>
      <c r="R9" s="31">
        <f t="shared" si="0"/>
        <v>0</v>
      </c>
      <c r="S9" s="31">
        <f t="shared" si="0"/>
        <v>4.07</v>
      </c>
      <c r="T9" s="31">
        <f t="shared" si="0"/>
        <v>0</v>
      </c>
      <c r="U9" s="31">
        <f t="shared" si="0"/>
        <v>230</v>
      </c>
      <c r="V9" s="31">
        <f t="shared" si="1"/>
        <v>0</v>
      </c>
      <c r="W9" s="31">
        <f t="shared" si="1"/>
        <v>0</v>
      </c>
      <c r="X9" s="31">
        <f t="shared" si="1"/>
        <v>0</v>
      </c>
      <c r="Y9" s="34">
        <f t="shared" si="1"/>
        <v>0</v>
      </c>
      <c r="Z9" s="31">
        <f t="shared" si="2"/>
        <v>0</v>
      </c>
      <c r="AA9" s="31">
        <f t="shared" si="2"/>
        <v>66.039999999999992</v>
      </c>
      <c r="AB9" s="31">
        <f t="shared" si="2"/>
        <v>0</v>
      </c>
      <c r="AC9" s="34">
        <f t="shared" si="2"/>
        <v>3380.0000000000005</v>
      </c>
      <c r="AD9" s="31">
        <f t="shared" si="3"/>
        <v>0</v>
      </c>
      <c r="AE9" s="31" t="str">
        <f t="shared" si="3"/>
        <v>0.00</v>
      </c>
      <c r="AF9" s="31" t="str">
        <f t="shared" si="3"/>
        <v>0.00</v>
      </c>
      <c r="AG9" s="34" t="str">
        <f t="shared" si="3"/>
        <v>0.00</v>
      </c>
      <c r="AH9" s="31">
        <f t="shared" si="4"/>
        <v>0</v>
      </c>
      <c r="AI9" s="31">
        <f t="shared" si="4"/>
        <v>8.9999999999999802E-2</v>
      </c>
      <c r="AJ9" s="31">
        <f t="shared" si="4"/>
        <v>0</v>
      </c>
      <c r="AK9" s="34">
        <f t="shared" si="4"/>
        <v>27.692431821849247</v>
      </c>
      <c r="AL9" s="31">
        <f>D15</f>
        <v>0</v>
      </c>
      <c r="AM9" s="31">
        <f>D19</f>
        <v>97.922147110926488</v>
      </c>
      <c r="AN9" s="31" t="str">
        <f>D23</f>
        <v>0.00</v>
      </c>
      <c r="AO9" s="31">
        <f>E27</f>
        <v>88.686422520354697</v>
      </c>
    </row>
    <row r="10" spans="2:41" ht="20.100000000000001" customHeight="1">
      <c r="B10" s="679"/>
      <c r="C10" s="20" t="s">
        <v>89</v>
      </c>
      <c r="D10" s="23">
        <f>IF(ISERROR((D7*F7+D8*F8+D9*F9)/F10),"0.00",(D7*F7+D8*F8+D9*F9)/F10)</f>
        <v>0</v>
      </c>
      <c r="E10" s="23">
        <f>E7+E8+E9</f>
        <v>16</v>
      </c>
      <c r="F10" s="23">
        <f>F7+F8+F9</f>
        <v>248.32</v>
      </c>
      <c r="G10" s="23">
        <v>0</v>
      </c>
      <c r="H10" s="23">
        <f>IF(ISERROR(L10/F10*100),"0.00",L10/F10*100)</f>
        <v>3.91</v>
      </c>
      <c r="I10" s="23">
        <f>IF(ISERROR(M10/F10*100),"0.00",M10/F10*100)</f>
        <v>0</v>
      </c>
      <c r="J10" s="27">
        <f>IF(ISERROR(N10/F10*1000),"0.00",N10/F10*1000)</f>
        <v>195.5</v>
      </c>
      <c r="K10" s="28">
        <v>0</v>
      </c>
      <c r="L10" s="28">
        <f>L7+L8+L9</f>
        <v>9.7093120000000006</v>
      </c>
      <c r="M10" s="28">
        <f>M7+M8+M9</f>
        <v>0</v>
      </c>
      <c r="N10" s="32">
        <f>N7+N8+N9</f>
        <v>48.546559999999999</v>
      </c>
      <c r="P10" s="31">
        <f>D10</f>
        <v>0</v>
      </c>
      <c r="Q10" s="31">
        <f>F10/E10</f>
        <v>15.52</v>
      </c>
      <c r="R10" s="31">
        <f t="shared" si="0"/>
        <v>0</v>
      </c>
      <c r="S10" s="31">
        <f t="shared" si="0"/>
        <v>3.91</v>
      </c>
      <c r="T10" s="31">
        <f t="shared" si="0"/>
        <v>0</v>
      </c>
      <c r="U10" s="31">
        <f t="shared" si="0"/>
        <v>195.5</v>
      </c>
      <c r="V10" s="31">
        <f t="shared" si="1"/>
        <v>0</v>
      </c>
      <c r="W10" s="31">
        <f t="shared" si="1"/>
        <v>0</v>
      </c>
      <c r="X10" s="31">
        <f t="shared" si="1"/>
        <v>0</v>
      </c>
      <c r="Y10" s="34">
        <f t="shared" si="1"/>
        <v>0</v>
      </c>
      <c r="Z10" s="31">
        <f t="shared" si="2"/>
        <v>0</v>
      </c>
      <c r="AA10" s="31">
        <f t="shared" si="2"/>
        <v>65.670862584895232</v>
      </c>
      <c r="AB10" s="31">
        <f t="shared" si="2"/>
        <v>0</v>
      </c>
      <c r="AC10" s="34">
        <f t="shared" si="2"/>
        <v>3366.5768212689172</v>
      </c>
      <c r="AD10" s="31">
        <f t="shared" si="3"/>
        <v>0</v>
      </c>
      <c r="AE10" s="31" t="str">
        <f t="shared" si="3"/>
        <v>0.00</v>
      </c>
      <c r="AF10" s="31" t="str">
        <f t="shared" si="3"/>
        <v>0.00</v>
      </c>
      <c r="AG10" s="34" t="str">
        <f t="shared" si="3"/>
        <v>0.00</v>
      </c>
      <c r="AH10" s="31">
        <f t="shared" si="4"/>
        <v>0</v>
      </c>
      <c r="AI10" s="31">
        <f t="shared" si="4"/>
        <v>0.11005069996678257</v>
      </c>
      <c r="AJ10" s="31">
        <f t="shared" si="4"/>
        <v>0</v>
      </c>
      <c r="AK10" s="34">
        <f t="shared" si="4"/>
        <v>0.39373621087637162</v>
      </c>
      <c r="AL10" s="31">
        <f>D16</f>
        <v>0</v>
      </c>
      <c r="AM10" s="31">
        <f>D20</f>
        <v>97.348539988275135</v>
      </c>
      <c r="AN10" s="31" t="str">
        <f>D24</f>
        <v>0.00</v>
      </c>
      <c r="AO10" s="31">
        <f>E28</f>
        <v>99.810273661390255</v>
      </c>
    </row>
    <row r="11" spans="2:41" ht="20.100000000000001" customHeight="1">
      <c r="B11" s="679" t="s">
        <v>42</v>
      </c>
      <c r="C11" s="679" t="s">
        <v>43</v>
      </c>
      <c r="D11" s="680" t="s">
        <v>59</v>
      </c>
      <c r="E11" s="680"/>
      <c r="F11" s="680" t="s">
        <v>50</v>
      </c>
      <c r="G11" s="680" t="s">
        <v>58</v>
      </c>
      <c r="H11" s="680"/>
      <c r="I11" s="680"/>
      <c r="J11" s="680"/>
      <c r="K11" s="680" t="s">
        <v>47</v>
      </c>
      <c r="L11" s="680"/>
      <c r="M11" s="680"/>
      <c r="N11" s="680"/>
      <c r="P11" s="31"/>
      <c r="Q11" s="31"/>
      <c r="R11" s="31"/>
      <c r="S11" s="31"/>
      <c r="T11" s="31"/>
      <c r="U11" s="31"/>
      <c r="V11" s="31"/>
      <c r="W11" s="31"/>
      <c r="X11" s="31"/>
      <c r="Y11" s="34"/>
      <c r="Z11" s="31"/>
      <c r="AA11" s="31"/>
      <c r="AB11" s="31"/>
      <c r="AC11" s="34"/>
      <c r="AD11" s="31"/>
      <c r="AE11" s="31"/>
      <c r="AF11" s="31"/>
      <c r="AG11" s="34"/>
      <c r="AH11" s="31"/>
      <c r="AI11" s="31"/>
      <c r="AJ11" s="31"/>
      <c r="AK11" s="34"/>
    </row>
    <row r="12" spans="2:41" ht="20.100000000000001" customHeight="1">
      <c r="B12" s="679"/>
      <c r="C12" s="679"/>
      <c r="D12" s="20" t="s">
        <v>63</v>
      </c>
      <c r="E12" s="20" t="s">
        <v>14</v>
      </c>
      <c r="F12" s="680"/>
      <c r="G12" s="20" t="s">
        <v>62</v>
      </c>
      <c r="H12" s="20" t="s">
        <v>6</v>
      </c>
      <c r="I12" s="20" t="s">
        <v>7</v>
      </c>
      <c r="J12" s="20" t="s">
        <v>51</v>
      </c>
      <c r="K12" s="20" t="s">
        <v>52</v>
      </c>
      <c r="L12" s="20" t="s">
        <v>53</v>
      </c>
      <c r="M12" s="20" t="s">
        <v>54</v>
      </c>
      <c r="N12" s="20" t="s">
        <v>55</v>
      </c>
      <c r="Y12" s="34"/>
      <c r="AC12" s="34"/>
      <c r="AG12" s="34"/>
      <c r="AK12" s="34"/>
    </row>
    <row r="13" spans="2:41" ht="20.100000000000001" customHeight="1">
      <c r="B13" s="679" t="s">
        <v>722</v>
      </c>
      <c r="C13" s="21" t="s">
        <v>732</v>
      </c>
      <c r="D13" s="23"/>
      <c r="E13" s="23"/>
      <c r="F13" s="23"/>
      <c r="G13" s="23"/>
      <c r="H13" s="23"/>
      <c r="I13" s="23"/>
      <c r="J13" s="27"/>
      <c r="K13" s="28"/>
      <c r="L13" s="28"/>
      <c r="M13" s="28"/>
      <c r="N13" s="32"/>
      <c r="P13" s="31" t="e">
        <f t="shared" ref="P13:S16" si="5">K13/K7*100</f>
        <v>#DIV/0!</v>
      </c>
      <c r="Q13" s="31" t="e">
        <f t="shared" si="5"/>
        <v>#DIV/0!</v>
      </c>
      <c r="R13" s="31" t="e">
        <f t="shared" si="5"/>
        <v>#DIV/0!</v>
      </c>
      <c r="S13" s="31" t="e">
        <f t="shared" si="5"/>
        <v>#DIV/0!</v>
      </c>
      <c r="U13" s="31" t="e">
        <f>Q17</f>
        <v>#DIV/0!</v>
      </c>
      <c r="V13" s="31">
        <f>Q21</f>
        <v>0</v>
      </c>
      <c r="W13" s="31" t="e">
        <f>Q13</f>
        <v>#DIV/0!</v>
      </c>
      <c r="X13" s="31">
        <f>Q25</f>
        <v>0</v>
      </c>
      <c r="Y13" s="31" t="e">
        <f>U13+V13+W13+X13</f>
        <v>#DIV/0!</v>
      </c>
      <c r="Z13" s="31" t="e">
        <f t="shared" ref="Z13:AC16" si="6">U17</f>
        <v>#DIV/0!</v>
      </c>
      <c r="AA13" s="31">
        <f t="shared" si="6"/>
        <v>0</v>
      </c>
      <c r="AB13" s="31" t="e">
        <f t="shared" si="6"/>
        <v>#DIV/0!</v>
      </c>
      <c r="AC13" s="31">
        <f t="shared" si="6"/>
        <v>0</v>
      </c>
      <c r="AD13" s="31" t="e">
        <f>Z13+AA13+AB13+AC13</f>
        <v>#DIV/0!</v>
      </c>
      <c r="AE13" s="31">
        <f t="shared" ref="AE13:AH16" si="7">U21</f>
        <v>0</v>
      </c>
      <c r="AF13" s="31">
        <f t="shared" si="7"/>
        <v>0</v>
      </c>
      <c r="AG13" s="33">
        <f t="shared" si="7"/>
        <v>0</v>
      </c>
      <c r="AH13" s="31">
        <f t="shared" si="7"/>
        <v>0</v>
      </c>
      <c r="AI13" s="31">
        <f>AE13+AF13+AG13+AH13</f>
        <v>0</v>
      </c>
      <c r="AJ13" s="31">
        <f t="shared" ref="AJ13:AM16" si="8">U25</f>
        <v>0</v>
      </c>
      <c r="AK13" s="33">
        <f t="shared" si="8"/>
        <v>0</v>
      </c>
      <c r="AL13" s="31">
        <f t="shared" si="8"/>
        <v>0</v>
      </c>
      <c r="AM13" s="31">
        <f t="shared" si="8"/>
        <v>0</v>
      </c>
      <c r="AN13" s="31">
        <f>AM13+AL13+AK13+AJ13</f>
        <v>0</v>
      </c>
    </row>
    <row r="14" spans="2:41" ht="20.100000000000001" customHeight="1">
      <c r="B14" s="743"/>
      <c r="C14" s="21" t="s">
        <v>733</v>
      </c>
      <c r="D14" s="23"/>
      <c r="E14" s="23"/>
      <c r="F14" s="23"/>
      <c r="G14" s="23"/>
      <c r="H14" s="23"/>
      <c r="I14" s="23"/>
      <c r="J14" s="27"/>
      <c r="K14" s="28"/>
      <c r="L14" s="28"/>
      <c r="M14" s="28"/>
      <c r="N14" s="32"/>
      <c r="P14" s="31" t="e">
        <f t="shared" si="5"/>
        <v>#DIV/0!</v>
      </c>
      <c r="Q14" s="31">
        <f t="shared" si="5"/>
        <v>0</v>
      </c>
      <c r="R14" s="31" t="e">
        <f t="shared" si="5"/>
        <v>#DIV/0!</v>
      </c>
      <c r="S14" s="31">
        <f t="shared" si="5"/>
        <v>0</v>
      </c>
      <c r="U14" s="31">
        <f>Q18</f>
        <v>0</v>
      </c>
      <c r="V14" s="31">
        <f>Q22</f>
        <v>0</v>
      </c>
      <c r="W14" s="31">
        <f>Q14</f>
        <v>0</v>
      </c>
      <c r="X14" s="31">
        <f>Q26</f>
        <v>0</v>
      </c>
      <c r="Y14" s="31">
        <f>U14+V14+W14+X14</f>
        <v>0</v>
      </c>
      <c r="Z14" s="31">
        <f t="shared" si="6"/>
        <v>0</v>
      </c>
      <c r="AA14" s="31">
        <f t="shared" si="6"/>
        <v>0</v>
      </c>
      <c r="AB14" s="31">
        <f t="shared" si="6"/>
        <v>0</v>
      </c>
      <c r="AC14" s="31">
        <f t="shared" si="6"/>
        <v>0</v>
      </c>
      <c r="AD14" s="31">
        <f>Z14+AA14+AB14+AC14</f>
        <v>0</v>
      </c>
      <c r="AE14" s="31">
        <f t="shared" si="7"/>
        <v>0</v>
      </c>
      <c r="AF14" s="31">
        <f t="shared" si="7"/>
        <v>0</v>
      </c>
      <c r="AG14" s="33">
        <f t="shared" si="7"/>
        <v>0</v>
      </c>
      <c r="AH14" s="31">
        <f t="shared" si="7"/>
        <v>0</v>
      </c>
      <c r="AI14" s="31">
        <f>AE14+AF14+AG14+AH14</f>
        <v>0</v>
      </c>
      <c r="AJ14" s="31">
        <f t="shared" si="8"/>
        <v>0</v>
      </c>
      <c r="AK14" s="33">
        <f t="shared" si="8"/>
        <v>0</v>
      </c>
      <c r="AL14" s="31">
        <f t="shared" si="8"/>
        <v>0</v>
      </c>
      <c r="AM14" s="31">
        <f t="shared" si="8"/>
        <v>0</v>
      </c>
      <c r="AN14" s="31">
        <f>AM14+AL14+AK14+AJ14</f>
        <v>0</v>
      </c>
    </row>
    <row r="15" spans="2:41" ht="20.100000000000001" customHeight="1">
      <c r="B15" s="743"/>
      <c r="C15" s="21" t="s">
        <v>734</v>
      </c>
      <c r="D15" s="23"/>
      <c r="E15" s="23"/>
      <c r="F15" s="23"/>
      <c r="G15" s="23"/>
      <c r="H15" s="23"/>
      <c r="I15" s="23"/>
      <c r="J15" s="27"/>
      <c r="K15" s="28"/>
      <c r="L15" s="28"/>
      <c r="M15" s="28"/>
      <c r="N15" s="32"/>
      <c r="P15" s="31" t="e">
        <f t="shared" si="5"/>
        <v>#DIV/0!</v>
      </c>
      <c r="Q15" s="31">
        <f t="shared" si="5"/>
        <v>0</v>
      </c>
      <c r="R15" s="31" t="e">
        <f t="shared" si="5"/>
        <v>#DIV/0!</v>
      </c>
      <c r="S15" s="31">
        <f t="shared" si="5"/>
        <v>0</v>
      </c>
      <c r="U15" s="31">
        <f>Q19</f>
        <v>0</v>
      </c>
      <c r="V15" s="31">
        <f>Q23</f>
        <v>0</v>
      </c>
      <c r="W15" s="31">
        <f>Q15</f>
        <v>0</v>
      </c>
      <c r="X15" s="31">
        <f>Q27</f>
        <v>0</v>
      </c>
      <c r="Y15" s="31">
        <f>U15+V15+W15+X15</f>
        <v>0</v>
      </c>
      <c r="Z15" s="31">
        <f t="shared" si="6"/>
        <v>0</v>
      </c>
      <c r="AA15" s="31">
        <f t="shared" si="6"/>
        <v>0</v>
      </c>
      <c r="AB15" s="31">
        <f t="shared" si="6"/>
        <v>0</v>
      </c>
      <c r="AC15" s="31">
        <f t="shared" si="6"/>
        <v>0</v>
      </c>
      <c r="AD15" s="31">
        <f>Z15+AA15+AB15+AC15</f>
        <v>0</v>
      </c>
      <c r="AE15" s="31">
        <f t="shared" si="7"/>
        <v>0</v>
      </c>
      <c r="AF15" s="31">
        <f t="shared" si="7"/>
        <v>0</v>
      </c>
      <c r="AG15" s="33">
        <f t="shared" si="7"/>
        <v>0</v>
      </c>
      <c r="AH15" s="31">
        <f t="shared" si="7"/>
        <v>0</v>
      </c>
      <c r="AI15" s="31">
        <f>AE15+AF15+AG15+AH15</f>
        <v>0</v>
      </c>
      <c r="AJ15" s="31">
        <f t="shared" si="8"/>
        <v>0</v>
      </c>
      <c r="AK15" s="33">
        <f t="shared" si="8"/>
        <v>0</v>
      </c>
      <c r="AL15" s="31">
        <f t="shared" si="8"/>
        <v>0</v>
      </c>
      <c r="AM15" s="31">
        <f t="shared" si="8"/>
        <v>0</v>
      </c>
      <c r="AN15" s="31">
        <f>AM15+AL15+AK15+AJ15</f>
        <v>0</v>
      </c>
    </row>
    <row r="16" spans="2:41" ht="20.100000000000001" customHeight="1">
      <c r="B16" s="743"/>
      <c r="C16" s="20" t="s">
        <v>89</v>
      </c>
      <c r="D16" s="23"/>
      <c r="E16" s="23"/>
      <c r="F16" s="23"/>
      <c r="G16" s="23"/>
      <c r="H16" s="23"/>
      <c r="I16" s="23"/>
      <c r="J16" s="27"/>
      <c r="K16" s="28"/>
      <c r="L16" s="28"/>
      <c r="M16" s="28"/>
      <c r="N16" s="32"/>
      <c r="P16" s="31" t="e">
        <f t="shared" si="5"/>
        <v>#DIV/0!</v>
      </c>
      <c r="Q16" s="31">
        <f t="shared" si="5"/>
        <v>0</v>
      </c>
      <c r="R16" s="31" t="e">
        <f t="shared" si="5"/>
        <v>#DIV/0!</v>
      </c>
      <c r="S16" s="31">
        <f t="shared" si="5"/>
        <v>0</v>
      </c>
      <c r="U16" s="31">
        <f>Q20</f>
        <v>0</v>
      </c>
      <c r="V16" s="31">
        <f>Q24</f>
        <v>0</v>
      </c>
      <c r="W16" s="31">
        <f>Q16</f>
        <v>0</v>
      </c>
      <c r="X16" s="31">
        <f>Q28</f>
        <v>2.6514600117248746</v>
      </c>
      <c r="Y16" s="31">
        <f>U16+V16+W16+X16</f>
        <v>2.6514600117248746</v>
      </c>
      <c r="Z16" s="31">
        <f t="shared" si="6"/>
        <v>0</v>
      </c>
      <c r="AA16" s="31">
        <f t="shared" si="6"/>
        <v>0</v>
      </c>
      <c r="AB16" s="31">
        <f t="shared" si="6"/>
        <v>0</v>
      </c>
      <c r="AC16" s="31">
        <f t="shared" si="6"/>
        <v>0</v>
      </c>
      <c r="AD16" s="31">
        <f>Z16+AA16+AB16+AC16</f>
        <v>0</v>
      </c>
      <c r="AE16" s="31">
        <f t="shared" si="7"/>
        <v>0</v>
      </c>
      <c r="AF16" s="31">
        <f t="shared" si="7"/>
        <v>0</v>
      </c>
      <c r="AG16" s="33">
        <f t="shared" si="7"/>
        <v>0</v>
      </c>
      <c r="AH16" s="31">
        <f t="shared" si="7"/>
        <v>0</v>
      </c>
      <c r="AI16" s="31">
        <f>AE16+AF16+AG16+AH16</f>
        <v>0</v>
      </c>
      <c r="AJ16" s="31">
        <f t="shared" si="8"/>
        <v>0</v>
      </c>
      <c r="AK16" s="33">
        <f t="shared" si="8"/>
        <v>0</v>
      </c>
      <c r="AL16" s="31">
        <f t="shared" si="8"/>
        <v>0</v>
      </c>
      <c r="AM16" s="31">
        <f t="shared" si="8"/>
        <v>0.1897263386097286</v>
      </c>
      <c r="AN16" s="31">
        <f>AM16+AL16+AK16+AJ16</f>
        <v>0.1897263386097286</v>
      </c>
    </row>
    <row r="17" spans="2:45" ht="20.100000000000001" customHeight="1">
      <c r="B17" s="679" t="s">
        <v>23</v>
      </c>
      <c r="C17" s="21" t="s">
        <v>732</v>
      </c>
      <c r="D17" s="23" t="str">
        <f>IF(ISERROR(L17/L7*100),"0.00",L17/L7*100)</f>
        <v>0.00</v>
      </c>
      <c r="E17" s="23" t="str">
        <f>IF(ISERROR(N17/N7*100),"0.00",N17/N7*100)</f>
        <v>0.00</v>
      </c>
      <c r="F17" s="22">
        <f>'1车间表3'!F13+'2车间表3'!F13</f>
        <v>0</v>
      </c>
      <c r="G17" s="23">
        <v>0</v>
      </c>
      <c r="H17" s="23" t="str">
        <f t="shared" ref="H17:H28" si="9">IF(ISERROR(L17/F17*100),"0.00",L17/F17*100)</f>
        <v>0.00</v>
      </c>
      <c r="I17" s="23" t="str">
        <f t="shared" ref="I17:I28" si="10">IF(ISERROR(M17/F17*100),"0.00",M17/F17*100)</f>
        <v>0.00</v>
      </c>
      <c r="J17" s="27" t="str">
        <f t="shared" ref="J17:J28" si="11">IF(ISERROR(N17/F17*1000),"0.00",N17/F17*1000)</f>
        <v>0.00</v>
      </c>
      <c r="K17" s="28">
        <v>0</v>
      </c>
      <c r="L17" s="29">
        <f>'1车间表3'!J13+'2车间表3'!J13</f>
        <v>0</v>
      </c>
      <c r="M17" s="29">
        <f>'1车间表3'!K13+'2车间表3'!K13</f>
        <v>0</v>
      </c>
      <c r="N17" s="30">
        <f>'1车间表3'!L13+'2车间表3'!L13</f>
        <v>0</v>
      </c>
      <c r="P17" s="31" t="e">
        <f>K17/K7*100</f>
        <v>#DIV/0!</v>
      </c>
      <c r="Q17" s="31" t="e">
        <f>L17/L7*100</f>
        <v>#DIV/0!</v>
      </c>
      <c r="R17" s="31" t="e">
        <f>M17/M7*100</f>
        <v>#DIV/0!</v>
      </c>
      <c r="S17" s="31" t="e">
        <f>N17/N7*100</f>
        <v>#DIV/0!</v>
      </c>
      <c r="U17" s="31" t="e">
        <f>R17</f>
        <v>#DIV/0!</v>
      </c>
      <c r="V17" s="31">
        <f>R21</f>
        <v>0</v>
      </c>
      <c r="W17" s="31" t="e">
        <f>R13</f>
        <v>#DIV/0!</v>
      </c>
      <c r="X17" s="31">
        <f>R25</f>
        <v>0</v>
      </c>
      <c r="Y17" s="31" t="e">
        <f>U17+V17+W17+X17</f>
        <v>#DIV/0!</v>
      </c>
      <c r="Z17" s="31"/>
      <c r="AA17" s="31"/>
      <c r="AB17" s="31"/>
      <c r="AC17" s="31"/>
      <c r="AD17" s="31"/>
      <c r="AG17" s="34"/>
      <c r="AK17" s="34"/>
    </row>
    <row r="18" spans="2:45" ht="20.100000000000001" customHeight="1">
      <c r="B18" s="679"/>
      <c r="C18" s="21" t="s">
        <v>733</v>
      </c>
      <c r="D18" s="23">
        <f>IF(ISERROR(L18/L8*100),"0.00",L18/L8*100)</f>
        <v>96.725985057824175</v>
      </c>
      <c r="E18" s="23">
        <f>IF(ISERROR(N18/N8*100),"0.00",N18/N8*100)</f>
        <v>115.70148957715539</v>
      </c>
      <c r="F18" s="22">
        <f>'1车间表3'!F14+'2车间表3'!F14</f>
        <v>6.8998956094565553</v>
      </c>
      <c r="G18" s="23">
        <v>0</v>
      </c>
      <c r="H18" s="23">
        <f t="shared" si="9"/>
        <v>65.27</v>
      </c>
      <c r="I18" s="23">
        <f t="shared" si="10"/>
        <v>0</v>
      </c>
      <c r="J18" s="27">
        <f t="shared" si="11"/>
        <v>3352</v>
      </c>
      <c r="K18" s="28">
        <v>0</v>
      </c>
      <c r="L18" s="29">
        <f>'1车间表3'!J14+'2车间表3'!J14</f>
        <v>4.5035618642922932</v>
      </c>
      <c r="M18" s="29">
        <f>'1车间表3'!K14+'2车间表3'!K14</f>
        <v>0</v>
      </c>
      <c r="N18" s="30">
        <f>'1车间表3'!L14+'2车间表3'!L14</f>
        <v>23.128450082898372</v>
      </c>
      <c r="P18" s="31"/>
      <c r="Q18" s="31"/>
      <c r="R18" s="31"/>
      <c r="S18" s="31"/>
      <c r="U18" s="31"/>
      <c r="V18" s="31"/>
      <c r="W18" s="31"/>
      <c r="X18" s="31"/>
      <c r="Y18" s="31"/>
      <c r="AC18" s="34"/>
      <c r="AG18" s="34"/>
      <c r="AK18" s="34"/>
    </row>
    <row r="19" spans="2:45" ht="20.100000000000001" customHeight="1">
      <c r="B19" s="679"/>
      <c r="C19" s="21" t="s">
        <v>734</v>
      </c>
      <c r="D19" s="23">
        <f>IF(ISERROR(L19/L9*100),"0.00",L19/L9*100)</f>
        <v>97.922147110926488</v>
      </c>
      <c r="E19" s="23">
        <f>IF(ISERROR(N19/N9*100),"0.00",N19/N9*100)</f>
        <v>88.686422520354697</v>
      </c>
      <c r="F19" s="22">
        <f>'1车间表3'!F15+'2车间表3'!F15</f>
        <v>7.4929006823351028</v>
      </c>
      <c r="G19" s="23">
        <v>0</v>
      </c>
      <c r="H19" s="23">
        <f t="shared" si="9"/>
        <v>66.039999999999992</v>
      </c>
      <c r="I19" s="23">
        <f t="shared" si="10"/>
        <v>0</v>
      </c>
      <c r="J19" s="27">
        <f t="shared" si="11"/>
        <v>3380.0000000000005</v>
      </c>
      <c r="K19" s="28">
        <v>0</v>
      </c>
      <c r="L19" s="29">
        <f>'1车间表3'!J15+'2车间表3'!J15</f>
        <v>4.9483116106141019</v>
      </c>
      <c r="M19" s="29">
        <f>'1车间表3'!K15+'2车间表3'!K15</f>
        <v>0</v>
      </c>
      <c r="N19" s="30">
        <f>'1车间表3'!L15+'2车间表3'!L15</f>
        <v>25.326004306292649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</row>
    <row r="20" spans="2:45" ht="20.100000000000001" customHeight="1">
      <c r="B20" s="679"/>
      <c r="C20" s="20" t="s">
        <v>89</v>
      </c>
      <c r="D20" s="23">
        <f>IF(ISERROR(L20/L10*100),"0.00",L20/L10*100)</f>
        <v>97.348539988275135</v>
      </c>
      <c r="E20" s="23">
        <f>IF(ISERROR(N20/N10*100),"0.00",N20/N10*100)</f>
        <v>99.810273661390255</v>
      </c>
      <c r="F20" s="23">
        <f>F17+F18+F19</f>
        <v>14.392796291791658</v>
      </c>
      <c r="G20" s="23">
        <v>0</v>
      </c>
      <c r="H20" s="23">
        <f t="shared" si="9"/>
        <v>65.670862584895232</v>
      </c>
      <c r="I20" s="23">
        <f t="shared" si="10"/>
        <v>0</v>
      </c>
      <c r="J20" s="27">
        <f t="shared" si="11"/>
        <v>3366.5768212689172</v>
      </c>
      <c r="K20" s="28">
        <v>0</v>
      </c>
      <c r="L20" s="28">
        <f>L17+L18+L19</f>
        <v>9.451873474906396</v>
      </c>
      <c r="M20" s="28">
        <f>M17+M18+M19</f>
        <v>0</v>
      </c>
      <c r="N20" s="32">
        <f>N17+N18+N19</f>
        <v>48.454454389191021</v>
      </c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</row>
    <row r="21" spans="2:45" ht="20.100000000000001" customHeight="1">
      <c r="B21" s="679" t="s">
        <v>25</v>
      </c>
      <c r="C21" s="21" t="s">
        <v>732</v>
      </c>
      <c r="D21" s="23" t="str">
        <f t="shared" ref="D21:E24" si="12">IF(ISERROR(M21/M7*100),"0.00",M21/M7*100)</f>
        <v>0.00</v>
      </c>
      <c r="E21" s="23" t="str">
        <f t="shared" si="12"/>
        <v>0.00</v>
      </c>
      <c r="F21" s="22">
        <f>'1车间表3'!F17+'2车间表3'!F17</f>
        <v>0</v>
      </c>
      <c r="G21" s="23">
        <v>0</v>
      </c>
      <c r="H21" s="23" t="str">
        <f t="shared" si="9"/>
        <v>0.00</v>
      </c>
      <c r="I21" s="23" t="str">
        <f t="shared" si="10"/>
        <v>0.00</v>
      </c>
      <c r="J21" s="27" t="str">
        <f t="shared" si="11"/>
        <v>0.00</v>
      </c>
      <c r="K21" s="28">
        <v>0</v>
      </c>
      <c r="L21" s="29">
        <f>'1车间表3'!J17+'2车间表3'!J17</f>
        <v>0</v>
      </c>
      <c r="M21" s="29">
        <f>'1车间表3'!K17+'2车间表3'!K17</f>
        <v>0</v>
      </c>
      <c r="N21" s="30">
        <f>'1车间表3'!L17+'2车间表3'!L17</f>
        <v>0</v>
      </c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</row>
    <row r="22" spans="2:45" ht="20.100000000000001" customHeight="1">
      <c r="B22" s="679"/>
      <c r="C22" s="21" t="s">
        <v>733</v>
      </c>
      <c r="D22" s="23" t="str">
        <f t="shared" si="12"/>
        <v>0.00</v>
      </c>
      <c r="E22" s="23">
        <f t="shared" si="12"/>
        <v>0</v>
      </c>
      <c r="F22" s="22">
        <f>'1车间表3'!F18+'2车间表3'!F18</f>
        <v>0</v>
      </c>
      <c r="G22" s="23">
        <v>0</v>
      </c>
      <c r="H22" s="23" t="str">
        <f t="shared" si="9"/>
        <v>0.00</v>
      </c>
      <c r="I22" s="23" t="str">
        <f t="shared" si="10"/>
        <v>0.00</v>
      </c>
      <c r="J22" s="27" t="str">
        <f t="shared" si="11"/>
        <v>0.00</v>
      </c>
      <c r="K22" s="28">
        <v>0</v>
      </c>
      <c r="L22" s="29">
        <f>'1车间表3'!J18+'2车间表3'!J18</f>
        <v>0</v>
      </c>
      <c r="M22" s="29">
        <f>'1车间表3'!K18+'2车间表3'!K18</f>
        <v>0</v>
      </c>
      <c r="N22" s="30">
        <f>'1车间表3'!L18+'2车间表3'!L18</f>
        <v>0</v>
      </c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</row>
    <row r="23" spans="2:45" ht="20.100000000000001" customHeight="1">
      <c r="B23" s="679"/>
      <c r="C23" s="21" t="s">
        <v>734</v>
      </c>
      <c r="D23" s="23" t="str">
        <f t="shared" si="12"/>
        <v>0.00</v>
      </c>
      <c r="E23" s="23">
        <f t="shared" si="12"/>
        <v>0</v>
      </c>
      <c r="F23" s="22">
        <f>'1车间表3'!F19+'2车间表3'!F19</f>
        <v>0</v>
      </c>
      <c r="G23" s="23">
        <v>0</v>
      </c>
      <c r="H23" s="23" t="str">
        <f t="shared" si="9"/>
        <v>0.00</v>
      </c>
      <c r="I23" s="23" t="str">
        <f t="shared" si="10"/>
        <v>0.00</v>
      </c>
      <c r="J23" s="27" t="str">
        <f t="shared" si="11"/>
        <v>0.00</v>
      </c>
      <c r="K23" s="28">
        <v>0</v>
      </c>
      <c r="L23" s="29">
        <f>'1车间表3'!J19+'2车间表3'!J19</f>
        <v>0</v>
      </c>
      <c r="M23" s="29">
        <f>'1车间表3'!K19+'2车间表3'!K19</f>
        <v>0</v>
      </c>
      <c r="N23" s="30">
        <f>'1车间表3'!L19+'2车间表3'!L19</f>
        <v>0</v>
      </c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</row>
    <row r="24" spans="2:45" ht="20.100000000000001" customHeight="1">
      <c r="B24" s="679"/>
      <c r="C24" s="20" t="s">
        <v>89</v>
      </c>
      <c r="D24" s="23" t="str">
        <f t="shared" si="12"/>
        <v>0.00</v>
      </c>
      <c r="E24" s="23">
        <f t="shared" si="12"/>
        <v>0</v>
      </c>
      <c r="F24" s="23">
        <f>F21+F22+F23</f>
        <v>0</v>
      </c>
      <c r="G24" s="23">
        <v>0</v>
      </c>
      <c r="H24" s="23" t="str">
        <f t="shared" si="9"/>
        <v>0.00</v>
      </c>
      <c r="I24" s="23" t="str">
        <f t="shared" si="10"/>
        <v>0.00</v>
      </c>
      <c r="J24" s="27" t="str">
        <f t="shared" si="11"/>
        <v>0.00</v>
      </c>
      <c r="K24" s="28">
        <v>0</v>
      </c>
      <c r="L24" s="28">
        <f>L21+L22+L23</f>
        <v>0</v>
      </c>
      <c r="M24" s="28">
        <f>M21+M22+M23</f>
        <v>0</v>
      </c>
      <c r="N24" s="32">
        <f>N21+N22+N23</f>
        <v>0</v>
      </c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</row>
    <row r="25" spans="2:45" ht="20.100000000000001" customHeight="1">
      <c r="B25" s="679" t="s">
        <v>26</v>
      </c>
      <c r="C25" s="21" t="s">
        <v>732</v>
      </c>
      <c r="D25" s="23">
        <v>0</v>
      </c>
      <c r="E25" s="23">
        <f>E13+E17</f>
        <v>0</v>
      </c>
      <c r="F25" s="22">
        <f>'1车间表3'!F21+'2车间表3'!F21</f>
        <v>0</v>
      </c>
      <c r="G25" s="23">
        <v>0</v>
      </c>
      <c r="H25" s="23" t="str">
        <f t="shared" si="9"/>
        <v>0.00</v>
      </c>
      <c r="I25" s="23" t="str">
        <f t="shared" si="10"/>
        <v>0.00</v>
      </c>
      <c r="J25" s="27" t="str">
        <f t="shared" si="11"/>
        <v>0.00</v>
      </c>
      <c r="K25" s="28">
        <v>0</v>
      </c>
      <c r="L25" s="29">
        <f>'1车间表3'!J21+'2车间表3'!J21</f>
        <v>0</v>
      </c>
      <c r="M25" s="29">
        <f>'1车间表3'!K21+'2车间表3'!K21</f>
        <v>0</v>
      </c>
      <c r="N25" s="30">
        <f>'1车间表3'!L21+'2车间表3'!L21</f>
        <v>0</v>
      </c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</row>
    <row r="26" spans="2:45" ht="20.100000000000001" customHeight="1">
      <c r="B26" s="679"/>
      <c r="C26" s="21" t="s">
        <v>733</v>
      </c>
      <c r="D26" s="23">
        <v>0</v>
      </c>
      <c r="E26" s="23">
        <f>E14+E18</f>
        <v>115.70148957715539</v>
      </c>
      <c r="F26" s="22">
        <f>'1车间表3'!F22+'2车间表3'!F22</f>
        <v>117.26010439054345</v>
      </c>
      <c r="G26" s="23">
        <v>0</v>
      </c>
      <c r="H26" s="23">
        <f t="shared" si="9"/>
        <v>0.13</v>
      </c>
      <c r="I26" s="23">
        <f t="shared" si="10"/>
        <v>0</v>
      </c>
      <c r="J26" s="27">
        <f t="shared" si="11"/>
        <v>-26.766905071521474</v>
      </c>
      <c r="K26" s="28">
        <v>0</v>
      </c>
      <c r="L26" s="29">
        <f>'1车间表3'!J22+'2车间表3'!J22</f>
        <v>0.15243813570770648</v>
      </c>
      <c r="M26" s="29">
        <f>'1车间表3'!K22+'2车间表3'!K22</f>
        <v>0</v>
      </c>
      <c r="N26" s="30">
        <f>'1车间表3'!L22+'2车间表3'!L22</f>
        <v>-3.1386900828983748</v>
      </c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</row>
    <row r="27" spans="2:45" ht="20.100000000000001" customHeight="1">
      <c r="B27" s="679"/>
      <c r="C27" s="21" t="s">
        <v>734</v>
      </c>
      <c r="D27" s="23">
        <v>0</v>
      </c>
      <c r="E27" s="23">
        <f>E15+E19</f>
        <v>88.686422520354697</v>
      </c>
      <c r="F27" s="22">
        <f>'1车间表3'!F23+'2车间表3'!F23</f>
        <v>116.66709931766489</v>
      </c>
      <c r="G27" s="23">
        <v>0</v>
      </c>
      <c r="H27" s="23">
        <f t="shared" si="9"/>
        <v>8.9999999999999802E-2</v>
      </c>
      <c r="I27" s="23">
        <f t="shared" si="10"/>
        <v>0</v>
      </c>
      <c r="J27" s="27">
        <f t="shared" si="11"/>
        <v>27.692431821849247</v>
      </c>
      <c r="K27" s="28">
        <v>0</v>
      </c>
      <c r="L27" s="29">
        <f>'1车间表3'!J23+'2车间表3'!J23</f>
        <v>0.10500038938589817</v>
      </c>
      <c r="M27" s="29">
        <f>'1车间表3'!K23+'2车间表3'!K23</f>
        <v>0</v>
      </c>
      <c r="N27" s="30">
        <f>'1车间表3'!L23+'2车间表3'!L23</f>
        <v>3.2307956937073499</v>
      </c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</row>
    <row r="28" spans="2:45" ht="20.100000000000001" customHeight="1">
      <c r="B28" s="679"/>
      <c r="C28" s="20" t="s">
        <v>89</v>
      </c>
      <c r="D28" s="23">
        <v>0</v>
      </c>
      <c r="E28" s="23">
        <f>E16+E20</f>
        <v>99.810273661390255</v>
      </c>
      <c r="F28" s="23">
        <f>F25+F26+F27</f>
        <v>233.92720370820834</v>
      </c>
      <c r="G28" s="23">
        <v>0</v>
      </c>
      <c r="H28" s="23">
        <f t="shared" si="9"/>
        <v>0.11005069996678257</v>
      </c>
      <c r="I28" s="23">
        <f t="shared" si="10"/>
        <v>0</v>
      </c>
      <c r="J28" s="27">
        <f t="shared" si="11"/>
        <v>0.39373621087637162</v>
      </c>
      <c r="K28" s="28">
        <v>0</v>
      </c>
      <c r="L28" s="28">
        <f>L25+L26+L27</f>
        <v>0.25743852509360465</v>
      </c>
      <c r="M28" s="28">
        <f>M25+M26+M27</f>
        <v>0</v>
      </c>
      <c r="N28" s="32">
        <f>N25+N26+N27</f>
        <v>9.2105610808975058E-2</v>
      </c>
      <c r="P28" s="31" t="e">
        <f>K28/K10*100</f>
        <v>#DIV/0!</v>
      </c>
      <c r="Q28" s="31">
        <f>L28/L10*100</f>
        <v>2.6514600117248746</v>
      </c>
      <c r="R28" s="31" t="e">
        <f>M28/M10*100</f>
        <v>#DIV/0!</v>
      </c>
      <c r="S28" s="31">
        <f>N28/N10*100</f>
        <v>0.1897263386097286</v>
      </c>
      <c r="U28" s="31">
        <f>S20</f>
        <v>0</v>
      </c>
      <c r="V28" s="31">
        <f>S24</f>
        <v>0</v>
      </c>
      <c r="W28" s="31">
        <f>S16</f>
        <v>0</v>
      </c>
      <c r="X28" s="31">
        <f>S28</f>
        <v>0.1897263386097286</v>
      </c>
      <c r="Y28" s="31">
        <f>U28+V28+W28+X28</f>
        <v>0.1897263386097286</v>
      </c>
      <c r="AC28" s="34"/>
      <c r="AG28" s="34"/>
      <c r="AK28" s="34"/>
    </row>
    <row r="29" spans="2:45">
      <c r="B29" s="19"/>
      <c r="C29" s="694" t="s">
        <v>66</v>
      </c>
      <c r="D29" s="694"/>
      <c r="E29" s="694"/>
      <c r="F29" s="19"/>
      <c r="G29" s="19"/>
      <c r="H29" s="19"/>
      <c r="I29" s="19"/>
      <c r="J29" s="19"/>
      <c r="K29" s="694" t="s">
        <v>67</v>
      </c>
      <c r="L29" s="694"/>
      <c r="M29" s="694"/>
      <c r="N29" s="19"/>
    </row>
    <row r="30" spans="2:45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</sheetData>
  <mergeCells count="27">
    <mergeCell ref="O5:O6"/>
    <mergeCell ref="P5:P6"/>
    <mergeCell ref="B2:N3"/>
    <mergeCell ref="B21:B24"/>
    <mergeCell ref="B25:B28"/>
    <mergeCell ref="C5:C6"/>
    <mergeCell ref="C11:C12"/>
    <mergeCell ref="D5:D6"/>
    <mergeCell ref="B5:B6"/>
    <mergeCell ref="B7:B10"/>
    <mergeCell ref="B11:B12"/>
    <mergeCell ref="B13:B16"/>
    <mergeCell ref="B17:B20"/>
    <mergeCell ref="D11:E11"/>
    <mergeCell ref="G11:J11"/>
    <mergeCell ref="K11:N11"/>
    <mergeCell ref="C29:E29"/>
    <mergeCell ref="K29:M29"/>
    <mergeCell ref="F11:F12"/>
    <mergeCell ref="C4:D4"/>
    <mergeCell ref="E4:F4"/>
    <mergeCell ref="H4:J4"/>
    <mergeCell ref="L4:M4"/>
    <mergeCell ref="G5:J5"/>
    <mergeCell ref="K5:N5"/>
    <mergeCell ref="E5:E6"/>
    <mergeCell ref="F5:F6"/>
  </mergeCells>
  <phoneticPr fontId="54" type="noConversion"/>
  <printOptions horizontalCentered="1" verticalCentered="1"/>
  <pageMargins left="0" right="0" top="0" bottom="0" header="0" footer="0"/>
  <pageSetup paperSize="9" orientation="landscape" horizontalDpi="180" verticalDpi="18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K32"/>
  <sheetViews>
    <sheetView topLeftCell="A4" workbookViewId="0">
      <selection activeCell="O23" sqref="O23"/>
    </sheetView>
  </sheetViews>
  <sheetFormatPr defaultColWidth="9" defaultRowHeight="14.4"/>
  <cols>
    <col min="1" max="2" width="9.6640625" customWidth="1"/>
    <col min="3" max="3" width="9.6640625" style="1" customWidth="1"/>
    <col min="4" max="11" width="9.6640625" customWidth="1"/>
  </cols>
  <sheetData>
    <row r="1" spans="1:11" ht="30.75" customHeight="1">
      <c r="A1" s="839" t="s">
        <v>735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</row>
    <row r="2" spans="1:11" ht="16.5" customHeight="1">
      <c r="A2" s="7"/>
      <c r="B2" s="7"/>
      <c r="C2" s="8"/>
      <c r="D2" s="7"/>
      <c r="E2" s="7"/>
      <c r="F2" s="700"/>
      <c r="G2" s="700"/>
      <c r="H2" s="9"/>
      <c r="I2" s="16"/>
      <c r="J2" s="840">
        <f>基础数据!A2</f>
        <v>45836</v>
      </c>
      <c r="K2" s="840"/>
    </row>
    <row r="3" spans="1:11">
      <c r="A3" s="836" t="s">
        <v>64</v>
      </c>
      <c r="B3" s="10" t="s">
        <v>119</v>
      </c>
      <c r="C3" s="11" t="s">
        <v>736</v>
      </c>
      <c r="D3" s="10" t="s">
        <v>336</v>
      </c>
      <c r="E3" s="12" t="s">
        <v>737</v>
      </c>
      <c r="F3" s="12" t="s">
        <v>736</v>
      </c>
      <c r="G3" s="10" t="s">
        <v>723</v>
      </c>
      <c r="H3" s="12" t="s">
        <v>737</v>
      </c>
      <c r="I3" s="12" t="s">
        <v>736</v>
      </c>
      <c r="J3" s="10" t="s">
        <v>738</v>
      </c>
      <c r="K3" s="12" t="s">
        <v>737</v>
      </c>
    </row>
    <row r="4" spans="1:11" ht="15.6">
      <c r="A4" s="836"/>
      <c r="B4" s="10" t="s">
        <v>32</v>
      </c>
      <c r="C4" s="11">
        <v>93.95</v>
      </c>
      <c r="D4" s="13" t="e">
        <f>#REF!</f>
        <v>#REF!</v>
      </c>
      <c r="E4" s="14" t="e">
        <f>D4</f>
        <v>#REF!</v>
      </c>
      <c r="F4" s="15">
        <v>66</v>
      </c>
      <c r="G4" s="13" t="e">
        <f>#REF!</f>
        <v>#REF!</v>
      </c>
      <c r="H4" s="14" t="e">
        <f>G4</f>
        <v>#REF!</v>
      </c>
      <c r="I4" s="11">
        <v>4</v>
      </c>
      <c r="J4" s="13" t="e">
        <f>#REF!</f>
        <v>#REF!</v>
      </c>
      <c r="K4" s="14" t="e">
        <f>J4</f>
        <v>#REF!</v>
      </c>
    </row>
    <row r="5" spans="1:11" ht="15.6">
      <c r="A5" s="836"/>
      <c r="B5" s="10" t="s">
        <v>33</v>
      </c>
      <c r="C5" s="11">
        <v>93.95</v>
      </c>
      <c r="D5" s="13" t="e">
        <f>#REF!</f>
        <v>#REF!</v>
      </c>
      <c r="E5" s="14" t="e">
        <f t="shared" ref="E5:E9" si="0">D5</f>
        <v>#REF!</v>
      </c>
      <c r="F5" s="15">
        <v>66</v>
      </c>
      <c r="G5" s="13" t="e">
        <f>#REF!</f>
        <v>#REF!</v>
      </c>
      <c r="H5" s="14" t="e">
        <f t="shared" ref="H5:H9" si="1">G5</f>
        <v>#REF!</v>
      </c>
      <c r="I5" s="11">
        <v>4</v>
      </c>
      <c r="J5" s="13" t="e">
        <f>#REF!</f>
        <v>#REF!</v>
      </c>
      <c r="K5" s="14" t="e">
        <f t="shared" ref="K5:K9" si="2">J5</f>
        <v>#REF!</v>
      </c>
    </row>
    <row r="6" spans="1:11" ht="15.6">
      <c r="A6" s="836"/>
      <c r="B6" s="10" t="s">
        <v>34</v>
      </c>
      <c r="C6" s="11">
        <v>93.95</v>
      </c>
      <c r="D6" s="13" t="e">
        <f>#REF!</f>
        <v>#REF!</v>
      </c>
      <c r="E6" s="14" t="e">
        <f t="shared" si="0"/>
        <v>#REF!</v>
      </c>
      <c r="F6" s="15">
        <v>66</v>
      </c>
      <c r="G6" s="13" t="e">
        <f>#REF!</f>
        <v>#REF!</v>
      </c>
      <c r="H6" s="14" t="e">
        <f t="shared" si="1"/>
        <v>#REF!</v>
      </c>
      <c r="I6" s="11">
        <v>4</v>
      </c>
      <c r="J6" s="13" t="e">
        <f>#REF!</f>
        <v>#REF!</v>
      </c>
      <c r="K6" s="14" t="e">
        <f t="shared" si="2"/>
        <v>#REF!</v>
      </c>
    </row>
    <row r="7" spans="1:11" ht="15.6">
      <c r="A7" s="836"/>
      <c r="B7" s="10" t="s">
        <v>35</v>
      </c>
      <c r="C7" s="11">
        <v>93.95</v>
      </c>
      <c r="D7" s="13" t="e">
        <f>#REF!</f>
        <v>#REF!</v>
      </c>
      <c r="E7" s="14" t="e">
        <f t="shared" si="0"/>
        <v>#REF!</v>
      </c>
      <c r="F7" s="15">
        <v>66</v>
      </c>
      <c r="G7" s="13" t="e">
        <f>#REF!</f>
        <v>#REF!</v>
      </c>
      <c r="H7" s="14" t="e">
        <f t="shared" si="1"/>
        <v>#REF!</v>
      </c>
      <c r="I7" s="11">
        <v>4</v>
      </c>
      <c r="J7" s="13" t="e">
        <f>#REF!</f>
        <v>#REF!</v>
      </c>
      <c r="K7" s="14" t="e">
        <f t="shared" si="2"/>
        <v>#REF!</v>
      </c>
    </row>
    <row r="8" spans="1:11" ht="15.6">
      <c r="A8" s="836"/>
      <c r="B8" s="10" t="s">
        <v>36</v>
      </c>
      <c r="C8" s="11">
        <v>93.95</v>
      </c>
      <c r="D8" s="13" t="e">
        <f>#REF!</f>
        <v>#REF!</v>
      </c>
      <c r="E8" s="14" t="e">
        <f t="shared" si="0"/>
        <v>#REF!</v>
      </c>
      <c r="F8" s="15">
        <v>66</v>
      </c>
      <c r="G8" s="13" t="e">
        <f>#REF!</f>
        <v>#REF!</v>
      </c>
      <c r="H8" s="14" t="e">
        <f t="shared" si="1"/>
        <v>#REF!</v>
      </c>
      <c r="I8" s="11">
        <v>4</v>
      </c>
      <c r="J8" s="13" t="e">
        <f>#REF!</f>
        <v>#REF!</v>
      </c>
      <c r="K8" s="14" t="e">
        <f t="shared" si="2"/>
        <v>#REF!</v>
      </c>
    </row>
    <row r="9" spans="1:11" ht="15.6">
      <c r="A9" s="836"/>
      <c r="B9" s="10" t="s">
        <v>37</v>
      </c>
      <c r="C9" s="11">
        <v>93.95</v>
      </c>
      <c r="D9" s="13" t="e">
        <f>#REF!</f>
        <v>#REF!</v>
      </c>
      <c r="E9" s="14" t="e">
        <f t="shared" si="0"/>
        <v>#REF!</v>
      </c>
      <c r="F9" s="15">
        <v>66</v>
      </c>
      <c r="G9" s="13" t="e">
        <f>#REF!</f>
        <v>#REF!</v>
      </c>
      <c r="H9" s="14" t="e">
        <f t="shared" si="1"/>
        <v>#REF!</v>
      </c>
      <c r="I9" s="11">
        <v>4</v>
      </c>
      <c r="J9" s="13" t="e">
        <f>#REF!</f>
        <v>#REF!</v>
      </c>
      <c r="K9" s="14" t="e">
        <f t="shared" si="2"/>
        <v>#REF!</v>
      </c>
    </row>
    <row r="10" spans="1:11">
      <c r="A10" s="836" t="s">
        <v>65</v>
      </c>
      <c r="B10" s="10" t="s">
        <v>119</v>
      </c>
      <c r="C10" s="11" t="s">
        <v>736</v>
      </c>
      <c r="D10" s="10" t="s">
        <v>337</v>
      </c>
      <c r="E10" s="12" t="s">
        <v>737</v>
      </c>
      <c r="F10" s="12" t="s">
        <v>736</v>
      </c>
      <c r="G10" s="10" t="s">
        <v>739</v>
      </c>
      <c r="H10" s="12" t="s">
        <v>737</v>
      </c>
      <c r="I10" s="12" t="s">
        <v>736</v>
      </c>
      <c r="J10" s="10" t="s">
        <v>724</v>
      </c>
      <c r="K10" s="12" t="s">
        <v>737</v>
      </c>
    </row>
    <row r="11" spans="1:11" ht="15.6">
      <c r="A11" s="836"/>
      <c r="B11" s="10" t="s">
        <v>32</v>
      </c>
      <c r="C11" s="11">
        <v>90.4</v>
      </c>
      <c r="D11" s="13" t="e">
        <f>#REF!</f>
        <v>#REF!</v>
      </c>
      <c r="E11" s="14" t="e">
        <f>D11</f>
        <v>#REF!</v>
      </c>
      <c r="F11" s="15">
        <v>0.5</v>
      </c>
      <c r="G11" s="13" t="e">
        <f>#REF!</f>
        <v>#REF!</v>
      </c>
      <c r="H11" s="14" t="e">
        <f>G11</f>
        <v>#REF!</v>
      </c>
      <c r="I11" s="11">
        <v>48.74</v>
      </c>
      <c r="J11" s="13" t="e">
        <f>#REF!</f>
        <v>#REF!</v>
      </c>
      <c r="K11" s="14" t="e">
        <f>J11</f>
        <v>#REF!</v>
      </c>
    </row>
    <row r="12" spans="1:11" ht="15.6">
      <c r="A12" s="836"/>
      <c r="B12" s="10" t="s">
        <v>33</v>
      </c>
      <c r="C12" s="11">
        <v>90.4</v>
      </c>
      <c r="D12" s="13" t="e">
        <f>#REF!</f>
        <v>#REF!</v>
      </c>
      <c r="E12" s="14" t="e">
        <f t="shared" ref="E12:E16" si="3">D12</f>
        <v>#REF!</v>
      </c>
      <c r="F12" s="15">
        <v>0.5</v>
      </c>
      <c r="G12" s="13" t="e">
        <f>#REF!</f>
        <v>#REF!</v>
      </c>
      <c r="H12" s="14" t="e">
        <f t="shared" ref="H12:H16" si="4">G12</f>
        <v>#REF!</v>
      </c>
      <c r="I12" s="11">
        <v>48.74</v>
      </c>
      <c r="J12" s="13" t="e">
        <f>#REF!</f>
        <v>#REF!</v>
      </c>
      <c r="K12" s="14" t="e">
        <f t="shared" ref="K12:K16" si="5">J12</f>
        <v>#REF!</v>
      </c>
    </row>
    <row r="13" spans="1:11" ht="15.6">
      <c r="A13" s="836"/>
      <c r="B13" s="10" t="s">
        <v>34</v>
      </c>
      <c r="C13" s="11">
        <v>90.4</v>
      </c>
      <c r="D13" s="13" t="e">
        <f>#REF!</f>
        <v>#REF!</v>
      </c>
      <c r="E13" s="14" t="e">
        <f t="shared" si="3"/>
        <v>#REF!</v>
      </c>
      <c r="F13" s="15">
        <v>0.5</v>
      </c>
      <c r="G13" s="13" t="e">
        <f>#REF!</f>
        <v>#REF!</v>
      </c>
      <c r="H13" s="14" t="e">
        <f t="shared" si="4"/>
        <v>#REF!</v>
      </c>
      <c r="I13" s="11">
        <v>48.74</v>
      </c>
      <c r="J13" s="13" t="e">
        <f>#REF!</f>
        <v>#REF!</v>
      </c>
      <c r="K13" s="14" t="e">
        <f t="shared" si="5"/>
        <v>#REF!</v>
      </c>
    </row>
    <row r="14" spans="1:11" ht="15.6">
      <c r="A14" s="836"/>
      <c r="B14" s="10" t="s">
        <v>35</v>
      </c>
      <c r="C14" s="11">
        <v>90.4</v>
      </c>
      <c r="D14" s="13" t="e">
        <f>#REF!</f>
        <v>#REF!</v>
      </c>
      <c r="E14" s="14" t="e">
        <f t="shared" si="3"/>
        <v>#REF!</v>
      </c>
      <c r="F14" s="15">
        <v>0.5</v>
      </c>
      <c r="G14" s="13" t="e">
        <f>#REF!</f>
        <v>#REF!</v>
      </c>
      <c r="H14" s="14" t="e">
        <f t="shared" si="4"/>
        <v>#REF!</v>
      </c>
      <c r="I14" s="11">
        <v>48.74</v>
      </c>
      <c r="J14" s="13" t="e">
        <f>#REF!</f>
        <v>#REF!</v>
      </c>
      <c r="K14" s="14" t="e">
        <f t="shared" si="5"/>
        <v>#REF!</v>
      </c>
    </row>
    <row r="15" spans="1:11" ht="15.6">
      <c r="A15" s="836"/>
      <c r="B15" s="10" t="s">
        <v>36</v>
      </c>
      <c r="C15" s="11">
        <v>90.4</v>
      </c>
      <c r="D15" s="13" t="e">
        <f>#REF!</f>
        <v>#REF!</v>
      </c>
      <c r="E15" s="14" t="e">
        <f t="shared" si="3"/>
        <v>#REF!</v>
      </c>
      <c r="F15" s="15">
        <v>0.5</v>
      </c>
      <c r="G15" s="13" t="e">
        <f>#REF!</f>
        <v>#REF!</v>
      </c>
      <c r="H15" s="14" t="e">
        <f t="shared" si="4"/>
        <v>#REF!</v>
      </c>
      <c r="I15" s="11">
        <v>48.74</v>
      </c>
      <c r="J15" s="13" t="e">
        <f>#REF!</f>
        <v>#REF!</v>
      </c>
      <c r="K15" s="14" t="e">
        <f t="shared" si="5"/>
        <v>#REF!</v>
      </c>
    </row>
    <row r="16" spans="1:11" ht="15.6">
      <c r="A16" s="836"/>
      <c r="B16" s="10" t="s">
        <v>37</v>
      </c>
      <c r="C16" s="11">
        <v>90.4</v>
      </c>
      <c r="D16" s="13" t="e">
        <f>#REF!</f>
        <v>#REF!</v>
      </c>
      <c r="E16" s="14" t="e">
        <f t="shared" si="3"/>
        <v>#REF!</v>
      </c>
      <c r="F16" s="15">
        <v>0.5</v>
      </c>
      <c r="G16" s="13" t="e">
        <f>#REF!</f>
        <v>#REF!</v>
      </c>
      <c r="H16" s="14" t="e">
        <f t="shared" si="4"/>
        <v>#REF!</v>
      </c>
      <c r="I16" s="11">
        <v>48.74</v>
      </c>
      <c r="J16" s="13" t="e">
        <f>#REF!</f>
        <v>#REF!</v>
      </c>
      <c r="K16" s="14" t="e">
        <f t="shared" si="5"/>
        <v>#REF!</v>
      </c>
    </row>
    <row r="17" spans="1:11">
      <c r="A17" s="836" t="s">
        <v>740</v>
      </c>
      <c r="B17" s="10" t="s">
        <v>119</v>
      </c>
      <c r="C17" s="11" t="s">
        <v>736</v>
      </c>
      <c r="D17" s="10" t="s">
        <v>741</v>
      </c>
      <c r="E17" s="12" t="s">
        <v>737</v>
      </c>
      <c r="F17" s="12" t="s">
        <v>736</v>
      </c>
      <c r="G17" s="10" t="s">
        <v>742</v>
      </c>
      <c r="H17" s="12" t="s">
        <v>737</v>
      </c>
      <c r="I17" s="12" t="s">
        <v>736</v>
      </c>
      <c r="J17" s="10" t="s">
        <v>230</v>
      </c>
      <c r="K17" s="12" t="s">
        <v>737</v>
      </c>
    </row>
    <row r="18" spans="1:11" ht="15.6">
      <c r="A18" s="836"/>
      <c r="B18" s="10" t="s">
        <v>32</v>
      </c>
      <c r="C18" s="11">
        <v>0.11</v>
      </c>
      <c r="D18" s="13" t="e">
        <f>#REF!</f>
        <v>#REF!</v>
      </c>
      <c r="E18" s="14" t="e">
        <f>D18</f>
        <v>#REF!</v>
      </c>
      <c r="F18" s="15">
        <v>0.12</v>
      </c>
      <c r="G18" s="13" t="e">
        <f>#REF!</f>
        <v>#REF!</v>
      </c>
      <c r="H18" s="14" t="e">
        <f>G18</f>
        <v>#REF!</v>
      </c>
      <c r="I18" s="11">
        <v>68</v>
      </c>
      <c r="J18" s="13" t="e">
        <f>#REF!</f>
        <v>#REF!</v>
      </c>
      <c r="K18" s="17" t="e">
        <f>J18</f>
        <v>#REF!</v>
      </c>
    </row>
    <row r="19" spans="1:11" ht="15.6">
      <c r="A19" s="836"/>
      <c r="B19" s="10" t="s">
        <v>33</v>
      </c>
      <c r="C19" s="11">
        <v>0.11</v>
      </c>
      <c r="D19" s="13" t="e">
        <f>#REF!</f>
        <v>#REF!</v>
      </c>
      <c r="E19" s="14" t="e">
        <f t="shared" ref="E19:E23" si="6">D19</f>
        <v>#REF!</v>
      </c>
      <c r="F19" s="15">
        <v>0.12</v>
      </c>
      <c r="G19" s="13" t="e">
        <f>#REF!</f>
        <v>#REF!</v>
      </c>
      <c r="H19" s="14" t="e">
        <f t="shared" ref="H19:H23" si="7">G19</f>
        <v>#REF!</v>
      </c>
      <c r="I19" s="11">
        <v>68</v>
      </c>
      <c r="J19" s="13" t="e">
        <f>#REF!</f>
        <v>#REF!</v>
      </c>
      <c r="K19" s="17" t="e">
        <f t="shared" ref="K19:K23" si="8">J19</f>
        <v>#REF!</v>
      </c>
    </row>
    <row r="20" spans="1:11" ht="15.6">
      <c r="A20" s="836"/>
      <c r="B20" s="10" t="s">
        <v>34</v>
      </c>
      <c r="C20" s="11">
        <v>0.11</v>
      </c>
      <c r="D20" s="13" t="e">
        <f>#REF!</f>
        <v>#REF!</v>
      </c>
      <c r="E20" s="14" t="e">
        <f t="shared" si="6"/>
        <v>#REF!</v>
      </c>
      <c r="F20" s="15">
        <v>0.12</v>
      </c>
      <c r="G20" s="13" t="e">
        <f>#REF!</f>
        <v>#REF!</v>
      </c>
      <c r="H20" s="14" t="e">
        <f t="shared" si="7"/>
        <v>#REF!</v>
      </c>
      <c r="I20" s="11">
        <v>68</v>
      </c>
      <c r="J20" s="13" t="e">
        <f>#REF!</f>
        <v>#REF!</v>
      </c>
      <c r="K20" s="17" t="e">
        <f t="shared" si="8"/>
        <v>#REF!</v>
      </c>
    </row>
    <row r="21" spans="1:11" ht="15.6">
      <c r="A21" s="836"/>
      <c r="B21" s="10" t="s">
        <v>35</v>
      </c>
      <c r="C21" s="11">
        <v>0.11</v>
      </c>
      <c r="D21" s="13" t="e">
        <f>#REF!</f>
        <v>#REF!</v>
      </c>
      <c r="E21" s="14" t="e">
        <f t="shared" si="6"/>
        <v>#REF!</v>
      </c>
      <c r="F21" s="15">
        <v>0.12</v>
      </c>
      <c r="G21" s="13" t="e">
        <f>#REF!</f>
        <v>#REF!</v>
      </c>
      <c r="H21" s="14" t="e">
        <f t="shared" si="7"/>
        <v>#REF!</v>
      </c>
      <c r="I21" s="11">
        <v>68</v>
      </c>
      <c r="J21" s="13" t="e">
        <f>#REF!</f>
        <v>#REF!</v>
      </c>
      <c r="K21" s="17" t="e">
        <f t="shared" si="8"/>
        <v>#REF!</v>
      </c>
    </row>
    <row r="22" spans="1:11" ht="15.6">
      <c r="A22" s="836"/>
      <c r="B22" s="10" t="s">
        <v>36</v>
      </c>
      <c r="C22" s="11">
        <v>0.11</v>
      </c>
      <c r="D22" s="13" t="e">
        <f>#REF!</f>
        <v>#REF!</v>
      </c>
      <c r="E22" s="14" t="e">
        <f t="shared" si="6"/>
        <v>#REF!</v>
      </c>
      <c r="F22" s="15">
        <v>0.12</v>
      </c>
      <c r="G22" s="13" t="e">
        <f>#REF!</f>
        <v>#REF!</v>
      </c>
      <c r="H22" s="14" t="e">
        <f t="shared" si="7"/>
        <v>#REF!</v>
      </c>
      <c r="I22" s="11">
        <v>68</v>
      </c>
      <c r="J22" s="13" t="e">
        <f>#REF!</f>
        <v>#REF!</v>
      </c>
      <c r="K22" s="17" t="e">
        <f t="shared" si="8"/>
        <v>#REF!</v>
      </c>
    </row>
    <row r="23" spans="1:11" ht="15.6">
      <c r="A23" s="836"/>
      <c r="B23" s="10" t="s">
        <v>37</v>
      </c>
      <c r="C23" s="11">
        <v>0.11</v>
      </c>
      <c r="D23" s="13" t="e">
        <f>#REF!</f>
        <v>#REF!</v>
      </c>
      <c r="E23" s="14" t="e">
        <f t="shared" si="6"/>
        <v>#REF!</v>
      </c>
      <c r="F23" s="15">
        <v>0.12</v>
      </c>
      <c r="G23" s="13" t="e">
        <f>#REF!</f>
        <v>#REF!</v>
      </c>
      <c r="H23" s="14" t="e">
        <f t="shared" si="7"/>
        <v>#REF!</v>
      </c>
      <c r="I23" s="11">
        <v>68</v>
      </c>
      <c r="J23" s="13" t="e">
        <f>#REF!</f>
        <v>#REF!</v>
      </c>
      <c r="K23" s="17" t="e">
        <f t="shared" si="8"/>
        <v>#REF!</v>
      </c>
    </row>
    <row r="24" spans="1:11">
      <c r="A24" s="837" t="s">
        <v>743</v>
      </c>
      <c r="B24" s="837"/>
      <c r="C24" s="837"/>
      <c r="D24" s="837"/>
      <c r="E24" s="837"/>
      <c r="F24" s="837"/>
      <c r="G24" s="837"/>
      <c r="H24" s="837"/>
      <c r="I24" s="837"/>
      <c r="J24" s="837"/>
      <c r="K24" s="837"/>
    </row>
    <row r="25" spans="1:11">
      <c r="A25" s="838"/>
      <c r="B25" s="838"/>
      <c r="C25" s="838"/>
      <c r="D25" s="838"/>
      <c r="E25" s="838"/>
      <c r="F25" s="838"/>
      <c r="G25" s="838"/>
      <c r="H25" s="838"/>
      <c r="I25" s="838"/>
      <c r="J25" s="838"/>
      <c r="K25" s="838"/>
    </row>
    <row r="27" spans="1:11">
      <c r="D27" s="1"/>
    </row>
    <row r="28" spans="1:11">
      <c r="D28" s="1"/>
    </row>
    <row r="29" spans="1:11">
      <c r="D29" s="1"/>
    </row>
    <row r="30" spans="1:11">
      <c r="D30" s="1"/>
    </row>
    <row r="31" spans="1:11">
      <c r="D31" s="1"/>
    </row>
    <row r="32" spans="1:11">
      <c r="D32" s="1"/>
    </row>
  </sheetData>
  <mergeCells count="7">
    <mergeCell ref="A17:A23"/>
    <mergeCell ref="A24:K25"/>
    <mergeCell ref="A1:K1"/>
    <mergeCell ref="F2:G2"/>
    <mergeCell ref="J2:K2"/>
    <mergeCell ref="A3:A9"/>
    <mergeCell ref="A10:A16"/>
  </mergeCells>
  <phoneticPr fontId="54" type="noConversion"/>
  <conditionalFormatting sqref="E4:E9">
    <cfRule type="iconSet" priority="10">
      <iconSet showValue="0">
        <cfvo type="percent" val="0"/>
        <cfvo type="num" val="93" gte="0"/>
        <cfvo type="num" val="93.85"/>
      </iconSet>
    </cfRule>
    <cfRule type="iconSet" priority="14">
      <iconSet showValue="0">
        <cfvo type="percent" val="0"/>
        <cfvo type="num" val="93.5" gte="0"/>
        <cfvo type="num" val="93.85"/>
      </iconSet>
    </cfRule>
    <cfRule type="iconSet" priority="15">
      <iconSet>
        <cfvo type="percent" val="0"/>
        <cfvo type="num" val="93.5" gte="0"/>
        <cfvo type="num" val="93.85"/>
      </iconSet>
    </cfRule>
  </conditionalFormatting>
  <conditionalFormatting sqref="E11:E16">
    <cfRule type="iconSet" priority="9">
      <iconSet showValue="0">
        <cfvo type="percent" val="0"/>
        <cfvo type="num" val="89.5" gte="0"/>
        <cfvo type="num" val="90.37"/>
      </iconSet>
    </cfRule>
    <cfRule type="iconSet" priority="13">
      <iconSet showValue="0">
        <cfvo type="percent" val="0"/>
        <cfvo type="num" val="90" gte="0"/>
        <cfvo type="num" val="90.37"/>
      </iconSet>
    </cfRule>
  </conditionalFormatting>
  <conditionalFormatting sqref="E18:E23">
    <cfRule type="iconSet" priority="8">
      <iconSet showValue="0" reverse="1">
        <cfvo type="percent" val="0"/>
        <cfvo type="num" val="0.12" gte="0"/>
        <cfvo type="num" val="0.15"/>
      </iconSet>
    </cfRule>
    <cfRule type="iconSet" priority="11">
      <iconSet showValue="0" reverse="1">
        <cfvo type="percent" val="0"/>
        <cfvo type="num" val="0.11" gte="0"/>
        <cfvo type="num" val="0.14000000000000001"/>
      </iconSet>
    </cfRule>
    <cfRule type="iconSet" priority="12">
      <iconSet showValue="0" reverse="1">
        <cfvo type="percent" val="0"/>
        <cfvo type="num" val="0.12" gte="0"/>
        <cfvo type="num" val="0.14000000000000001"/>
      </iconSet>
    </cfRule>
  </conditionalFormatting>
  <conditionalFormatting sqref="H4:H9">
    <cfRule type="iconSet" priority="7">
      <iconSet showValue="0">
        <cfvo type="percent" val="0"/>
        <cfvo type="num" val="65"/>
        <cfvo type="num" val="66"/>
      </iconSet>
    </cfRule>
  </conditionalFormatting>
  <conditionalFormatting sqref="H11:H16">
    <cfRule type="iconSet" priority="6">
      <iconSet showValue="0" reverse="1">
        <cfvo type="percent" val="0"/>
        <cfvo type="num" val="0.55000000000000004" gte="0"/>
        <cfvo type="num" val="0.85"/>
      </iconSet>
    </cfRule>
  </conditionalFormatting>
  <conditionalFormatting sqref="H18:H23">
    <cfRule type="iconSet" priority="4">
      <iconSet showValue="0" reverse="1">
        <cfvo type="percent" val="0"/>
        <cfvo type="num" val="0.13"/>
        <cfvo type="num" val="0.15" gte="0"/>
      </iconSet>
    </cfRule>
    <cfRule type="iconSet" priority="5">
      <iconSet showValue="0" reverse="1">
        <cfvo type="percent" val="0"/>
        <cfvo type="num" val="0.13" gte="0"/>
        <cfvo type="num" val="0.15" gte="0"/>
      </iconSet>
    </cfRule>
  </conditionalFormatting>
  <conditionalFormatting sqref="K4:K9">
    <cfRule type="iconSet" priority="3">
      <iconSet showValue="0" reverse="1">
        <cfvo type="percent" val="0"/>
        <cfvo type="num" val="4.5" gte="0"/>
        <cfvo type="num" val="5.5"/>
      </iconSet>
    </cfRule>
  </conditionalFormatting>
  <conditionalFormatting sqref="K11:K16">
    <cfRule type="iconSet" priority="2">
      <iconSet showValue="0">
        <cfvo type="percent" val="0"/>
        <cfvo type="num" val="47"/>
        <cfvo type="num" val="48"/>
      </iconSet>
    </cfRule>
  </conditionalFormatting>
  <conditionalFormatting sqref="K18:K23">
    <cfRule type="iconSet" priority="1">
      <iconSet showValue="0">
        <cfvo type="percent" val="0"/>
        <cfvo type="num" val="65"/>
        <cfvo type="num" val="66.86"/>
      </iconSet>
    </cfRule>
  </conditionalFormatting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E13:O40"/>
  <sheetViews>
    <sheetView topLeftCell="A25" workbookViewId="0">
      <selection activeCell="J15" sqref="J15:K17"/>
    </sheetView>
  </sheetViews>
  <sheetFormatPr defaultColWidth="9" defaultRowHeight="14.4"/>
  <cols>
    <col min="1" max="4" width="9" style="1"/>
    <col min="5" max="5" width="12.6640625" style="2" customWidth="1"/>
    <col min="6" max="6" width="20.6640625" style="2" customWidth="1"/>
    <col min="7" max="11" width="13.6640625" style="1" customWidth="1"/>
    <col min="12" max="12" width="9" style="1"/>
    <col min="13" max="17" width="10.33203125" style="1"/>
    <col min="18" max="16384" width="9" style="1"/>
  </cols>
  <sheetData>
    <row r="13" spans="5:11">
      <c r="G13" s="672" t="s">
        <v>158</v>
      </c>
      <c r="H13" s="672"/>
      <c r="J13" s="672" t="s">
        <v>159</v>
      </c>
      <c r="K13" s="672"/>
    </row>
    <row r="14" spans="5:11">
      <c r="G14" s="2" t="s">
        <v>744</v>
      </c>
      <c r="H14" s="2" t="s">
        <v>745</v>
      </c>
      <c r="I14" s="2"/>
      <c r="J14" s="2" t="s">
        <v>744</v>
      </c>
      <c r="K14" s="2" t="s">
        <v>745</v>
      </c>
    </row>
    <row r="15" spans="5:11">
      <c r="E15" s="2" t="s">
        <v>746</v>
      </c>
      <c r="F15" s="2" t="s">
        <v>747</v>
      </c>
      <c r="G15" s="3">
        <f>'班组统计台账（3%）日累'!P15</f>
        <v>9.451873474906396</v>
      </c>
      <c r="H15" s="3">
        <f>'班组统计台账（3%）日累'!H15</f>
        <v>9.7093120000000006</v>
      </c>
      <c r="I15" s="6"/>
      <c r="J15" s="3">
        <f>'班组统计台账（3%）日累'!P16</f>
        <v>9.451873474906396</v>
      </c>
      <c r="K15" s="3">
        <f>'班组统计台账（3%）日累'!H16</f>
        <v>9.7093120000000006</v>
      </c>
    </row>
    <row r="16" spans="5:11">
      <c r="F16" s="2" t="s">
        <v>748</v>
      </c>
      <c r="G16" s="3">
        <f>'班组统计台账（3%）日累'!X15</f>
        <v>0</v>
      </c>
      <c r="H16" s="3">
        <f>'班组统计台账（3%）日累'!I15</f>
        <v>0</v>
      </c>
      <c r="I16" s="6"/>
      <c r="J16" s="3">
        <f>'班组统计台账（3%）日累'!X16</f>
        <v>0</v>
      </c>
      <c r="K16" s="3">
        <f>'班组统计台账（3%）日累'!I16</f>
        <v>0</v>
      </c>
    </row>
    <row r="17" spans="5:15">
      <c r="F17" s="2" t="s">
        <v>749</v>
      </c>
      <c r="G17" s="3">
        <f>'班组统计台账（3%）日累'!R15</f>
        <v>48.454454389191021</v>
      </c>
      <c r="H17" s="3">
        <f>'班组统计台账（3%）日累'!J15</f>
        <v>48.546559999999999</v>
      </c>
      <c r="I17" s="6"/>
      <c r="J17" s="3">
        <f>'班组统计台账（3%）日累'!R16</f>
        <v>48.454454389191021</v>
      </c>
      <c r="K17" s="3">
        <f>'班组统计台账（3%）日累'!J16</f>
        <v>48.546559999999999</v>
      </c>
    </row>
    <row r="19" spans="5:15">
      <c r="F19" s="1"/>
    </row>
    <row r="21" spans="5:15">
      <c r="E21" s="2" t="s">
        <v>750</v>
      </c>
      <c r="F21" s="2" t="s">
        <v>751</v>
      </c>
      <c r="G21" s="4">
        <f>'班组统计台账（3%）日累'!C15</f>
        <v>256</v>
      </c>
      <c r="H21" s="5">
        <f>(G21-I21)/G21*100</f>
        <v>3.0000000000000027</v>
      </c>
      <c r="I21" s="4">
        <f>'班组统计台账（3%）日累'!D15</f>
        <v>248.32</v>
      </c>
      <c r="J21" s="4">
        <f>'班组统计台账（3%）日累'!E15</f>
        <v>3.91</v>
      </c>
      <c r="K21" s="4">
        <f>'班组统计台账（3%）日累'!F15</f>
        <v>0</v>
      </c>
      <c r="L21" s="4">
        <f>'班组统计台账（3%）日累'!G15</f>
        <v>195.5</v>
      </c>
      <c r="M21" s="1">
        <f>'班组统计台账（3%）日累'!H15</f>
        <v>9.7093120000000006</v>
      </c>
      <c r="N21" s="1">
        <f>'班组统计台账（3%）日累'!I15</f>
        <v>0</v>
      </c>
      <c r="O21" s="1">
        <f>'班组统计台账（3%）日累'!J15</f>
        <v>48.546559999999999</v>
      </c>
    </row>
    <row r="25" spans="5:15">
      <c r="E25" s="2" t="s">
        <v>750</v>
      </c>
      <c r="F25" s="2" t="s">
        <v>752</v>
      </c>
    </row>
    <row r="26" spans="5:15">
      <c r="F26" s="2" t="s">
        <v>64</v>
      </c>
      <c r="G26" s="4" t="e">
        <f>出厂铅精!#REF!</f>
        <v>#REF!</v>
      </c>
      <c r="H26" s="4" t="e">
        <f>出厂铅精!#REF!</f>
        <v>#REF!</v>
      </c>
      <c r="I26" s="1" t="e">
        <f>出厂铅精!#REF!</f>
        <v>#REF!</v>
      </c>
      <c r="J26" s="4" t="e">
        <f>出厂铅精!#REF!</f>
        <v>#REF!</v>
      </c>
      <c r="K26" s="4" t="e">
        <f>出厂铅精!#REF!</f>
        <v>#REF!</v>
      </c>
      <c r="L26" s="4" t="e">
        <f>出厂铅精!#REF!</f>
        <v>#REF!</v>
      </c>
      <c r="M26" s="6" t="e">
        <f>出厂铅精!#REF!</f>
        <v>#REF!</v>
      </c>
      <c r="N26" s="6" t="e">
        <f>出厂铅精!#REF!</f>
        <v>#REF!</v>
      </c>
      <c r="O26" s="6" t="e">
        <f>出厂铅精!#REF!</f>
        <v>#REF!</v>
      </c>
    </row>
    <row r="27" spans="5:15">
      <c r="F27" s="2" t="s">
        <v>65</v>
      </c>
      <c r="G27" s="4" t="e">
        <f>出厂锌精!E947</f>
        <v>#REF!</v>
      </c>
      <c r="H27" s="4" t="e">
        <f>出厂锌精!F947</f>
        <v>#REF!</v>
      </c>
      <c r="I27" s="1" t="e">
        <f>出厂锌精!G947</f>
        <v>#REF!</v>
      </c>
      <c r="J27" s="4" t="e">
        <f>出厂锌精!I947</f>
        <v>#REF!</v>
      </c>
      <c r="K27" s="4" t="e">
        <f>出厂锌精!J947</f>
        <v>#REF!</v>
      </c>
      <c r="L27" s="4" t="e">
        <f>出厂锌精!K947</f>
        <v>#REF!</v>
      </c>
      <c r="M27" s="6" t="e">
        <f>出厂锌精!M947</f>
        <v>#REF!</v>
      </c>
      <c r="N27" s="6" t="e">
        <f>出厂锌精!N947</f>
        <v>#REF!</v>
      </c>
      <c r="O27" s="6" t="e">
        <f>出厂锌精!O947</f>
        <v>#REF!</v>
      </c>
    </row>
    <row r="31" spans="5:15">
      <c r="F31" s="2" t="s">
        <v>753</v>
      </c>
      <c r="G31" s="4">
        <f>'班组统计台账（3%）日累'!AE15</f>
        <v>0.25743852509360465</v>
      </c>
      <c r="H31" s="4">
        <f>'班组统计台账（3%）日累'!AF15</f>
        <v>0</v>
      </c>
      <c r="I31" s="4">
        <f>'班组统计台账（3%）日累'!AG15</f>
        <v>9.2105610808975058E-2</v>
      </c>
    </row>
    <row r="34" spans="5:11">
      <c r="E34" s="2" t="s">
        <v>754</v>
      </c>
      <c r="F34" s="2" t="s">
        <v>755</v>
      </c>
    </row>
    <row r="35" spans="5:11">
      <c r="F35" s="2" t="s">
        <v>756</v>
      </c>
      <c r="G35" s="4">
        <f>'班组统计台账（3%）日累'!L15</f>
        <v>14.392796291791658</v>
      </c>
      <c r="I35" s="4">
        <f>'班组统计台账（3%）日累'!M15</f>
        <v>65.670862584895232</v>
      </c>
      <c r="J35" s="4">
        <f>'班组统计台账（3%）日累'!N15</f>
        <v>0</v>
      </c>
      <c r="K35" s="4">
        <f>'班组统计台账（3%）日累'!O15</f>
        <v>3366.5768212689172</v>
      </c>
    </row>
    <row r="36" spans="5:11">
      <c r="F36" s="2" t="s">
        <v>757</v>
      </c>
      <c r="G36" s="4">
        <f>'班组统计台账（3%）日累'!S15</f>
        <v>0</v>
      </c>
      <c r="I36" s="4" t="str">
        <f>'班组统计台账（3%）日累'!T15</f>
        <v>0.00</v>
      </c>
      <c r="J36" s="4" t="str">
        <f>'班组统计台账（3%）日累'!U15</f>
        <v>0.00</v>
      </c>
      <c r="K36" s="4" t="str">
        <f>'班组统计台账（3%）日累'!V15</f>
        <v>0</v>
      </c>
    </row>
    <row r="38" spans="5:11">
      <c r="E38" s="2" t="s">
        <v>758</v>
      </c>
      <c r="F38" s="2" t="s">
        <v>755</v>
      </c>
    </row>
    <row r="39" spans="5:11">
      <c r="F39" s="2" t="s">
        <v>756</v>
      </c>
      <c r="G39" s="4">
        <f>'班组统计台账（3%）日累'!L16</f>
        <v>14.392796291791658</v>
      </c>
      <c r="I39" s="4">
        <f>'班组统计台账（3%）日累'!M16</f>
        <v>65.670862584895232</v>
      </c>
      <c r="J39" s="4">
        <f>'班组统计台账（3%）日累'!N16</f>
        <v>0</v>
      </c>
      <c r="K39" s="4">
        <f>'班组统计台账（3%）日累'!O16</f>
        <v>3366.5768212689172</v>
      </c>
    </row>
    <row r="40" spans="5:11">
      <c r="F40" s="2" t="s">
        <v>757</v>
      </c>
      <c r="G40" s="4">
        <f>'班组统计台账（3%）日累'!S16</f>
        <v>0</v>
      </c>
      <c r="I40" s="4" t="str">
        <f>'班组统计台账（3%）日累'!T16</f>
        <v>0.00</v>
      </c>
      <c r="J40" s="4" t="str">
        <f>'班组统计台账（3%）日累'!U16</f>
        <v>0.00</v>
      </c>
      <c r="K40" s="4" t="str">
        <f>'班组统计台账（3%）日累'!V16</f>
        <v>0</v>
      </c>
    </row>
  </sheetData>
  <mergeCells count="2">
    <mergeCell ref="G13:H13"/>
    <mergeCell ref="J13:K13"/>
  </mergeCells>
  <phoneticPr fontId="54" type="noConversion"/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7" master="" otherUserPermission="visible"/>
  <rangeList sheetStid="9" master="" otherUserPermission="visible"/>
  <rangeList sheetStid="8" master="" otherUserPermission="visible"/>
  <rangeList sheetStid="50" master="" otherUserPermission="visible"/>
  <rangeList sheetStid="4" master="" otherUserPermission="visible"/>
  <rangeList sheetStid="5" master="" otherUserPermission="visible"/>
  <rangeList sheetStid="6" master="" otherUserPermission="visible"/>
  <rangeList sheetStid="51" master="" otherUserPermission="visible"/>
  <rangeList sheetStid="56" master="" otherUserPermission="visible"/>
  <rangeList sheetStid="10" master="" otherUserPermission="visible"/>
  <rangeList sheetStid="22" master="" otherUserPermission="visible"/>
  <rangeList sheetStid="23" master="" otherUserPermission="visible"/>
  <rangeList sheetStid="24" master="" otherUserPermission="visible"/>
  <rangeList sheetStid="76" master="" otherUserPermission="visible"/>
  <rangeList sheetStid="41" master="" otherUserPermission="visible"/>
  <rangeList sheetStid="42" master="" otherUserPermission="visible"/>
  <rangeList sheetStid="14" master="" otherUserPermission="visible"/>
  <rangeList sheetStid="15" master="" otherUserPermission="visible"/>
  <rangeList sheetStid="16" master="" otherUserPermission="visible"/>
  <rangeList sheetStid="13" master="" otherUserPermission="visible"/>
  <rangeList sheetStid="33" master="" otherUserPermission="visible"/>
  <rangeList sheetStid="19" master="" otherUserPermission="visible"/>
  <rangeList sheetStid="80" master="" otherUserPermission="visible"/>
  <rangeList sheetStid="20" master="" otherUserPermission="visible"/>
  <rangeList sheetStid="70" master="" otherUserPermission="visible"/>
  <rangeList sheetStid="71" master="" otherUserPermission="visible"/>
  <rangeList sheetStid="72" master="" otherUserPermission="visible"/>
  <rangeList sheetStid="77" master="" otherUserPermission="visible"/>
  <rangeList sheetStid="7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命名范围</vt:lpstr>
      </vt:variant>
      <vt:variant>
        <vt:i4>14</vt:i4>
      </vt:variant>
    </vt:vector>
  </HeadingPairs>
  <TitlesOfParts>
    <vt:vector size="44" baseType="lpstr">
      <vt:lpstr>基础数据</vt:lpstr>
      <vt:lpstr>1车间表1</vt:lpstr>
      <vt:lpstr>1车间表2</vt:lpstr>
      <vt:lpstr>1车间表3</vt:lpstr>
      <vt:lpstr>1系统周表</vt:lpstr>
      <vt:lpstr>2车间表1</vt:lpstr>
      <vt:lpstr>2车间表2</vt:lpstr>
      <vt:lpstr>2车间表3</vt:lpstr>
      <vt:lpstr>2系统周表</vt:lpstr>
      <vt:lpstr>周排名</vt:lpstr>
      <vt:lpstr>班组统计台账（3%）日累</vt:lpstr>
      <vt:lpstr>3%-7.25%</vt:lpstr>
      <vt:lpstr>日报表</vt:lpstr>
      <vt:lpstr>生产简报</vt:lpstr>
      <vt:lpstr>公司周一-周日 周累 </vt:lpstr>
      <vt:lpstr>日报表 (3%)</vt:lpstr>
      <vt:lpstr>生产简报 (3%)</vt:lpstr>
      <vt:lpstr>精矿盘点表（本月）</vt:lpstr>
      <vt:lpstr>回收率分布</vt:lpstr>
      <vt:lpstr>Sheet2</vt:lpstr>
      <vt:lpstr>精矿盘点表（全年）</vt:lpstr>
      <vt:lpstr>精矿盘点表（月度）</vt:lpstr>
      <vt:lpstr>出厂铅精</vt:lpstr>
      <vt:lpstr>出厂铅精-公司发</vt:lpstr>
      <vt:lpstr>出厂锌精</vt:lpstr>
      <vt:lpstr>磨浮作业区周表</vt:lpstr>
      <vt:lpstr>磨浮作业区月表</vt:lpstr>
      <vt:lpstr>磨浮作业区年表</vt:lpstr>
      <vt:lpstr>日指标</vt:lpstr>
      <vt:lpstr>月报公式</vt:lpstr>
      <vt:lpstr>'1车间表1'!Print_Area</vt:lpstr>
      <vt:lpstr>'1车间表2'!Print_Area</vt:lpstr>
      <vt:lpstr>'1车间表3'!Print_Area</vt:lpstr>
      <vt:lpstr>'1系统周表'!Print_Area</vt:lpstr>
      <vt:lpstr>'2车间表1'!Print_Area</vt:lpstr>
      <vt:lpstr>'2车间表2'!Print_Area</vt:lpstr>
      <vt:lpstr>'2车间表3'!Print_Area</vt:lpstr>
      <vt:lpstr>'2系统周表'!Print_Area</vt:lpstr>
      <vt:lpstr>'班组统计台账（3%）日累'!Print_Area</vt:lpstr>
      <vt:lpstr>'公司周一-周日 周累 '!Print_Area</vt:lpstr>
      <vt:lpstr>磨浮作业区年表!Print_Area</vt:lpstr>
      <vt:lpstr>磨浮作业区月表!Print_Area</vt:lpstr>
      <vt:lpstr>磨浮作业区周表!Print_Area</vt:lpstr>
      <vt:lpstr>'日报表 (3%)'!Print_Area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Lane Leo</cp:lastModifiedBy>
  <cp:lastPrinted>2020-12-29T07:24:00Z</cp:lastPrinted>
  <dcterms:created xsi:type="dcterms:W3CDTF">2014-05-21T16:06:00Z</dcterms:created>
  <dcterms:modified xsi:type="dcterms:W3CDTF">2025-09-11T00:45:31Z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F15BAB9060D44CE5BD0E5525B8D22D52</vt:lpwstr>
  </property>
</Properties>
</file>